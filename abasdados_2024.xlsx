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CE594282-137E-44A8-8CB5-2D9E89BD1903}" xr6:coauthVersionLast="47" xr6:coauthVersionMax="47" xr10:uidLastSave="{00000000-0000-0000-0000-000000000000}"/>
  <bookViews>
    <workbookView xWindow="28680" yWindow="3300" windowWidth="24240" windowHeight="13020" xr2:uid="{3C989A85-0BCB-4B70-A3BF-BBE3949AD585}"/>
  </bookViews>
  <sheets>
    <sheet name="dados_2024" sheetId="1" r:id="rId1"/>
  </sheets>
  <externalReferences>
    <externalReference r:id="rId2"/>
    <externalReference r:id="rId3"/>
  </externalReferences>
  <definedNames>
    <definedName name="_xlnm._FilterDatabase" localSheetId="0" hidden="1">dados_2024!$A$2:$J$2</definedName>
    <definedName name="_xlnm.Print_Area" localSheetId="0">dados_2024!$A$1:$J$1036</definedName>
    <definedName name="_xlnm.Print_Area">#REF!</definedName>
    <definedName name="COPIA">OFFSET(#REF!,0,0,COUNTA(#REF!),1)</definedName>
    <definedName name="COPIA6">#REF!</definedName>
    <definedName name="Dados">#REF!</definedName>
    <definedName name="DataFinal">#REF!</definedName>
    <definedName name="DataInicio">#REF!</definedName>
    <definedName name="DrillSubfolders">#REF!</definedName>
    <definedName name="faed">#REF!</definedName>
    <definedName name="FAED.D">#REF!</definedName>
    <definedName name="Foto">#REF!</definedName>
    <definedName name="l_cLIENTE">HYPERLINK(CELL("endereço",INDIRECT("CLIENTES!A1")),"CLIENTES")</definedName>
    <definedName name="lista">OFFSET(#REF!,0,0,COUNTA(#REF!),1)</definedName>
    <definedName name="ListFiles">#REF!</definedName>
    <definedName name="ListFolders">#REF!</definedName>
    <definedName name="PARCELAS">OFFSET(#REF!,0,0,COUNTA(#REF!),1)</definedName>
    <definedName name="Path">#REF!</definedName>
    <definedName name="Programas">OFFSET(#REF!,0,0,COUNTA(#REF!),1)</definedName>
    <definedName name="SearchMethod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36" i="1" l="1"/>
  <c r="E1036" i="1"/>
  <c r="J1035" i="1"/>
  <c r="I1035" i="1"/>
  <c r="H1035" i="1"/>
  <c r="F1035" i="1"/>
  <c r="J1034" i="1"/>
  <c r="I1034" i="1"/>
  <c r="H1034" i="1"/>
  <c r="F1034" i="1"/>
  <c r="J1033" i="1"/>
  <c r="I1033" i="1"/>
  <c r="H1033" i="1"/>
  <c r="F1033" i="1"/>
  <c r="J1032" i="1"/>
  <c r="I1032" i="1"/>
  <c r="H1032" i="1"/>
  <c r="F1032" i="1"/>
  <c r="J1031" i="1"/>
  <c r="I1031" i="1"/>
  <c r="H1031" i="1"/>
  <c r="F1031" i="1"/>
  <c r="J1030" i="1"/>
  <c r="I1030" i="1"/>
  <c r="H1030" i="1"/>
  <c r="F1030" i="1"/>
  <c r="J1029" i="1"/>
  <c r="I1029" i="1"/>
  <c r="H1029" i="1"/>
  <c r="F1029" i="1"/>
  <c r="J1028" i="1"/>
  <c r="I1028" i="1"/>
  <c r="H1028" i="1"/>
  <c r="F1028" i="1"/>
  <c r="J1027" i="1"/>
  <c r="I1027" i="1"/>
  <c r="H1027" i="1"/>
  <c r="F1027" i="1"/>
  <c r="J1026" i="1"/>
  <c r="I1026" i="1"/>
  <c r="H1026" i="1"/>
  <c r="F1026" i="1"/>
  <c r="J1025" i="1"/>
  <c r="I1025" i="1"/>
  <c r="H1025" i="1"/>
  <c r="F1025" i="1"/>
  <c r="J1024" i="1"/>
  <c r="I1024" i="1"/>
  <c r="H1024" i="1"/>
  <c r="F1024" i="1"/>
  <c r="J1023" i="1"/>
  <c r="I1023" i="1"/>
  <c r="H1023" i="1"/>
  <c r="F1023" i="1"/>
  <c r="J1022" i="1"/>
  <c r="I1022" i="1"/>
  <c r="H1022" i="1"/>
  <c r="F1022" i="1"/>
  <c r="J1021" i="1"/>
  <c r="I1021" i="1"/>
  <c r="H1021" i="1"/>
  <c r="F1021" i="1"/>
  <c r="J1020" i="1"/>
  <c r="I1020" i="1"/>
  <c r="H1020" i="1"/>
  <c r="F1020" i="1"/>
  <c r="J1019" i="1"/>
  <c r="I1019" i="1"/>
  <c r="H1019" i="1"/>
  <c r="F1019" i="1"/>
  <c r="J1018" i="1"/>
  <c r="H1018" i="1" s="1"/>
  <c r="I1018" i="1"/>
  <c r="F1018" i="1" s="1"/>
  <c r="J1017" i="1"/>
  <c r="I1017" i="1"/>
  <c r="H1017" i="1"/>
  <c r="F1017" i="1"/>
  <c r="J1016" i="1"/>
  <c r="I1016" i="1"/>
  <c r="H1016" i="1"/>
  <c r="F1016" i="1"/>
  <c r="J1015" i="1"/>
  <c r="I1015" i="1"/>
  <c r="H1015" i="1"/>
  <c r="F1015" i="1"/>
  <c r="J1014" i="1"/>
  <c r="I1014" i="1"/>
  <c r="H1014" i="1"/>
  <c r="F1014" i="1"/>
  <c r="J1013" i="1"/>
  <c r="H1013" i="1" s="1"/>
  <c r="I1013" i="1"/>
  <c r="F1013" i="1"/>
  <c r="J1012" i="1"/>
  <c r="H1012" i="1" s="1"/>
  <c r="I1012" i="1"/>
  <c r="F1012" i="1" s="1"/>
  <c r="J1011" i="1"/>
  <c r="H1011" i="1" s="1"/>
  <c r="I1011" i="1"/>
  <c r="F1011" i="1"/>
  <c r="J1010" i="1"/>
  <c r="H1010" i="1" s="1"/>
  <c r="I1010" i="1"/>
  <c r="F1010" i="1" s="1"/>
  <c r="J1009" i="1"/>
  <c r="H1009" i="1" s="1"/>
  <c r="I1009" i="1"/>
  <c r="F1009" i="1" s="1"/>
  <c r="J1008" i="1"/>
  <c r="H1008" i="1" s="1"/>
  <c r="I1008" i="1"/>
  <c r="F1008" i="1" s="1"/>
  <c r="J1007" i="1"/>
  <c r="H1007" i="1" s="1"/>
  <c r="I1007" i="1"/>
  <c r="F1007" i="1" s="1"/>
  <c r="J1006" i="1"/>
  <c r="H1006" i="1" s="1"/>
  <c r="I1006" i="1"/>
  <c r="F1006" i="1" s="1"/>
  <c r="J1005" i="1"/>
  <c r="H1005" i="1" s="1"/>
  <c r="I1005" i="1"/>
  <c r="F1005" i="1" s="1"/>
  <c r="J1004" i="1"/>
  <c r="H1004" i="1" s="1"/>
  <c r="I1004" i="1"/>
  <c r="F1004" i="1" s="1"/>
  <c r="J1003" i="1"/>
  <c r="H1003" i="1" s="1"/>
  <c r="I1003" i="1"/>
  <c r="F1003" i="1"/>
  <c r="J1002" i="1"/>
  <c r="H1002" i="1" s="1"/>
  <c r="I1002" i="1"/>
  <c r="F1002" i="1" s="1"/>
  <c r="J1001" i="1"/>
  <c r="H1001" i="1" s="1"/>
  <c r="I1001" i="1"/>
  <c r="F1001" i="1" s="1"/>
  <c r="J1000" i="1"/>
  <c r="H1000" i="1" s="1"/>
  <c r="I1000" i="1"/>
  <c r="F1000" i="1" s="1"/>
  <c r="J999" i="1"/>
  <c r="H999" i="1" s="1"/>
  <c r="I999" i="1"/>
  <c r="F999" i="1"/>
  <c r="J998" i="1"/>
  <c r="H998" i="1" s="1"/>
  <c r="I998" i="1"/>
  <c r="F998" i="1" s="1"/>
  <c r="J997" i="1"/>
  <c r="H997" i="1" s="1"/>
  <c r="I997" i="1"/>
  <c r="F997" i="1"/>
  <c r="J996" i="1"/>
  <c r="H996" i="1" s="1"/>
  <c r="I996" i="1"/>
  <c r="F996" i="1" s="1"/>
  <c r="J995" i="1"/>
  <c r="H995" i="1" s="1"/>
  <c r="I995" i="1"/>
  <c r="F995" i="1"/>
  <c r="J994" i="1"/>
  <c r="H994" i="1" s="1"/>
  <c r="I994" i="1"/>
  <c r="F994" i="1" s="1"/>
  <c r="J993" i="1"/>
  <c r="H993" i="1" s="1"/>
  <c r="I993" i="1"/>
  <c r="F993" i="1" s="1"/>
  <c r="J992" i="1"/>
  <c r="H992" i="1" s="1"/>
  <c r="I992" i="1"/>
  <c r="F992" i="1" s="1"/>
  <c r="J991" i="1"/>
  <c r="H991" i="1" s="1"/>
  <c r="I991" i="1"/>
  <c r="F991" i="1"/>
  <c r="J990" i="1"/>
  <c r="I990" i="1"/>
  <c r="F990" i="1" s="1"/>
  <c r="H990" i="1"/>
  <c r="J989" i="1"/>
  <c r="H989" i="1" s="1"/>
  <c r="I989" i="1"/>
  <c r="F989" i="1" s="1"/>
  <c r="J988" i="1"/>
  <c r="I988" i="1"/>
  <c r="F988" i="1" s="1"/>
  <c r="H988" i="1"/>
  <c r="J987" i="1"/>
  <c r="H987" i="1" s="1"/>
  <c r="I987" i="1"/>
  <c r="F987" i="1" s="1"/>
  <c r="J986" i="1"/>
  <c r="H986" i="1" s="1"/>
  <c r="I986" i="1"/>
  <c r="F986" i="1" s="1"/>
  <c r="J985" i="1"/>
  <c r="H985" i="1" s="1"/>
  <c r="I985" i="1"/>
  <c r="F985" i="1" s="1"/>
  <c r="J984" i="1"/>
  <c r="H984" i="1" s="1"/>
  <c r="I984" i="1"/>
  <c r="F984" i="1" s="1"/>
  <c r="J983" i="1"/>
  <c r="H983" i="1" s="1"/>
  <c r="I983" i="1"/>
  <c r="F983" i="1"/>
  <c r="J982" i="1"/>
  <c r="I982" i="1"/>
  <c r="F982" i="1" s="1"/>
  <c r="H982" i="1"/>
  <c r="J981" i="1"/>
  <c r="H981" i="1" s="1"/>
  <c r="I981" i="1"/>
  <c r="F981" i="1" s="1"/>
  <c r="J980" i="1"/>
  <c r="I980" i="1"/>
  <c r="F980" i="1" s="1"/>
  <c r="H980" i="1"/>
  <c r="J979" i="1"/>
  <c r="H979" i="1" s="1"/>
  <c r="I979" i="1"/>
  <c r="F979" i="1" s="1"/>
  <c r="J978" i="1"/>
  <c r="H978" i="1" s="1"/>
  <c r="I978" i="1"/>
  <c r="F978" i="1" s="1"/>
  <c r="J977" i="1"/>
  <c r="H977" i="1" s="1"/>
  <c r="I977" i="1"/>
  <c r="F977" i="1" s="1"/>
  <c r="J976" i="1"/>
  <c r="H976" i="1" s="1"/>
  <c r="I976" i="1"/>
  <c r="F976" i="1" s="1"/>
  <c r="J975" i="1"/>
  <c r="H975" i="1" s="1"/>
  <c r="I975" i="1"/>
  <c r="F975" i="1"/>
  <c r="J974" i="1"/>
  <c r="I974" i="1"/>
  <c r="F974" i="1" s="1"/>
  <c r="H974" i="1"/>
  <c r="J973" i="1"/>
  <c r="H973" i="1" s="1"/>
  <c r="I973" i="1"/>
  <c r="F973" i="1" s="1"/>
  <c r="J972" i="1"/>
  <c r="I972" i="1"/>
  <c r="F972" i="1" s="1"/>
  <c r="H972" i="1"/>
  <c r="J971" i="1"/>
  <c r="H971" i="1" s="1"/>
  <c r="I971" i="1"/>
  <c r="F971" i="1" s="1"/>
  <c r="J970" i="1"/>
  <c r="H970" i="1" s="1"/>
  <c r="I970" i="1"/>
  <c r="F970" i="1" s="1"/>
  <c r="J969" i="1"/>
  <c r="H969" i="1" s="1"/>
  <c r="I969" i="1"/>
  <c r="F969" i="1" s="1"/>
  <c r="J968" i="1"/>
  <c r="H968" i="1" s="1"/>
  <c r="I968" i="1"/>
  <c r="F968" i="1" s="1"/>
  <c r="J967" i="1"/>
  <c r="H967" i="1" s="1"/>
  <c r="I967" i="1"/>
  <c r="F967" i="1"/>
  <c r="J966" i="1"/>
  <c r="I966" i="1"/>
  <c r="F966" i="1" s="1"/>
  <c r="H966" i="1"/>
  <c r="J965" i="1"/>
  <c r="H965" i="1" s="1"/>
  <c r="I965" i="1"/>
  <c r="F965" i="1" s="1"/>
  <c r="J964" i="1"/>
  <c r="I964" i="1"/>
  <c r="F964" i="1" s="1"/>
  <c r="H964" i="1"/>
  <c r="J963" i="1"/>
  <c r="H963" i="1" s="1"/>
  <c r="I963" i="1"/>
  <c r="F963" i="1" s="1"/>
  <c r="J962" i="1"/>
  <c r="H962" i="1" s="1"/>
  <c r="I962" i="1"/>
  <c r="F962" i="1" s="1"/>
  <c r="J961" i="1"/>
  <c r="H961" i="1" s="1"/>
  <c r="I961" i="1"/>
  <c r="F961" i="1" s="1"/>
  <c r="J960" i="1"/>
  <c r="I960" i="1"/>
  <c r="H960" i="1"/>
  <c r="F960" i="1"/>
  <c r="J959" i="1"/>
  <c r="H959" i="1" s="1"/>
  <c r="I959" i="1"/>
  <c r="F959" i="1"/>
  <c r="J958" i="1"/>
  <c r="I958" i="1"/>
  <c r="F958" i="1" s="1"/>
  <c r="H958" i="1"/>
  <c r="J957" i="1"/>
  <c r="H957" i="1" s="1"/>
  <c r="I957" i="1"/>
  <c r="F957" i="1" s="1"/>
  <c r="J956" i="1"/>
  <c r="H956" i="1" s="1"/>
  <c r="I956" i="1"/>
  <c r="F956" i="1" s="1"/>
  <c r="J955" i="1"/>
  <c r="H955" i="1" s="1"/>
  <c r="I955" i="1"/>
  <c r="F955" i="1"/>
  <c r="J954" i="1"/>
  <c r="I954" i="1"/>
  <c r="F954" i="1" s="1"/>
  <c r="H954" i="1"/>
  <c r="J953" i="1"/>
  <c r="H953" i="1" s="1"/>
  <c r="I953" i="1"/>
  <c r="F953" i="1"/>
  <c r="J952" i="1"/>
  <c r="H952" i="1" s="1"/>
  <c r="I952" i="1"/>
  <c r="F952" i="1" s="1"/>
  <c r="J951" i="1"/>
  <c r="H951" i="1" s="1"/>
  <c r="I951" i="1"/>
  <c r="F951" i="1"/>
  <c r="J950" i="1"/>
  <c r="I950" i="1"/>
  <c r="F950" i="1" s="1"/>
  <c r="H950" i="1"/>
  <c r="J949" i="1"/>
  <c r="H949" i="1" s="1"/>
  <c r="I949" i="1"/>
  <c r="F949" i="1" s="1"/>
  <c r="J948" i="1"/>
  <c r="H948" i="1" s="1"/>
  <c r="I948" i="1"/>
  <c r="F948" i="1" s="1"/>
  <c r="J947" i="1"/>
  <c r="H947" i="1" s="1"/>
  <c r="I947" i="1"/>
  <c r="F947" i="1"/>
  <c r="J946" i="1"/>
  <c r="I946" i="1"/>
  <c r="F946" i="1" s="1"/>
  <c r="H946" i="1"/>
  <c r="J945" i="1"/>
  <c r="H945" i="1" s="1"/>
  <c r="I945" i="1"/>
  <c r="F945" i="1"/>
  <c r="J944" i="1"/>
  <c r="H944" i="1" s="1"/>
  <c r="I944" i="1"/>
  <c r="F944" i="1" s="1"/>
  <c r="J943" i="1"/>
  <c r="H943" i="1" s="1"/>
  <c r="I943" i="1"/>
  <c r="F943" i="1"/>
  <c r="J942" i="1"/>
  <c r="I942" i="1"/>
  <c r="F942" i="1" s="1"/>
  <c r="H942" i="1"/>
  <c r="J941" i="1"/>
  <c r="H941" i="1" s="1"/>
  <c r="I941" i="1"/>
  <c r="F941" i="1" s="1"/>
  <c r="J940" i="1"/>
  <c r="H940" i="1" s="1"/>
  <c r="I940" i="1"/>
  <c r="F940" i="1" s="1"/>
  <c r="J939" i="1"/>
  <c r="H939" i="1" s="1"/>
  <c r="I939" i="1"/>
  <c r="F939" i="1"/>
  <c r="J938" i="1"/>
  <c r="I938" i="1"/>
  <c r="F938" i="1" s="1"/>
  <c r="H938" i="1"/>
  <c r="J937" i="1"/>
  <c r="H937" i="1" s="1"/>
  <c r="I937" i="1"/>
  <c r="F937" i="1"/>
  <c r="J936" i="1"/>
  <c r="H936" i="1" s="1"/>
  <c r="I936" i="1"/>
  <c r="F936" i="1" s="1"/>
  <c r="J935" i="1"/>
  <c r="H935" i="1" s="1"/>
  <c r="I935" i="1"/>
  <c r="F935" i="1"/>
  <c r="J934" i="1"/>
  <c r="I934" i="1"/>
  <c r="F934" i="1" s="1"/>
  <c r="H934" i="1"/>
  <c r="J933" i="1"/>
  <c r="H933" i="1" s="1"/>
  <c r="I933" i="1"/>
  <c r="F933" i="1" s="1"/>
  <c r="J932" i="1"/>
  <c r="H932" i="1" s="1"/>
  <c r="I932" i="1"/>
  <c r="F932" i="1" s="1"/>
  <c r="J931" i="1"/>
  <c r="H931" i="1" s="1"/>
  <c r="I931" i="1"/>
  <c r="F931" i="1"/>
  <c r="J930" i="1"/>
  <c r="I930" i="1"/>
  <c r="F930" i="1" s="1"/>
  <c r="H930" i="1"/>
  <c r="J929" i="1"/>
  <c r="H929" i="1" s="1"/>
  <c r="I929" i="1"/>
  <c r="F929" i="1"/>
  <c r="J928" i="1"/>
  <c r="H928" i="1" s="1"/>
  <c r="I928" i="1"/>
  <c r="F928" i="1" s="1"/>
  <c r="J927" i="1"/>
  <c r="H927" i="1" s="1"/>
  <c r="I927" i="1"/>
  <c r="F927" i="1"/>
  <c r="J926" i="1"/>
  <c r="I926" i="1"/>
  <c r="F926" i="1" s="1"/>
  <c r="H926" i="1"/>
  <c r="J925" i="1"/>
  <c r="H925" i="1" s="1"/>
  <c r="I925" i="1"/>
  <c r="F925" i="1" s="1"/>
  <c r="J924" i="1"/>
  <c r="H924" i="1" s="1"/>
  <c r="I924" i="1"/>
  <c r="F924" i="1" s="1"/>
  <c r="J923" i="1"/>
  <c r="H923" i="1" s="1"/>
  <c r="I923" i="1"/>
  <c r="F923" i="1"/>
  <c r="J922" i="1"/>
  <c r="I922" i="1"/>
  <c r="F922" i="1" s="1"/>
  <c r="H922" i="1"/>
  <c r="J921" i="1"/>
  <c r="H921" i="1" s="1"/>
  <c r="I921" i="1"/>
  <c r="F921" i="1"/>
  <c r="J920" i="1"/>
  <c r="H920" i="1" s="1"/>
  <c r="I920" i="1"/>
  <c r="F920" i="1" s="1"/>
  <c r="J919" i="1"/>
  <c r="H919" i="1" s="1"/>
  <c r="I919" i="1"/>
  <c r="F919" i="1"/>
  <c r="J918" i="1"/>
  <c r="I918" i="1"/>
  <c r="H918" i="1"/>
  <c r="F918" i="1"/>
  <c r="J917" i="1"/>
  <c r="H917" i="1" s="1"/>
  <c r="I917" i="1"/>
  <c r="F917" i="1"/>
  <c r="J916" i="1"/>
  <c r="I916" i="1"/>
  <c r="H916" i="1"/>
  <c r="F916" i="1"/>
  <c r="J915" i="1"/>
  <c r="H915" i="1" s="1"/>
  <c r="I915" i="1"/>
  <c r="F915" i="1" s="1"/>
  <c r="J914" i="1"/>
  <c r="H914" i="1" s="1"/>
  <c r="I914" i="1"/>
  <c r="F914" i="1"/>
  <c r="J913" i="1"/>
  <c r="H913" i="1" s="1"/>
  <c r="I913" i="1"/>
  <c r="F913" i="1" s="1"/>
  <c r="J912" i="1"/>
  <c r="I912" i="1"/>
  <c r="F912" i="1" s="1"/>
  <c r="H912" i="1"/>
  <c r="J911" i="1"/>
  <c r="H911" i="1" s="1"/>
  <c r="I911" i="1"/>
  <c r="F911" i="1"/>
  <c r="J910" i="1"/>
  <c r="I910" i="1"/>
  <c r="H910" i="1"/>
  <c r="F910" i="1"/>
  <c r="J909" i="1"/>
  <c r="H909" i="1" s="1"/>
  <c r="I909" i="1"/>
  <c r="F909" i="1" s="1"/>
  <c r="J908" i="1"/>
  <c r="H908" i="1" s="1"/>
  <c r="I908" i="1"/>
  <c r="F908" i="1"/>
  <c r="J907" i="1"/>
  <c r="H907" i="1" s="1"/>
  <c r="I907" i="1"/>
  <c r="F907" i="1"/>
  <c r="J906" i="1"/>
  <c r="H906" i="1" s="1"/>
  <c r="I906" i="1"/>
  <c r="F906" i="1" s="1"/>
  <c r="J905" i="1"/>
  <c r="H905" i="1" s="1"/>
  <c r="I905" i="1"/>
  <c r="F905" i="1" s="1"/>
  <c r="J904" i="1"/>
  <c r="H904" i="1" s="1"/>
  <c r="I904" i="1"/>
  <c r="F904" i="1" s="1"/>
  <c r="J903" i="1"/>
  <c r="H903" i="1" s="1"/>
  <c r="I903" i="1"/>
  <c r="F903" i="1"/>
  <c r="J902" i="1"/>
  <c r="I902" i="1"/>
  <c r="F902" i="1" s="1"/>
  <c r="H902" i="1"/>
  <c r="J901" i="1"/>
  <c r="H901" i="1" s="1"/>
  <c r="I901" i="1"/>
  <c r="F901" i="1"/>
  <c r="J900" i="1"/>
  <c r="I900" i="1"/>
  <c r="H900" i="1"/>
  <c r="F900" i="1"/>
  <c r="J899" i="1"/>
  <c r="I899" i="1"/>
  <c r="H899" i="1"/>
  <c r="F899" i="1"/>
  <c r="J898" i="1"/>
  <c r="I898" i="1"/>
  <c r="H898" i="1"/>
  <c r="F898" i="1"/>
  <c r="J897" i="1"/>
  <c r="H897" i="1" s="1"/>
  <c r="I897" i="1"/>
  <c r="F897" i="1" s="1"/>
  <c r="J896" i="1"/>
  <c r="H896" i="1" s="1"/>
  <c r="I896" i="1"/>
  <c r="F896" i="1"/>
  <c r="J895" i="1"/>
  <c r="H895" i="1" s="1"/>
  <c r="I895" i="1"/>
  <c r="F895" i="1" s="1"/>
  <c r="J894" i="1"/>
  <c r="I894" i="1"/>
  <c r="F894" i="1" s="1"/>
  <c r="H894" i="1"/>
  <c r="J893" i="1"/>
  <c r="H893" i="1" s="1"/>
  <c r="I893" i="1"/>
  <c r="F893" i="1"/>
  <c r="J892" i="1"/>
  <c r="I892" i="1"/>
  <c r="H892" i="1"/>
  <c r="F892" i="1"/>
  <c r="J891" i="1"/>
  <c r="H891" i="1" s="1"/>
  <c r="I891" i="1"/>
  <c r="F891" i="1" s="1"/>
  <c r="J890" i="1"/>
  <c r="H890" i="1" s="1"/>
  <c r="I890" i="1"/>
  <c r="F890" i="1"/>
  <c r="J889" i="1"/>
  <c r="H889" i="1" s="1"/>
  <c r="I889" i="1"/>
  <c r="F889" i="1"/>
  <c r="J888" i="1"/>
  <c r="H888" i="1" s="1"/>
  <c r="I888" i="1"/>
  <c r="F888" i="1" s="1"/>
  <c r="J887" i="1"/>
  <c r="H887" i="1" s="1"/>
  <c r="I887" i="1"/>
  <c r="F887" i="1" s="1"/>
  <c r="J886" i="1"/>
  <c r="I886" i="1"/>
  <c r="F886" i="1" s="1"/>
  <c r="H886" i="1"/>
  <c r="J885" i="1"/>
  <c r="H885" i="1" s="1"/>
  <c r="I885" i="1"/>
  <c r="F885" i="1"/>
  <c r="J884" i="1"/>
  <c r="I884" i="1"/>
  <c r="F884" i="1" s="1"/>
  <c r="H884" i="1"/>
  <c r="J883" i="1"/>
  <c r="H883" i="1" s="1"/>
  <c r="I883" i="1"/>
  <c r="F883" i="1"/>
  <c r="J882" i="1"/>
  <c r="I882" i="1"/>
  <c r="H882" i="1"/>
  <c r="F882" i="1"/>
  <c r="J881" i="1"/>
  <c r="H881" i="1" s="1"/>
  <c r="I881" i="1"/>
  <c r="F881" i="1" s="1"/>
  <c r="J880" i="1"/>
  <c r="H880" i="1" s="1"/>
  <c r="I880" i="1"/>
  <c r="F880" i="1"/>
  <c r="J879" i="1"/>
  <c r="H879" i="1" s="1"/>
  <c r="I879" i="1"/>
  <c r="F879" i="1" s="1"/>
  <c r="J878" i="1"/>
  <c r="I878" i="1"/>
  <c r="F878" i="1" s="1"/>
  <c r="H878" i="1"/>
  <c r="J877" i="1"/>
  <c r="H877" i="1" s="1"/>
  <c r="I877" i="1"/>
  <c r="F877" i="1"/>
  <c r="J876" i="1"/>
  <c r="I876" i="1"/>
  <c r="H876" i="1"/>
  <c r="F876" i="1"/>
  <c r="J875" i="1"/>
  <c r="H875" i="1" s="1"/>
  <c r="I875" i="1"/>
  <c r="F875" i="1" s="1"/>
  <c r="J874" i="1"/>
  <c r="H874" i="1" s="1"/>
  <c r="I874" i="1"/>
  <c r="F874" i="1"/>
  <c r="J873" i="1"/>
  <c r="H873" i="1" s="1"/>
  <c r="I873" i="1"/>
  <c r="F873" i="1"/>
  <c r="J872" i="1"/>
  <c r="H872" i="1" s="1"/>
  <c r="I872" i="1"/>
  <c r="F872" i="1" s="1"/>
  <c r="J871" i="1"/>
  <c r="H871" i="1" s="1"/>
  <c r="I871" i="1"/>
  <c r="F871" i="1" s="1"/>
  <c r="J870" i="1"/>
  <c r="H870" i="1" s="1"/>
  <c r="I870" i="1"/>
  <c r="F870" i="1" s="1"/>
  <c r="J869" i="1"/>
  <c r="H869" i="1" s="1"/>
  <c r="I869" i="1"/>
  <c r="F869" i="1"/>
  <c r="J868" i="1"/>
  <c r="I868" i="1"/>
  <c r="H868" i="1"/>
  <c r="F868" i="1"/>
  <c r="J867" i="1"/>
  <c r="H867" i="1" s="1"/>
  <c r="I867" i="1"/>
  <c r="F867" i="1"/>
  <c r="J866" i="1"/>
  <c r="I866" i="1"/>
  <c r="H866" i="1"/>
  <c r="F866" i="1"/>
  <c r="J865" i="1"/>
  <c r="H865" i="1" s="1"/>
  <c r="I865" i="1"/>
  <c r="F865" i="1" s="1"/>
  <c r="J864" i="1"/>
  <c r="H864" i="1" s="1"/>
  <c r="I864" i="1"/>
  <c r="F864" i="1" s="1"/>
  <c r="J863" i="1"/>
  <c r="H863" i="1" s="1"/>
  <c r="I863" i="1"/>
  <c r="F863" i="1" s="1"/>
  <c r="J862" i="1"/>
  <c r="I862" i="1"/>
  <c r="F862" i="1" s="1"/>
  <c r="H862" i="1"/>
  <c r="J861" i="1"/>
  <c r="H861" i="1" s="1"/>
  <c r="I861" i="1"/>
  <c r="F861" i="1"/>
  <c r="J860" i="1"/>
  <c r="I860" i="1"/>
  <c r="H860" i="1"/>
  <c r="F860" i="1"/>
  <c r="J859" i="1"/>
  <c r="H859" i="1" s="1"/>
  <c r="I859" i="1"/>
  <c r="F859" i="1" s="1"/>
  <c r="J858" i="1"/>
  <c r="H858" i="1" s="1"/>
  <c r="I858" i="1"/>
  <c r="F858" i="1"/>
  <c r="J857" i="1"/>
  <c r="H857" i="1" s="1"/>
  <c r="I857" i="1"/>
  <c r="F857" i="1"/>
  <c r="J856" i="1"/>
  <c r="H856" i="1" s="1"/>
  <c r="I856" i="1"/>
  <c r="F856" i="1" s="1"/>
  <c r="J855" i="1"/>
  <c r="H855" i="1" s="1"/>
  <c r="I855" i="1"/>
  <c r="F855" i="1" s="1"/>
  <c r="J854" i="1"/>
  <c r="I854" i="1"/>
  <c r="F854" i="1" s="1"/>
  <c r="H854" i="1"/>
  <c r="J853" i="1"/>
  <c r="H853" i="1" s="1"/>
  <c r="I853" i="1"/>
  <c r="F853" i="1" s="1"/>
  <c r="J852" i="1"/>
  <c r="I852" i="1"/>
  <c r="H852" i="1"/>
  <c r="F852" i="1"/>
  <c r="J851" i="1"/>
  <c r="H851" i="1" s="1"/>
  <c r="I851" i="1"/>
  <c r="F851" i="1"/>
  <c r="J850" i="1"/>
  <c r="H850" i="1" s="1"/>
  <c r="I850" i="1"/>
  <c r="F850" i="1"/>
  <c r="J849" i="1"/>
  <c r="H849" i="1" s="1"/>
  <c r="I849" i="1"/>
  <c r="F849" i="1" s="1"/>
  <c r="J848" i="1"/>
  <c r="I848" i="1"/>
  <c r="F848" i="1" s="1"/>
  <c r="H848" i="1"/>
  <c r="J847" i="1"/>
  <c r="H847" i="1" s="1"/>
  <c r="I847" i="1"/>
  <c r="F847" i="1" s="1"/>
  <c r="J846" i="1"/>
  <c r="I846" i="1"/>
  <c r="F846" i="1" s="1"/>
  <c r="H846" i="1"/>
  <c r="J845" i="1"/>
  <c r="H845" i="1" s="1"/>
  <c r="I845" i="1"/>
  <c r="F845" i="1" s="1"/>
  <c r="J844" i="1"/>
  <c r="I844" i="1"/>
  <c r="H844" i="1"/>
  <c r="F844" i="1"/>
  <c r="J843" i="1"/>
  <c r="H843" i="1" s="1"/>
  <c r="I843" i="1"/>
  <c r="F843" i="1" s="1"/>
  <c r="J842" i="1"/>
  <c r="H842" i="1" s="1"/>
  <c r="I842" i="1"/>
  <c r="F842" i="1"/>
  <c r="J841" i="1"/>
  <c r="H841" i="1" s="1"/>
  <c r="I841" i="1"/>
  <c r="F841" i="1"/>
  <c r="J840" i="1"/>
  <c r="H840" i="1" s="1"/>
  <c r="I840" i="1"/>
  <c r="F840" i="1"/>
  <c r="J839" i="1"/>
  <c r="H839" i="1" s="1"/>
  <c r="I839" i="1"/>
  <c r="F839" i="1" s="1"/>
  <c r="J838" i="1"/>
  <c r="H838" i="1" s="1"/>
  <c r="I838" i="1"/>
  <c r="F838" i="1"/>
  <c r="J837" i="1"/>
  <c r="I837" i="1"/>
  <c r="F837" i="1" s="1"/>
  <c r="H837" i="1"/>
  <c r="J836" i="1"/>
  <c r="H836" i="1" s="1"/>
  <c r="I836" i="1"/>
  <c r="F836" i="1"/>
  <c r="J835" i="1"/>
  <c r="I835" i="1"/>
  <c r="H835" i="1"/>
  <c r="F835" i="1"/>
  <c r="J834" i="1"/>
  <c r="H834" i="1" s="1"/>
  <c r="I834" i="1"/>
  <c r="F834" i="1"/>
  <c r="J833" i="1"/>
  <c r="I833" i="1"/>
  <c r="H833" i="1"/>
  <c r="F833" i="1"/>
  <c r="J832" i="1"/>
  <c r="H832" i="1" s="1"/>
  <c r="I832" i="1"/>
  <c r="F832" i="1"/>
  <c r="J831" i="1"/>
  <c r="H831" i="1" s="1"/>
  <c r="I831" i="1"/>
  <c r="F831" i="1"/>
  <c r="J830" i="1"/>
  <c r="H830" i="1" s="1"/>
  <c r="I830" i="1"/>
  <c r="F830" i="1" s="1"/>
  <c r="J829" i="1"/>
  <c r="H829" i="1" s="1"/>
  <c r="I829" i="1"/>
  <c r="F829" i="1" s="1"/>
  <c r="J828" i="1"/>
  <c r="H828" i="1" s="1"/>
  <c r="I828" i="1"/>
  <c r="F828" i="1"/>
  <c r="J827" i="1"/>
  <c r="I827" i="1"/>
  <c r="F827" i="1" s="1"/>
  <c r="H827" i="1"/>
  <c r="J826" i="1"/>
  <c r="H826" i="1" s="1"/>
  <c r="I826" i="1"/>
  <c r="F826" i="1"/>
  <c r="J825" i="1"/>
  <c r="H825" i="1" s="1"/>
  <c r="I825" i="1"/>
  <c r="F825" i="1"/>
  <c r="J824" i="1"/>
  <c r="H824" i="1" s="1"/>
  <c r="I824" i="1"/>
  <c r="F824" i="1"/>
  <c r="J823" i="1"/>
  <c r="H823" i="1" s="1"/>
  <c r="I823" i="1"/>
  <c r="F823" i="1" s="1"/>
  <c r="J822" i="1"/>
  <c r="H822" i="1" s="1"/>
  <c r="I822" i="1"/>
  <c r="F822" i="1" s="1"/>
  <c r="J821" i="1"/>
  <c r="I821" i="1"/>
  <c r="F821" i="1" s="1"/>
  <c r="H821" i="1"/>
  <c r="J820" i="1"/>
  <c r="H820" i="1" s="1"/>
  <c r="I820" i="1"/>
  <c r="F820" i="1" s="1"/>
  <c r="J819" i="1"/>
  <c r="I819" i="1"/>
  <c r="H819" i="1"/>
  <c r="F819" i="1"/>
  <c r="J818" i="1"/>
  <c r="H818" i="1" s="1"/>
  <c r="I818" i="1"/>
  <c r="F818" i="1" s="1"/>
  <c r="J817" i="1"/>
  <c r="I817" i="1"/>
  <c r="H817" i="1"/>
  <c r="F817" i="1"/>
  <c r="J816" i="1"/>
  <c r="H816" i="1" s="1"/>
  <c r="I816" i="1"/>
  <c r="F816" i="1"/>
  <c r="J815" i="1"/>
  <c r="H815" i="1" s="1"/>
  <c r="I815" i="1"/>
  <c r="F815" i="1"/>
  <c r="J814" i="1"/>
  <c r="H814" i="1" s="1"/>
  <c r="I814" i="1"/>
  <c r="F814" i="1" s="1"/>
  <c r="J813" i="1"/>
  <c r="H813" i="1" s="1"/>
  <c r="I813" i="1"/>
  <c r="F813" i="1" s="1"/>
  <c r="J812" i="1"/>
  <c r="H812" i="1" s="1"/>
  <c r="I812" i="1"/>
  <c r="F812" i="1"/>
  <c r="J811" i="1"/>
  <c r="I811" i="1"/>
  <c r="F811" i="1" s="1"/>
  <c r="H811" i="1"/>
  <c r="J810" i="1"/>
  <c r="H810" i="1" s="1"/>
  <c r="I810" i="1"/>
  <c r="F810" i="1"/>
  <c r="J809" i="1"/>
  <c r="H809" i="1" s="1"/>
  <c r="I809" i="1"/>
  <c r="F809" i="1"/>
  <c r="J808" i="1"/>
  <c r="H808" i="1" s="1"/>
  <c r="I808" i="1"/>
  <c r="F808" i="1"/>
  <c r="J807" i="1"/>
  <c r="H807" i="1" s="1"/>
  <c r="I807" i="1"/>
  <c r="F807" i="1" s="1"/>
  <c r="J806" i="1"/>
  <c r="H806" i="1" s="1"/>
  <c r="I806" i="1"/>
  <c r="F806" i="1" s="1"/>
  <c r="J805" i="1"/>
  <c r="I805" i="1"/>
  <c r="F805" i="1" s="1"/>
  <c r="H805" i="1"/>
  <c r="J804" i="1"/>
  <c r="H804" i="1" s="1"/>
  <c r="I804" i="1"/>
  <c r="F804" i="1" s="1"/>
  <c r="J803" i="1"/>
  <c r="I803" i="1"/>
  <c r="H803" i="1"/>
  <c r="F803" i="1"/>
  <c r="J802" i="1"/>
  <c r="H802" i="1" s="1"/>
  <c r="I802" i="1"/>
  <c r="F802" i="1" s="1"/>
  <c r="J801" i="1"/>
  <c r="I801" i="1"/>
  <c r="H801" i="1"/>
  <c r="F801" i="1"/>
  <c r="J800" i="1"/>
  <c r="H800" i="1" s="1"/>
  <c r="I800" i="1"/>
  <c r="F800" i="1"/>
  <c r="J799" i="1"/>
  <c r="H799" i="1" s="1"/>
  <c r="I799" i="1"/>
  <c r="F799" i="1"/>
  <c r="J798" i="1"/>
  <c r="H798" i="1" s="1"/>
  <c r="I798" i="1"/>
  <c r="F798" i="1" s="1"/>
  <c r="J797" i="1"/>
  <c r="H797" i="1" s="1"/>
  <c r="I797" i="1"/>
  <c r="F797" i="1" s="1"/>
  <c r="J796" i="1"/>
  <c r="H796" i="1" s="1"/>
  <c r="I796" i="1"/>
  <c r="F796" i="1"/>
  <c r="J795" i="1"/>
  <c r="I795" i="1"/>
  <c r="F795" i="1" s="1"/>
  <c r="H795" i="1"/>
  <c r="J794" i="1"/>
  <c r="H794" i="1" s="1"/>
  <c r="I794" i="1"/>
  <c r="F794" i="1"/>
  <c r="J793" i="1"/>
  <c r="H793" i="1" s="1"/>
  <c r="I793" i="1"/>
  <c r="F793" i="1"/>
  <c r="J792" i="1"/>
  <c r="H792" i="1" s="1"/>
  <c r="I792" i="1"/>
  <c r="F792" i="1"/>
  <c r="J791" i="1"/>
  <c r="H791" i="1" s="1"/>
  <c r="I791" i="1"/>
  <c r="F791" i="1" s="1"/>
  <c r="J790" i="1"/>
  <c r="H790" i="1" s="1"/>
  <c r="I790" i="1"/>
  <c r="F790" i="1" s="1"/>
  <c r="J789" i="1"/>
  <c r="I789" i="1"/>
  <c r="F789" i="1" s="1"/>
  <c r="H789" i="1"/>
  <c r="J788" i="1"/>
  <c r="H788" i="1" s="1"/>
  <c r="I788" i="1"/>
  <c r="F788" i="1" s="1"/>
  <c r="J787" i="1"/>
  <c r="I787" i="1"/>
  <c r="H787" i="1"/>
  <c r="F787" i="1"/>
  <c r="J786" i="1"/>
  <c r="H786" i="1" s="1"/>
  <c r="I786" i="1"/>
  <c r="F786" i="1" s="1"/>
  <c r="J785" i="1"/>
  <c r="I785" i="1"/>
  <c r="H785" i="1"/>
  <c r="F785" i="1"/>
  <c r="J784" i="1"/>
  <c r="H784" i="1" s="1"/>
  <c r="I784" i="1"/>
  <c r="F784" i="1"/>
  <c r="J783" i="1"/>
  <c r="H783" i="1" s="1"/>
  <c r="I783" i="1"/>
  <c r="F783" i="1"/>
  <c r="J782" i="1"/>
  <c r="H782" i="1" s="1"/>
  <c r="I782" i="1"/>
  <c r="F782" i="1" s="1"/>
  <c r="J781" i="1"/>
  <c r="H781" i="1" s="1"/>
  <c r="I781" i="1"/>
  <c r="F781" i="1" s="1"/>
  <c r="J780" i="1"/>
  <c r="H780" i="1" s="1"/>
  <c r="I780" i="1"/>
  <c r="F780" i="1"/>
  <c r="J779" i="1"/>
  <c r="I779" i="1"/>
  <c r="F779" i="1" s="1"/>
  <c r="H779" i="1"/>
  <c r="J778" i="1"/>
  <c r="H778" i="1" s="1"/>
  <c r="I778" i="1"/>
  <c r="F778" i="1"/>
  <c r="J777" i="1"/>
  <c r="H777" i="1" s="1"/>
  <c r="I777" i="1"/>
  <c r="F777" i="1"/>
  <c r="J776" i="1"/>
  <c r="H776" i="1" s="1"/>
  <c r="I776" i="1"/>
  <c r="F776" i="1"/>
  <c r="J775" i="1"/>
  <c r="H775" i="1" s="1"/>
  <c r="I775" i="1"/>
  <c r="F775" i="1" s="1"/>
  <c r="J774" i="1"/>
  <c r="I774" i="1"/>
  <c r="H774" i="1"/>
  <c r="F774" i="1"/>
  <c r="J773" i="1"/>
  <c r="I773" i="1"/>
  <c r="H773" i="1"/>
  <c r="F773" i="1"/>
  <c r="J772" i="1"/>
  <c r="I772" i="1"/>
  <c r="H772" i="1"/>
  <c r="F772" i="1"/>
  <c r="J771" i="1"/>
  <c r="I771" i="1"/>
  <c r="H771" i="1"/>
  <c r="F771" i="1"/>
  <c r="J770" i="1"/>
  <c r="I770" i="1"/>
  <c r="H770" i="1"/>
  <c r="F770" i="1"/>
  <c r="J769" i="1"/>
  <c r="I769" i="1"/>
  <c r="H769" i="1"/>
  <c r="F769" i="1"/>
  <c r="J768" i="1"/>
  <c r="I768" i="1"/>
  <c r="H768" i="1"/>
  <c r="F768" i="1"/>
  <c r="J767" i="1"/>
  <c r="I767" i="1"/>
  <c r="H767" i="1"/>
  <c r="F767" i="1"/>
  <c r="J766" i="1"/>
  <c r="I766" i="1"/>
  <c r="H766" i="1"/>
  <c r="F766" i="1"/>
  <c r="J765" i="1"/>
  <c r="I765" i="1"/>
  <c r="H765" i="1"/>
  <c r="F765" i="1"/>
  <c r="J764" i="1"/>
  <c r="I764" i="1"/>
  <c r="H764" i="1"/>
  <c r="F764" i="1"/>
  <c r="J763" i="1"/>
  <c r="I763" i="1"/>
  <c r="H763" i="1"/>
  <c r="F763" i="1"/>
  <c r="J762" i="1"/>
  <c r="I762" i="1"/>
  <c r="H762" i="1"/>
  <c r="F762" i="1"/>
  <c r="J761" i="1"/>
  <c r="I761" i="1"/>
  <c r="H761" i="1"/>
  <c r="F761" i="1"/>
  <c r="J760" i="1"/>
  <c r="I760" i="1"/>
  <c r="H760" i="1"/>
  <c r="F760" i="1"/>
  <c r="J759" i="1"/>
  <c r="I759" i="1"/>
  <c r="H759" i="1"/>
  <c r="F759" i="1"/>
  <c r="J758" i="1"/>
  <c r="I758" i="1"/>
  <c r="H758" i="1"/>
  <c r="F758" i="1"/>
  <c r="J757" i="1"/>
  <c r="I757" i="1"/>
  <c r="H757" i="1"/>
  <c r="F757" i="1"/>
  <c r="J756" i="1"/>
  <c r="I756" i="1"/>
  <c r="H756" i="1"/>
  <c r="F756" i="1"/>
  <c r="J755" i="1"/>
  <c r="I755" i="1"/>
  <c r="H755" i="1"/>
  <c r="F755" i="1"/>
  <c r="J754" i="1"/>
  <c r="I754" i="1"/>
  <c r="H754" i="1"/>
  <c r="F754" i="1"/>
  <c r="J753" i="1"/>
  <c r="I753" i="1"/>
  <c r="H753" i="1"/>
  <c r="F753" i="1"/>
  <c r="J752" i="1"/>
  <c r="I752" i="1"/>
  <c r="H752" i="1"/>
  <c r="F752" i="1"/>
  <c r="J751" i="1"/>
  <c r="I751" i="1"/>
  <c r="H751" i="1"/>
  <c r="F751" i="1"/>
  <c r="J750" i="1"/>
  <c r="I750" i="1"/>
  <c r="H750" i="1"/>
  <c r="F750" i="1"/>
  <c r="J749" i="1"/>
  <c r="I749" i="1"/>
  <c r="H749" i="1"/>
  <c r="F749" i="1"/>
  <c r="J748" i="1"/>
  <c r="I748" i="1"/>
  <c r="H748" i="1"/>
  <c r="F748" i="1"/>
  <c r="J747" i="1"/>
  <c r="I747" i="1"/>
  <c r="H747" i="1"/>
  <c r="F747" i="1"/>
  <c r="J746" i="1"/>
  <c r="I746" i="1"/>
  <c r="H746" i="1"/>
  <c r="F746" i="1"/>
  <c r="J745" i="1"/>
  <c r="I745" i="1"/>
  <c r="H745" i="1"/>
  <c r="F745" i="1"/>
  <c r="J744" i="1"/>
  <c r="I744" i="1"/>
  <c r="H744" i="1"/>
  <c r="F744" i="1"/>
  <c r="J743" i="1"/>
  <c r="I743" i="1"/>
  <c r="H743" i="1"/>
  <c r="F743" i="1"/>
  <c r="J742" i="1"/>
  <c r="I742" i="1"/>
  <c r="H742" i="1"/>
  <c r="F742" i="1"/>
  <c r="J741" i="1"/>
  <c r="I741" i="1"/>
  <c r="H741" i="1"/>
  <c r="F741" i="1"/>
  <c r="J740" i="1"/>
  <c r="I740" i="1"/>
  <c r="H740" i="1"/>
  <c r="F740" i="1"/>
  <c r="J739" i="1"/>
  <c r="I739" i="1"/>
  <c r="H739" i="1"/>
  <c r="F739" i="1"/>
  <c r="J738" i="1"/>
  <c r="I738" i="1"/>
  <c r="H738" i="1"/>
  <c r="F738" i="1"/>
  <c r="J737" i="1"/>
  <c r="I737" i="1"/>
  <c r="H737" i="1"/>
  <c r="F737" i="1"/>
  <c r="J736" i="1"/>
  <c r="I736" i="1"/>
  <c r="H736" i="1"/>
  <c r="F736" i="1"/>
  <c r="J735" i="1"/>
  <c r="I735" i="1"/>
  <c r="H735" i="1"/>
  <c r="F735" i="1"/>
  <c r="J734" i="1"/>
  <c r="I734" i="1"/>
  <c r="H734" i="1"/>
  <c r="F734" i="1"/>
  <c r="J733" i="1"/>
  <c r="I733" i="1"/>
  <c r="H733" i="1"/>
  <c r="F733" i="1"/>
  <c r="J732" i="1"/>
  <c r="I732" i="1"/>
  <c r="H732" i="1"/>
  <c r="F732" i="1"/>
  <c r="J731" i="1"/>
  <c r="I731" i="1"/>
  <c r="H731" i="1"/>
  <c r="F731" i="1"/>
  <c r="J730" i="1"/>
  <c r="I730" i="1"/>
  <c r="H730" i="1"/>
  <c r="F730" i="1"/>
  <c r="J729" i="1"/>
  <c r="I729" i="1"/>
  <c r="H729" i="1"/>
  <c r="F729" i="1"/>
  <c r="J728" i="1"/>
  <c r="I728" i="1"/>
  <c r="H728" i="1"/>
  <c r="F728" i="1"/>
  <c r="J727" i="1"/>
  <c r="I727" i="1"/>
  <c r="H727" i="1"/>
  <c r="F727" i="1"/>
  <c r="J726" i="1"/>
  <c r="I726" i="1"/>
  <c r="H726" i="1"/>
  <c r="F726" i="1"/>
  <c r="J725" i="1"/>
  <c r="I725" i="1"/>
  <c r="H725" i="1"/>
  <c r="F725" i="1"/>
  <c r="J724" i="1"/>
  <c r="I724" i="1"/>
  <c r="H724" i="1"/>
  <c r="F724" i="1"/>
  <c r="J723" i="1"/>
  <c r="I723" i="1"/>
  <c r="H723" i="1"/>
  <c r="F723" i="1"/>
  <c r="J722" i="1"/>
  <c r="I722" i="1"/>
  <c r="H722" i="1"/>
  <c r="F722" i="1"/>
  <c r="J721" i="1"/>
  <c r="I721" i="1"/>
  <c r="H721" i="1"/>
  <c r="F721" i="1"/>
  <c r="J720" i="1"/>
  <c r="I720" i="1"/>
  <c r="H720" i="1"/>
  <c r="F720" i="1"/>
  <c r="J719" i="1"/>
  <c r="I719" i="1"/>
  <c r="H719" i="1"/>
  <c r="F719" i="1"/>
  <c r="J718" i="1"/>
  <c r="I718" i="1"/>
  <c r="H718" i="1"/>
  <c r="F718" i="1"/>
  <c r="J717" i="1"/>
  <c r="I717" i="1"/>
  <c r="H717" i="1"/>
  <c r="F717" i="1"/>
  <c r="J716" i="1"/>
  <c r="I716" i="1"/>
  <c r="H716" i="1"/>
  <c r="F716" i="1"/>
  <c r="J715" i="1"/>
  <c r="I715" i="1"/>
  <c r="H715" i="1"/>
  <c r="F715" i="1"/>
  <c r="J714" i="1"/>
  <c r="I714" i="1"/>
  <c r="H714" i="1"/>
  <c r="F714" i="1"/>
  <c r="J713" i="1"/>
  <c r="I713" i="1"/>
  <c r="H713" i="1"/>
  <c r="F713" i="1"/>
  <c r="J712" i="1"/>
  <c r="I712" i="1"/>
  <c r="H712" i="1"/>
  <c r="F712" i="1"/>
  <c r="J711" i="1"/>
  <c r="I711" i="1"/>
  <c r="H711" i="1"/>
  <c r="F711" i="1"/>
  <c r="J710" i="1"/>
  <c r="I710" i="1"/>
  <c r="H710" i="1"/>
  <c r="F710" i="1"/>
  <c r="J709" i="1"/>
  <c r="I709" i="1"/>
  <c r="H709" i="1"/>
  <c r="F709" i="1"/>
  <c r="J708" i="1"/>
  <c r="I708" i="1"/>
  <c r="H708" i="1"/>
  <c r="F708" i="1"/>
  <c r="J707" i="1"/>
  <c r="I707" i="1"/>
  <c r="H707" i="1"/>
  <c r="F707" i="1"/>
  <c r="J706" i="1"/>
  <c r="I706" i="1"/>
  <c r="H706" i="1"/>
  <c r="F706" i="1"/>
  <c r="J705" i="1"/>
  <c r="I705" i="1"/>
  <c r="H705" i="1"/>
  <c r="F705" i="1"/>
  <c r="J704" i="1"/>
  <c r="I704" i="1"/>
  <c r="H704" i="1"/>
  <c r="F704" i="1"/>
  <c r="J703" i="1"/>
  <c r="I703" i="1"/>
  <c r="H703" i="1"/>
  <c r="F703" i="1"/>
  <c r="J702" i="1"/>
  <c r="I702" i="1"/>
  <c r="H702" i="1"/>
  <c r="F702" i="1"/>
  <c r="J701" i="1"/>
  <c r="I701" i="1"/>
  <c r="H701" i="1"/>
  <c r="F701" i="1"/>
  <c r="J700" i="1"/>
  <c r="I700" i="1"/>
  <c r="H700" i="1"/>
  <c r="F700" i="1"/>
  <c r="J699" i="1"/>
  <c r="I699" i="1"/>
  <c r="H699" i="1"/>
  <c r="F699" i="1"/>
  <c r="J698" i="1"/>
  <c r="I698" i="1"/>
  <c r="H698" i="1"/>
  <c r="F698" i="1"/>
  <c r="J697" i="1"/>
  <c r="I697" i="1"/>
  <c r="H697" i="1"/>
  <c r="F697" i="1"/>
  <c r="J696" i="1"/>
  <c r="I696" i="1"/>
  <c r="H696" i="1"/>
  <c r="F696" i="1"/>
  <c r="J695" i="1"/>
  <c r="I695" i="1"/>
  <c r="H695" i="1"/>
  <c r="F695" i="1"/>
  <c r="J694" i="1"/>
  <c r="I694" i="1"/>
  <c r="H694" i="1"/>
  <c r="F694" i="1"/>
  <c r="J693" i="1"/>
  <c r="I693" i="1"/>
  <c r="H693" i="1"/>
  <c r="F693" i="1"/>
  <c r="J692" i="1"/>
  <c r="I692" i="1"/>
  <c r="H692" i="1"/>
  <c r="F692" i="1"/>
  <c r="J691" i="1"/>
  <c r="I691" i="1"/>
  <c r="H691" i="1"/>
  <c r="F691" i="1"/>
  <c r="J690" i="1"/>
  <c r="I690" i="1"/>
  <c r="H690" i="1"/>
  <c r="F690" i="1"/>
  <c r="J689" i="1"/>
  <c r="I689" i="1"/>
  <c r="H689" i="1"/>
  <c r="F689" i="1"/>
  <c r="J688" i="1"/>
  <c r="I688" i="1"/>
  <c r="H688" i="1"/>
  <c r="F688" i="1"/>
  <c r="J687" i="1"/>
  <c r="I687" i="1"/>
  <c r="H687" i="1"/>
  <c r="F687" i="1"/>
  <c r="J686" i="1"/>
  <c r="I686" i="1"/>
  <c r="H686" i="1"/>
  <c r="F686" i="1"/>
  <c r="J685" i="1"/>
  <c r="I685" i="1"/>
  <c r="H685" i="1"/>
  <c r="F685" i="1"/>
  <c r="J684" i="1"/>
  <c r="I684" i="1"/>
  <c r="H684" i="1"/>
  <c r="F684" i="1"/>
  <c r="J683" i="1"/>
  <c r="I683" i="1"/>
  <c r="H683" i="1"/>
  <c r="F683" i="1"/>
  <c r="J682" i="1"/>
  <c r="I682" i="1"/>
  <c r="H682" i="1"/>
  <c r="F682" i="1"/>
  <c r="J681" i="1"/>
  <c r="I681" i="1"/>
  <c r="H681" i="1"/>
  <c r="F681" i="1"/>
  <c r="J680" i="1"/>
  <c r="I680" i="1"/>
  <c r="H680" i="1"/>
  <c r="F680" i="1"/>
  <c r="J679" i="1"/>
  <c r="I679" i="1"/>
  <c r="H679" i="1"/>
  <c r="F679" i="1"/>
  <c r="J678" i="1"/>
  <c r="I678" i="1"/>
  <c r="H678" i="1"/>
  <c r="F678" i="1"/>
  <c r="J677" i="1"/>
  <c r="I677" i="1"/>
  <c r="H677" i="1"/>
  <c r="F677" i="1"/>
  <c r="J676" i="1"/>
  <c r="I676" i="1"/>
  <c r="H676" i="1"/>
  <c r="F676" i="1"/>
  <c r="J675" i="1"/>
  <c r="I675" i="1"/>
  <c r="H675" i="1"/>
  <c r="F675" i="1"/>
  <c r="J674" i="1"/>
  <c r="I674" i="1"/>
  <c r="H674" i="1"/>
  <c r="F674" i="1"/>
  <c r="J673" i="1"/>
  <c r="I673" i="1"/>
  <c r="H673" i="1"/>
  <c r="F673" i="1"/>
  <c r="J672" i="1"/>
  <c r="I672" i="1"/>
  <c r="H672" i="1"/>
  <c r="F672" i="1"/>
  <c r="J671" i="1"/>
  <c r="I671" i="1"/>
  <c r="H671" i="1"/>
  <c r="F671" i="1"/>
  <c r="J670" i="1"/>
  <c r="I670" i="1"/>
  <c r="H670" i="1"/>
  <c r="F670" i="1"/>
  <c r="J669" i="1"/>
  <c r="I669" i="1"/>
  <c r="H669" i="1"/>
  <c r="F669" i="1"/>
  <c r="J668" i="1"/>
  <c r="I668" i="1"/>
  <c r="H668" i="1"/>
  <c r="F668" i="1"/>
  <c r="J667" i="1"/>
  <c r="I667" i="1"/>
  <c r="H667" i="1"/>
  <c r="F667" i="1"/>
  <c r="J666" i="1"/>
  <c r="I666" i="1"/>
  <c r="H666" i="1"/>
  <c r="F666" i="1"/>
  <c r="J665" i="1"/>
  <c r="I665" i="1"/>
  <c r="H665" i="1"/>
  <c r="F665" i="1"/>
  <c r="J664" i="1"/>
  <c r="I664" i="1"/>
  <c r="H664" i="1"/>
  <c r="F664" i="1"/>
  <c r="J663" i="1"/>
  <c r="I663" i="1"/>
  <c r="H663" i="1"/>
  <c r="F663" i="1"/>
  <c r="J662" i="1"/>
  <c r="I662" i="1"/>
  <c r="H662" i="1"/>
  <c r="F662" i="1"/>
  <c r="J661" i="1"/>
  <c r="I661" i="1"/>
  <c r="H661" i="1"/>
  <c r="F661" i="1"/>
  <c r="J660" i="1"/>
  <c r="I660" i="1"/>
  <c r="H660" i="1"/>
  <c r="F660" i="1"/>
  <c r="J659" i="1"/>
  <c r="I659" i="1"/>
  <c r="H659" i="1"/>
  <c r="F659" i="1"/>
  <c r="J658" i="1"/>
  <c r="I658" i="1"/>
  <c r="H658" i="1"/>
  <c r="F658" i="1"/>
  <c r="J657" i="1"/>
  <c r="I657" i="1"/>
  <c r="H657" i="1"/>
  <c r="F657" i="1"/>
  <c r="J656" i="1"/>
  <c r="I656" i="1"/>
  <c r="H656" i="1"/>
  <c r="F656" i="1"/>
  <c r="J655" i="1"/>
  <c r="I655" i="1"/>
  <c r="H655" i="1"/>
  <c r="F655" i="1"/>
  <c r="J654" i="1"/>
  <c r="I654" i="1"/>
  <c r="H654" i="1"/>
  <c r="F654" i="1"/>
  <c r="J653" i="1"/>
  <c r="I653" i="1"/>
  <c r="H653" i="1"/>
  <c r="F653" i="1"/>
  <c r="J652" i="1"/>
  <c r="I652" i="1"/>
  <c r="H652" i="1"/>
  <c r="F652" i="1"/>
  <c r="J651" i="1"/>
  <c r="I651" i="1"/>
  <c r="H651" i="1"/>
  <c r="F651" i="1"/>
  <c r="J650" i="1"/>
  <c r="I650" i="1"/>
  <c r="H650" i="1"/>
  <c r="F650" i="1"/>
  <c r="J649" i="1"/>
  <c r="I649" i="1"/>
  <c r="H649" i="1"/>
  <c r="F649" i="1"/>
  <c r="J648" i="1"/>
  <c r="I648" i="1"/>
  <c r="H648" i="1"/>
  <c r="F648" i="1"/>
  <c r="J647" i="1"/>
  <c r="I647" i="1"/>
  <c r="H647" i="1"/>
  <c r="F647" i="1"/>
  <c r="J646" i="1"/>
  <c r="I646" i="1"/>
  <c r="H646" i="1"/>
  <c r="F646" i="1"/>
  <c r="J645" i="1"/>
  <c r="I645" i="1"/>
  <c r="H645" i="1"/>
  <c r="F645" i="1"/>
  <c r="J644" i="1"/>
  <c r="I644" i="1"/>
  <c r="H644" i="1"/>
  <c r="F644" i="1"/>
  <c r="J643" i="1"/>
  <c r="I643" i="1"/>
  <c r="H643" i="1"/>
  <c r="F643" i="1"/>
  <c r="J642" i="1"/>
  <c r="I642" i="1"/>
  <c r="H642" i="1"/>
  <c r="F642" i="1"/>
  <c r="J641" i="1"/>
  <c r="I641" i="1"/>
  <c r="H641" i="1"/>
  <c r="F641" i="1"/>
  <c r="J640" i="1"/>
  <c r="I640" i="1"/>
  <c r="H640" i="1"/>
  <c r="F640" i="1"/>
  <c r="J639" i="1"/>
  <c r="I639" i="1"/>
  <c r="H639" i="1"/>
  <c r="F639" i="1"/>
  <c r="J638" i="1"/>
  <c r="I638" i="1"/>
  <c r="H638" i="1"/>
  <c r="F638" i="1"/>
  <c r="J637" i="1"/>
  <c r="I637" i="1"/>
  <c r="H637" i="1"/>
  <c r="F637" i="1"/>
  <c r="J636" i="1"/>
  <c r="I636" i="1"/>
  <c r="H636" i="1"/>
  <c r="F636" i="1"/>
  <c r="J635" i="1"/>
  <c r="I635" i="1"/>
  <c r="H635" i="1"/>
  <c r="F635" i="1"/>
  <c r="J634" i="1"/>
  <c r="I634" i="1"/>
  <c r="H634" i="1"/>
  <c r="F634" i="1"/>
  <c r="J633" i="1"/>
  <c r="I633" i="1"/>
  <c r="H633" i="1"/>
  <c r="F633" i="1"/>
  <c r="J632" i="1"/>
  <c r="I632" i="1"/>
  <c r="H632" i="1"/>
  <c r="F632" i="1"/>
  <c r="J631" i="1"/>
  <c r="I631" i="1"/>
  <c r="H631" i="1"/>
  <c r="F631" i="1"/>
  <c r="J630" i="1"/>
  <c r="I630" i="1"/>
  <c r="H630" i="1"/>
  <c r="F630" i="1"/>
  <c r="J629" i="1"/>
  <c r="I629" i="1"/>
  <c r="H629" i="1"/>
  <c r="F629" i="1"/>
  <c r="J628" i="1"/>
  <c r="I628" i="1"/>
  <c r="H628" i="1"/>
  <c r="F628" i="1"/>
  <c r="J627" i="1"/>
  <c r="I627" i="1"/>
  <c r="H627" i="1"/>
  <c r="F627" i="1"/>
  <c r="J626" i="1"/>
  <c r="I626" i="1"/>
  <c r="H626" i="1"/>
  <c r="F626" i="1"/>
  <c r="J625" i="1"/>
  <c r="I625" i="1"/>
  <c r="H625" i="1"/>
  <c r="F625" i="1"/>
  <c r="J624" i="1"/>
  <c r="I624" i="1"/>
  <c r="H624" i="1"/>
  <c r="F624" i="1"/>
  <c r="J623" i="1"/>
  <c r="I623" i="1"/>
  <c r="H623" i="1"/>
  <c r="F623" i="1"/>
  <c r="J622" i="1"/>
  <c r="I622" i="1"/>
  <c r="H622" i="1"/>
  <c r="F622" i="1"/>
  <c r="J621" i="1"/>
  <c r="I621" i="1"/>
  <c r="H621" i="1"/>
  <c r="F621" i="1"/>
  <c r="J620" i="1"/>
  <c r="I620" i="1"/>
  <c r="H620" i="1"/>
  <c r="F620" i="1"/>
  <c r="J619" i="1"/>
  <c r="I619" i="1"/>
  <c r="H619" i="1"/>
  <c r="F619" i="1"/>
  <c r="J618" i="1"/>
  <c r="I618" i="1"/>
  <c r="H618" i="1"/>
  <c r="F618" i="1"/>
  <c r="J617" i="1"/>
  <c r="I617" i="1"/>
  <c r="H617" i="1"/>
  <c r="F617" i="1"/>
  <c r="J616" i="1"/>
  <c r="I616" i="1"/>
  <c r="H616" i="1"/>
  <c r="F616" i="1"/>
  <c r="J615" i="1"/>
  <c r="I615" i="1"/>
  <c r="H615" i="1"/>
  <c r="F615" i="1"/>
  <c r="J614" i="1"/>
  <c r="I614" i="1"/>
  <c r="H614" i="1"/>
  <c r="F614" i="1"/>
  <c r="J613" i="1"/>
  <c r="I613" i="1"/>
  <c r="H613" i="1"/>
  <c r="F613" i="1"/>
  <c r="J612" i="1"/>
  <c r="I612" i="1"/>
  <c r="H612" i="1"/>
  <c r="F612" i="1"/>
  <c r="J611" i="1"/>
  <c r="I611" i="1"/>
  <c r="H611" i="1"/>
  <c r="F611" i="1"/>
  <c r="J610" i="1"/>
  <c r="I610" i="1"/>
  <c r="H610" i="1"/>
  <c r="F610" i="1"/>
  <c r="J609" i="1"/>
  <c r="I609" i="1"/>
  <c r="H609" i="1"/>
  <c r="F609" i="1"/>
  <c r="J608" i="1"/>
  <c r="I608" i="1"/>
  <c r="H608" i="1"/>
  <c r="F608" i="1"/>
  <c r="J607" i="1"/>
  <c r="I607" i="1"/>
  <c r="H607" i="1"/>
  <c r="F607" i="1"/>
  <c r="J606" i="1"/>
  <c r="I606" i="1"/>
  <c r="H606" i="1"/>
  <c r="F606" i="1"/>
  <c r="J605" i="1"/>
  <c r="H605" i="1" s="1"/>
  <c r="I605" i="1"/>
  <c r="F605" i="1" s="1"/>
  <c r="J604" i="1"/>
  <c r="H604" i="1" s="1"/>
  <c r="I604" i="1"/>
  <c r="F604" i="1" s="1"/>
  <c r="J603" i="1"/>
  <c r="I603" i="1"/>
  <c r="F603" i="1" s="1"/>
  <c r="H603" i="1"/>
  <c r="J602" i="1"/>
  <c r="H602" i="1" s="1"/>
  <c r="I602" i="1"/>
  <c r="F602" i="1"/>
  <c r="J601" i="1"/>
  <c r="I601" i="1"/>
  <c r="H601" i="1"/>
  <c r="F601" i="1"/>
  <c r="J600" i="1"/>
  <c r="H600" i="1" s="1"/>
  <c r="I600" i="1"/>
  <c r="F600" i="1"/>
  <c r="J599" i="1"/>
  <c r="H599" i="1" s="1"/>
  <c r="I599" i="1"/>
  <c r="F599" i="1"/>
  <c r="J598" i="1"/>
  <c r="H598" i="1" s="1"/>
  <c r="I598" i="1"/>
  <c r="F598" i="1"/>
  <c r="J597" i="1"/>
  <c r="H597" i="1" s="1"/>
  <c r="I597" i="1"/>
  <c r="F597" i="1" s="1"/>
  <c r="J596" i="1"/>
  <c r="H596" i="1" s="1"/>
  <c r="I596" i="1"/>
  <c r="F596" i="1" s="1"/>
  <c r="J595" i="1"/>
  <c r="I595" i="1"/>
  <c r="F595" i="1" s="1"/>
  <c r="H595" i="1"/>
  <c r="J594" i="1"/>
  <c r="I594" i="1"/>
  <c r="H594" i="1"/>
  <c r="F594" i="1"/>
  <c r="J593" i="1"/>
  <c r="I593" i="1"/>
  <c r="F593" i="1" s="1"/>
  <c r="H593" i="1"/>
  <c r="J592" i="1"/>
  <c r="H592" i="1" s="1"/>
  <c r="I592" i="1"/>
  <c r="F592" i="1"/>
  <c r="J591" i="1"/>
  <c r="I591" i="1"/>
  <c r="H591" i="1"/>
  <c r="F591" i="1"/>
  <c r="J590" i="1"/>
  <c r="H590" i="1" s="1"/>
  <c r="I590" i="1"/>
  <c r="F590" i="1"/>
  <c r="J589" i="1"/>
  <c r="H589" i="1" s="1"/>
  <c r="I589" i="1"/>
  <c r="F589" i="1"/>
  <c r="J588" i="1"/>
  <c r="H588" i="1" s="1"/>
  <c r="I588" i="1"/>
  <c r="F588" i="1"/>
  <c r="J587" i="1"/>
  <c r="H587" i="1" s="1"/>
  <c r="I587" i="1"/>
  <c r="F587" i="1" s="1"/>
  <c r="J586" i="1"/>
  <c r="H586" i="1" s="1"/>
  <c r="I586" i="1"/>
  <c r="F586" i="1" s="1"/>
  <c r="J585" i="1"/>
  <c r="I585" i="1"/>
  <c r="F585" i="1" s="1"/>
  <c r="H585" i="1"/>
  <c r="J584" i="1"/>
  <c r="H584" i="1" s="1"/>
  <c r="I584" i="1"/>
  <c r="F584" i="1"/>
  <c r="J583" i="1"/>
  <c r="I583" i="1"/>
  <c r="H583" i="1"/>
  <c r="F583" i="1"/>
  <c r="J582" i="1"/>
  <c r="H582" i="1" s="1"/>
  <c r="I582" i="1"/>
  <c r="F582" i="1"/>
  <c r="J581" i="1"/>
  <c r="H581" i="1" s="1"/>
  <c r="I581" i="1"/>
  <c r="F581" i="1"/>
  <c r="J580" i="1"/>
  <c r="H580" i="1" s="1"/>
  <c r="I580" i="1"/>
  <c r="F580" i="1"/>
  <c r="J579" i="1"/>
  <c r="H579" i="1" s="1"/>
  <c r="I579" i="1"/>
  <c r="F579" i="1" s="1"/>
  <c r="J578" i="1"/>
  <c r="H578" i="1" s="1"/>
  <c r="I578" i="1"/>
  <c r="F578" i="1" s="1"/>
  <c r="J577" i="1"/>
  <c r="I577" i="1"/>
  <c r="F577" i="1" s="1"/>
  <c r="H577" i="1"/>
  <c r="J576" i="1"/>
  <c r="H576" i="1" s="1"/>
  <c r="I576" i="1"/>
  <c r="F576" i="1"/>
  <c r="J575" i="1"/>
  <c r="I575" i="1"/>
  <c r="H575" i="1"/>
  <c r="F575" i="1"/>
  <c r="J574" i="1"/>
  <c r="H574" i="1" s="1"/>
  <c r="I574" i="1"/>
  <c r="F574" i="1"/>
  <c r="J573" i="1"/>
  <c r="H573" i="1" s="1"/>
  <c r="I573" i="1"/>
  <c r="F573" i="1"/>
  <c r="J572" i="1"/>
  <c r="I572" i="1"/>
  <c r="H572" i="1"/>
  <c r="F572" i="1"/>
  <c r="J571" i="1"/>
  <c r="H571" i="1" s="1"/>
  <c r="I571" i="1"/>
  <c r="F571" i="1"/>
  <c r="J570" i="1"/>
  <c r="H570" i="1" s="1"/>
  <c r="I570" i="1"/>
  <c r="F570" i="1"/>
  <c r="J569" i="1"/>
  <c r="H569" i="1" s="1"/>
  <c r="I569" i="1"/>
  <c r="F569" i="1" s="1"/>
  <c r="J568" i="1"/>
  <c r="H568" i="1" s="1"/>
  <c r="I568" i="1"/>
  <c r="F568" i="1" s="1"/>
  <c r="J567" i="1"/>
  <c r="I567" i="1"/>
  <c r="F567" i="1" s="1"/>
  <c r="H567" i="1"/>
  <c r="J566" i="1"/>
  <c r="H566" i="1" s="1"/>
  <c r="I566" i="1"/>
  <c r="F566" i="1"/>
  <c r="J565" i="1"/>
  <c r="I565" i="1"/>
  <c r="H565" i="1"/>
  <c r="F565" i="1"/>
  <c r="J564" i="1"/>
  <c r="H564" i="1" s="1"/>
  <c r="I564" i="1"/>
  <c r="F564" i="1"/>
  <c r="J563" i="1"/>
  <c r="H563" i="1" s="1"/>
  <c r="I563" i="1"/>
  <c r="F563" i="1"/>
  <c r="J562" i="1"/>
  <c r="H562" i="1" s="1"/>
  <c r="I562" i="1"/>
  <c r="F562" i="1"/>
  <c r="J561" i="1"/>
  <c r="H561" i="1" s="1"/>
  <c r="I561" i="1"/>
  <c r="F561" i="1" s="1"/>
  <c r="J560" i="1"/>
  <c r="H560" i="1" s="1"/>
  <c r="I560" i="1"/>
  <c r="F560" i="1" s="1"/>
  <c r="J559" i="1"/>
  <c r="I559" i="1"/>
  <c r="F559" i="1" s="1"/>
  <c r="H559" i="1"/>
  <c r="J558" i="1"/>
  <c r="H558" i="1" s="1"/>
  <c r="I558" i="1"/>
  <c r="F558" i="1"/>
  <c r="J557" i="1"/>
  <c r="I557" i="1"/>
  <c r="H557" i="1"/>
  <c r="F557" i="1"/>
  <c r="J556" i="1"/>
  <c r="H556" i="1" s="1"/>
  <c r="I556" i="1"/>
  <c r="F556" i="1"/>
  <c r="J555" i="1"/>
  <c r="H555" i="1" s="1"/>
  <c r="I555" i="1"/>
  <c r="F555" i="1"/>
  <c r="J554" i="1"/>
  <c r="H554" i="1" s="1"/>
  <c r="I554" i="1"/>
  <c r="F554" i="1"/>
  <c r="J553" i="1"/>
  <c r="H553" i="1" s="1"/>
  <c r="I553" i="1"/>
  <c r="F553" i="1" s="1"/>
  <c r="J552" i="1"/>
  <c r="H552" i="1" s="1"/>
  <c r="I552" i="1"/>
  <c r="F552" i="1" s="1"/>
  <c r="J551" i="1"/>
  <c r="I551" i="1"/>
  <c r="F551" i="1" s="1"/>
  <c r="H551" i="1"/>
  <c r="J550" i="1"/>
  <c r="H550" i="1" s="1"/>
  <c r="I550" i="1"/>
  <c r="F550" i="1"/>
  <c r="J549" i="1"/>
  <c r="I549" i="1"/>
  <c r="H549" i="1"/>
  <c r="F549" i="1"/>
  <c r="J548" i="1"/>
  <c r="H548" i="1" s="1"/>
  <c r="I548" i="1"/>
  <c r="F548" i="1"/>
  <c r="J547" i="1"/>
  <c r="I547" i="1"/>
  <c r="H547" i="1"/>
  <c r="F547" i="1"/>
  <c r="J546" i="1"/>
  <c r="H546" i="1" s="1"/>
  <c r="I546" i="1"/>
  <c r="F546" i="1"/>
  <c r="J545" i="1"/>
  <c r="H545" i="1" s="1"/>
  <c r="I545" i="1"/>
  <c r="F545" i="1" s="1"/>
  <c r="J544" i="1"/>
  <c r="H544" i="1" s="1"/>
  <c r="I544" i="1"/>
  <c r="F544" i="1" s="1"/>
  <c r="J543" i="1"/>
  <c r="I543" i="1"/>
  <c r="H543" i="1"/>
  <c r="F543" i="1"/>
  <c r="J542" i="1"/>
  <c r="I542" i="1"/>
  <c r="H542" i="1"/>
  <c r="F542" i="1"/>
  <c r="J541" i="1"/>
  <c r="I541" i="1"/>
  <c r="H541" i="1"/>
  <c r="F541" i="1"/>
  <c r="J540" i="1"/>
  <c r="I540" i="1"/>
  <c r="H540" i="1"/>
  <c r="F540" i="1"/>
  <c r="J539" i="1"/>
  <c r="I539" i="1"/>
  <c r="H539" i="1"/>
  <c r="F539" i="1"/>
  <c r="J538" i="1"/>
  <c r="I538" i="1"/>
  <c r="H538" i="1"/>
  <c r="F538" i="1"/>
  <c r="J537" i="1"/>
  <c r="I537" i="1"/>
  <c r="H537" i="1"/>
  <c r="F537" i="1"/>
  <c r="J536" i="1"/>
  <c r="I536" i="1"/>
  <c r="H536" i="1"/>
  <c r="F536" i="1"/>
  <c r="J535" i="1"/>
  <c r="I535" i="1"/>
  <c r="H535" i="1"/>
  <c r="F535" i="1"/>
  <c r="J534" i="1"/>
  <c r="I534" i="1"/>
  <c r="H534" i="1"/>
  <c r="F534" i="1"/>
  <c r="J533" i="1"/>
  <c r="I533" i="1"/>
  <c r="H533" i="1"/>
  <c r="F533" i="1"/>
  <c r="J532" i="1"/>
  <c r="I532" i="1"/>
  <c r="H532" i="1"/>
  <c r="F532" i="1"/>
  <c r="J531" i="1"/>
  <c r="I531" i="1"/>
  <c r="H531" i="1"/>
  <c r="F531" i="1"/>
  <c r="J530" i="1"/>
  <c r="I530" i="1"/>
  <c r="H530" i="1"/>
  <c r="F530" i="1"/>
  <c r="J529" i="1"/>
  <c r="I529" i="1"/>
  <c r="H529" i="1"/>
  <c r="F529" i="1"/>
  <c r="J528" i="1"/>
  <c r="I528" i="1"/>
  <c r="H528" i="1"/>
  <c r="F528" i="1"/>
  <c r="J527" i="1"/>
  <c r="I527" i="1"/>
  <c r="H527" i="1"/>
  <c r="F527" i="1"/>
  <c r="J526" i="1"/>
  <c r="I526" i="1"/>
  <c r="H526" i="1"/>
  <c r="F526" i="1"/>
  <c r="J525" i="1"/>
  <c r="I525" i="1"/>
  <c r="H525" i="1"/>
  <c r="F525" i="1"/>
  <c r="J524" i="1"/>
  <c r="I524" i="1"/>
  <c r="H524" i="1"/>
  <c r="F524" i="1"/>
  <c r="J523" i="1"/>
  <c r="I523" i="1"/>
  <c r="H523" i="1"/>
  <c r="F523" i="1"/>
  <c r="J522" i="1"/>
  <c r="I522" i="1"/>
  <c r="H522" i="1"/>
  <c r="F522" i="1"/>
  <c r="J521" i="1"/>
  <c r="I521" i="1"/>
  <c r="H521" i="1"/>
  <c r="F521" i="1"/>
  <c r="J520" i="1"/>
  <c r="I520" i="1"/>
  <c r="H520" i="1"/>
  <c r="F520" i="1"/>
  <c r="J519" i="1"/>
  <c r="I519" i="1"/>
  <c r="H519" i="1"/>
  <c r="F519" i="1"/>
  <c r="J518" i="1"/>
  <c r="I518" i="1"/>
  <c r="H518" i="1"/>
  <c r="F518" i="1"/>
  <c r="J517" i="1"/>
  <c r="I517" i="1"/>
  <c r="H517" i="1"/>
  <c r="F517" i="1"/>
  <c r="J516" i="1"/>
  <c r="I516" i="1"/>
  <c r="H516" i="1"/>
  <c r="F516" i="1"/>
  <c r="J515" i="1"/>
  <c r="I515" i="1"/>
  <c r="H515" i="1"/>
  <c r="F515" i="1"/>
  <c r="J514" i="1"/>
  <c r="I514" i="1"/>
  <c r="H514" i="1"/>
  <c r="F514" i="1"/>
  <c r="J513" i="1"/>
  <c r="I513" i="1"/>
  <c r="H513" i="1"/>
  <c r="F513" i="1"/>
  <c r="J512" i="1"/>
  <c r="I512" i="1"/>
  <c r="H512" i="1"/>
  <c r="F512" i="1"/>
  <c r="J511" i="1"/>
  <c r="I511" i="1"/>
  <c r="H511" i="1"/>
  <c r="F511" i="1"/>
  <c r="J510" i="1"/>
  <c r="I510" i="1"/>
  <c r="H510" i="1"/>
  <c r="F510" i="1"/>
  <c r="J509" i="1"/>
  <c r="I509" i="1"/>
  <c r="H509" i="1"/>
  <c r="F509" i="1"/>
  <c r="J508" i="1"/>
  <c r="I508" i="1"/>
  <c r="H508" i="1"/>
  <c r="F508" i="1"/>
  <c r="J507" i="1"/>
  <c r="I507" i="1"/>
  <c r="H507" i="1"/>
  <c r="F507" i="1"/>
  <c r="J506" i="1"/>
  <c r="I506" i="1"/>
  <c r="H506" i="1"/>
  <c r="F506" i="1"/>
  <c r="J505" i="1"/>
  <c r="I505" i="1"/>
  <c r="H505" i="1"/>
  <c r="F505" i="1"/>
  <c r="J504" i="1"/>
  <c r="I504" i="1"/>
  <c r="H504" i="1"/>
  <c r="F504" i="1"/>
  <c r="J503" i="1"/>
  <c r="I503" i="1"/>
  <c r="H503" i="1"/>
  <c r="F503" i="1"/>
  <c r="J502" i="1"/>
  <c r="I502" i="1"/>
  <c r="H502" i="1"/>
  <c r="F502" i="1"/>
  <c r="J501" i="1"/>
  <c r="I501" i="1"/>
  <c r="H501" i="1"/>
  <c r="F501" i="1"/>
  <c r="J500" i="1"/>
  <c r="I500" i="1"/>
  <c r="H500" i="1"/>
  <c r="F500" i="1"/>
  <c r="J499" i="1"/>
  <c r="I499" i="1"/>
  <c r="H499" i="1"/>
  <c r="F499" i="1"/>
  <c r="J498" i="1"/>
  <c r="I498" i="1"/>
  <c r="H498" i="1"/>
  <c r="F498" i="1"/>
  <c r="J497" i="1"/>
  <c r="I497" i="1"/>
  <c r="H497" i="1"/>
  <c r="F497" i="1"/>
  <c r="J496" i="1"/>
  <c r="I496" i="1"/>
  <c r="H496" i="1"/>
  <c r="F496" i="1"/>
  <c r="J495" i="1"/>
  <c r="I495" i="1"/>
  <c r="H495" i="1"/>
  <c r="F495" i="1"/>
  <c r="J494" i="1"/>
  <c r="I494" i="1"/>
  <c r="H494" i="1"/>
  <c r="F494" i="1"/>
  <c r="J493" i="1"/>
  <c r="I493" i="1"/>
  <c r="H493" i="1"/>
  <c r="F493" i="1"/>
  <c r="J492" i="1"/>
  <c r="I492" i="1"/>
  <c r="H492" i="1"/>
  <c r="F492" i="1"/>
  <c r="J491" i="1"/>
  <c r="I491" i="1"/>
  <c r="H491" i="1"/>
  <c r="F491" i="1"/>
  <c r="J490" i="1"/>
  <c r="I490" i="1"/>
  <c r="H490" i="1"/>
  <c r="F490" i="1"/>
  <c r="J489" i="1"/>
  <c r="I489" i="1"/>
  <c r="H489" i="1"/>
  <c r="F489" i="1"/>
  <c r="J488" i="1"/>
  <c r="I488" i="1"/>
  <c r="H488" i="1"/>
  <c r="F488" i="1"/>
  <c r="J487" i="1"/>
  <c r="I487" i="1"/>
  <c r="H487" i="1"/>
  <c r="F487" i="1"/>
  <c r="J486" i="1"/>
  <c r="I486" i="1"/>
  <c r="H486" i="1"/>
  <c r="F486" i="1"/>
  <c r="J485" i="1"/>
  <c r="I485" i="1"/>
  <c r="H485" i="1"/>
  <c r="F485" i="1"/>
  <c r="J484" i="1"/>
  <c r="I484" i="1"/>
  <c r="H484" i="1"/>
  <c r="F484" i="1"/>
  <c r="J483" i="1"/>
  <c r="I483" i="1"/>
  <c r="H483" i="1"/>
  <c r="F483" i="1"/>
  <c r="J482" i="1"/>
  <c r="I482" i="1"/>
  <c r="H482" i="1"/>
  <c r="F482" i="1"/>
  <c r="J481" i="1"/>
  <c r="I481" i="1"/>
  <c r="H481" i="1"/>
  <c r="F481" i="1"/>
  <c r="J480" i="1"/>
  <c r="I480" i="1"/>
  <c r="H480" i="1"/>
  <c r="F480" i="1"/>
  <c r="J479" i="1"/>
  <c r="I479" i="1"/>
  <c r="H479" i="1"/>
  <c r="F479" i="1"/>
  <c r="J478" i="1"/>
  <c r="I478" i="1"/>
  <c r="H478" i="1"/>
  <c r="F478" i="1"/>
  <c r="J477" i="1"/>
  <c r="I477" i="1"/>
  <c r="H477" i="1"/>
  <c r="F477" i="1"/>
  <c r="J476" i="1"/>
  <c r="I476" i="1"/>
  <c r="H476" i="1"/>
  <c r="F476" i="1"/>
  <c r="J475" i="1"/>
  <c r="I475" i="1"/>
  <c r="H475" i="1"/>
  <c r="F475" i="1"/>
  <c r="J474" i="1"/>
  <c r="I474" i="1"/>
  <c r="H474" i="1"/>
  <c r="F474" i="1"/>
  <c r="J473" i="1"/>
  <c r="I473" i="1"/>
  <c r="H473" i="1"/>
  <c r="F473" i="1"/>
  <c r="J472" i="1"/>
  <c r="I472" i="1"/>
  <c r="H472" i="1"/>
  <c r="F472" i="1"/>
  <c r="J471" i="1"/>
  <c r="I471" i="1"/>
  <c r="H471" i="1"/>
  <c r="F471" i="1"/>
  <c r="J470" i="1"/>
  <c r="I470" i="1"/>
  <c r="H470" i="1"/>
  <c r="F470" i="1"/>
  <c r="J469" i="1"/>
  <c r="I469" i="1"/>
  <c r="H469" i="1"/>
  <c r="F469" i="1"/>
  <c r="J468" i="1"/>
  <c r="I468" i="1"/>
  <c r="H468" i="1"/>
  <c r="F468" i="1"/>
  <c r="J467" i="1"/>
  <c r="I467" i="1"/>
  <c r="H467" i="1"/>
  <c r="F467" i="1"/>
  <c r="J466" i="1"/>
  <c r="I466" i="1"/>
  <c r="H466" i="1"/>
  <c r="F466" i="1"/>
  <c r="J465" i="1"/>
  <c r="I465" i="1"/>
  <c r="H465" i="1"/>
  <c r="F465" i="1"/>
  <c r="J464" i="1"/>
  <c r="I464" i="1"/>
  <c r="H464" i="1"/>
  <c r="F464" i="1"/>
  <c r="J463" i="1"/>
  <c r="I463" i="1"/>
  <c r="H463" i="1"/>
  <c r="F463" i="1"/>
  <c r="J462" i="1"/>
  <c r="I462" i="1"/>
  <c r="H462" i="1"/>
  <c r="F462" i="1"/>
  <c r="J461" i="1"/>
  <c r="I461" i="1"/>
  <c r="H461" i="1"/>
  <c r="F461" i="1"/>
  <c r="J460" i="1"/>
  <c r="I460" i="1"/>
  <c r="H460" i="1"/>
  <c r="F460" i="1"/>
  <c r="J459" i="1"/>
  <c r="I459" i="1"/>
  <c r="H459" i="1"/>
  <c r="F459" i="1"/>
  <c r="J458" i="1"/>
  <c r="I458" i="1"/>
  <c r="H458" i="1"/>
  <c r="F458" i="1"/>
  <c r="J457" i="1"/>
  <c r="I457" i="1"/>
  <c r="H457" i="1"/>
  <c r="F457" i="1"/>
  <c r="J456" i="1"/>
  <c r="I456" i="1"/>
  <c r="H456" i="1"/>
  <c r="F456" i="1"/>
  <c r="J455" i="1"/>
  <c r="I455" i="1"/>
  <c r="H455" i="1"/>
  <c r="F455" i="1"/>
  <c r="J454" i="1"/>
  <c r="I454" i="1"/>
  <c r="H454" i="1"/>
  <c r="F454" i="1"/>
  <c r="J453" i="1"/>
  <c r="I453" i="1"/>
  <c r="H453" i="1"/>
  <c r="F453" i="1"/>
  <c r="J452" i="1"/>
  <c r="I452" i="1"/>
  <c r="H452" i="1"/>
  <c r="F452" i="1"/>
  <c r="J451" i="1"/>
  <c r="I451" i="1"/>
  <c r="H451" i="1"/>
  <c r="F451" i="1"/>
  <c r="J450" i="1"/>
  <c r="I450" i="1"/>
  <c r="H450" i="1"/>
  <c r="F450" i="1"/>
  <c r="J449" i="1"/>
  <c r="I449" i="1"/>
  <c r="H449" i="1"/>
  <c r="F449" i="1"/>
  <c r="J448" i="1"/>
  <c r="I448" i="1"/>
  <c r="H448" i="1"/>
  <c r="F448" i="1"/>
  <c r="J447" i="1"/>
  <c r="I447" i="1"/>
  <c r="H447" i="1"/>
  <c r="F447" i="1"/>
  <c r="J446" i="1"/>
  <c r="I446" i="1"/>
  <c r="H446" i="1"/>
  <c r="F446" i="1"/>
  <c r="J445" i="1"/>
  <c r="I445" i="1"/>
  <c r="H445" i="1"/>
  <c r="F445" i="1"/>
  <c r="J444" i="1"/>
  <c r="I444" i="1"/>
  <c r="H444" i="1"/>
  <c r="F444" i="1"/>
  <c r="J443" i="1"/>
  <c r="I443" i="1"/>
  <c r="H443" i="1"/>
  <c r="F443" i="1"/>
  <c r="J442" i="1"/>
  <c r="I442" i="1"/>
  <c r="H442" i="1"/>
  <c r="F442" i="1"/>
  <c r="J441" i="1"/>
  <c r="I441" i="1"/>
  <c r="H441" i="1"/>
  <c r="F441" i="1"/>
  <c r="J440" i="1"/>
  <c r="I440" i="1"/>
  <c r="H440" i="1"/>
  <c r="F440" i="1"/>
  <c r="J439" i="1"/>
  <c r="I439" i="1"/>
  <c r="H439" i="1"/>
  <c r="F439" i="1"/>
  <c r="J438" i="1"/>
  <c r="I438" i="1"/>
  <c r="H438" i="1"/>
  <c r="F438" i="1"/>
  <c r="J437" i="1"/>
  <c r="I437" i="1"/>
  <c r="H437" i="1"/>
  <c r="F437" i="1"/>
  <c r="J436" i="1"/>
  <c r="I436" i="1"/>
  <c r="H436" i="1"/>
  <c r="F436" i="1"/>
  <c r="J435" i="1"/>
  <c r="I435" i="1"/>
  <c r="H435" i="1"/>
  <c r="F435" i="1"/>
  <c r="J434" i="1"/>
  <c r="I434" i="1"/>
  <c r="H434" i="1"/>
  <c r="F434" i="1"/>
  <c r="J433" i="1"/>
  <c r="I433" i="1"/>
  <c r="H433" i="1"/>
  <c r="F433" i="1"/>
  <c r="J432" i="1"/>
  <c r="I432" i="1"/>
  <c r="H432" i="1"/>
  <c r="F432" i="1"/>
  <c r="J431" i="1"/>
  <c r="I431" i="1"/>
  <c r="H431" i="1"/>
  <c r="F431" i="1"/>
  <c r="J430" i="1"/>
  <c r="I430" i="1"/>
  <c r="H430" i="1"/>
  <c r="F430" i="1"/>
  <c r="J429" i="1"/>
  <c r="I429" i="1"/>
  <c r="H429" i="1"/>
  <c r="F429" i="1"/>
  <c r="J428" i="1"/>
  <c r="I428" i="1"/>
  <c r="H428" i="1"/>
  <c r="F428" i="1"/>
  <c r="J427" i="1"/>
  <c r="I427" i="1"/>
  <c r="H427" i="1"/>
  <c r="F427" i="1"/>
  <c r="J426" i="1"/>
  <c r="I426" i="1"/>
  <c r="H426" i="1"/>
  <c r="F426" i="1"/>
  <c r="J425" i="1"/>
  <c r="I425" i="1"/>
  <c r="H425" i="1"/>
  <c r="F425" i="1"/>
  <c r="J424" i="1"/>
  <c r="I424" i="1"/>
  <c r="H424" i="1"/>
  <c r="F424" i="1"/>
  <c r="J423" i="1"/>
  <c r="I423" i="1"/>
  <c r="H423" i="1"/>
  <c r="F423" i="1"/>
  <c r="J422" i="1"/>
  <c r="I422" i="1"/>
  <c r="H422" i="1"/>
  <c r="F422" i="1"/>
  <c r="J421" i="1"/>
  <c r="I421" i="1"/>
  <c r="H421" i="1"/>
  <c r="F421" i="1"/>
  <c r="J420" i="1"/>
  <c r="I420" i="1"/>
  <c r="H420" i="1"/>
  <c r="F420" i="1"/>
  <c r="J419" i="1"/>
  <c r="I419" i="1"/>
  <c r="H419" i="1"/>
  <c r="F419" i="1"/>
  <c r="J418" i="1"/>
  <c r="I418" i="1"/>
  <c r="H418" i="1"/>
  <c r="F418" i="1"/>
  <c r="J417" i="1"/>
  <c r="I417" i="1"/>
  <c r="H417" i="1"/>
  <c r="F417" i="1"/>
  <c r="J416" i="1"/>
  <c r="I416" i="1"/>
  <c r="H416" i="1"/>
  <c r="F416" i="1"/>
  <c r="J415" i="1"/>
  <c r="I415" i="1"/>
  <c r="H415" i="1"/>
  <c r="F415" i="1"/>
  <c r="J414" i="1"/>
  <c r="I414" i="1"/>
  <c r="H414" i="1"/>
  <c r="F414" i="1"/>
  <c r="J413" i="1"/>
  <c r="I413" i="1"/>
  <c r="H413" i="1"/>
  <c r="F413" i="1"/>
  <c r="J412" i="1"/>
  <c r="I412" i="1"/>
  <c r="H412" i="1"/>
  <c r="F412" i="1"/>
  <c r="J411" i="1"/>
  <c r="I411" i="1"/>
  <c r="H411" i="1"/>
  <c r="F411" i="1"/>
  <c r="J410" i="1"/>
  <c r="I410" i="1"/>
  <c r="H410" i="1"/>
  <c r="F410" i="1"/>
  <c r="J409" i="1"/>
  <c r="I409" i="1"/>
  <c r="H409" i="1"/>
  <c r="F409" i="1"/>
  <c r="J408" i="1"/>
  <c r="I408" i="1"/>
  <c r="H408" i="1"/>
  <c r="F408" i="1"/>
  <c r="J407" i="1"/>
  <c r="I407" i="1"/>
  <c r="H407" i="1"/>
  <c r="F407" i="1"/>
  <c r="J406" i="1"/>
  <c r="I406" i="1"/>
  <c r="H406" i="1"/>
  <c r="F406" i="1"/>
  <c r="J405" i="1"/>
  <c r="I405" i="1"/>
  <c r="H405" i="1"/>
  <c r="F405" i="1"/>
  <c r="J404" i="1"/>
  <c r="I404" i="1"/>
  <c r="H404" i="1"/>
  <c r="F404" i="1"/>
  <c r="J403" i="1"/>
  <c r="I403" i="1"/>
  <c r="H403" i="1"/>
  <c r="F403" i="1"/>
  <c r="J402" i="1"/>
  <c r="I402" i="1"/>
  <c r="H402" i="1"/>
  <c r="F402" i="1"/>
  <c r="J401" i="1"/>
  <c r="I401" i="1"/>
  <c r="H401" i="1"/>
  <c r="F401" i="1"/>
  <c r="J400" i="1"/>
  <c r="I400" i="1"/>
  <c r="H400" i="1"/>
  <c r="F400" i="1"/>
  <c r="J399" i="1"/>
  <c r="I399" i="1"/>
  <c r="H399" i="1"/>
  <c r="F399" i="1"/>
  <c r="J398" i="1"/>
  <c r="I398" i="1"/>
  <c r="H398" i="1"/>
  <c r="F398" i="1"/>
  <c r="J397" i="1"/>
  <c r="I397" i="1"/>
  <c r="H397" i="1"/>
  <c r="F397" i="1"/>
  <c r="J396" i="1"/>
  <c r="I396" i="1"/>
  <c r="H396" i="1"/>
  <c r="F396" i="1"/>
  <c r="J395" i="1"/>
  <c r="I395" i="1"/>
  <c r="H395" i="1"/>
  <c r="F395" i="1"/>
  <c r="J394" i="1"/>
  <c r="I394" i="1"/>
  <c r="H394" i="1"/>
  <c r="F394" i="1"/>
  <c r="J393" i="1"/>
  <c r="I393" i="1"/>
  <c r="H393" i="1"/>
  <c r="F393" i="1"/>
  <c r="J392" i="1"/>
  <c r="I392" i="1"/>
  <c r="H392" i="1"/>
  <c r="F392" i="1"/>
  <c r="J391" i="1"/>
  <c r="I391" i="1"/>
  <c r="H391" i="1"/>
  <c r="F391" i="1"/>
  <c r="J390" i="1"/>
  <c r="I390" i="1"/>
  <c r="H390" i="1"/>
  <c r="F390" i="1"/>
  <c r="J389" i="1"/>
  <c r="I389" i="1"/>
  <c r="H389" i="1"/>
  <c r="F389" i="1"/>
  <c r="J388" i="1"/>
  <c r="I388" i="1"/>
  <c r="H388" i="1"/>
  <c r="F388" i="1"/>
  <c r="J387" i="1"/>
  <c r="I387" i="1"/>
  <c r="H387" i="1"/>
  <c r="F387" i="1"/>
  <c r="J386" i="1"/>
  <c r="I386" i="1"/>
  <c r="H386" i="1"/>
  <c r="F386" i="1"/>
  <c r="J385" i="1"/>
  <c r="I385" i="1"/>
  <c r="H385" i="1"/>
  <c r="F385" i="1"/>
  <c r="J384" i="1"/>
  <c r="I384" i="1"/>
  <c r="H384" i="1"/>
  <c r="F384" i="1"/>
  <c r="J383" i="1"/>
  <c r="I383" i="1"/>
  <c r="H383" i="1"/>
  <c r="F383" i="1"/>
  <c r="J382" i="1"/>
  <c r="I382" i="1"/>
  <c r="H382" i="1"/>
  <c r="F382" i="1"/>
  <c r="J381" i="1"/>
  <c r="I381" i="1"/>
  <c r="H381" i="1"/>
  <c r="F381" i="1"/>
  <c r="J380" i="1"/>
  <c r="I380" i="1"/>
  <c r="H380" i="1"/>
  <c r="F380" i="1"/>
  <c r="J379" i="1"/>
  <c r="I379" i="1"/>
  <c r="H379" i="1"/>
  <c r="F379" i="1"/>
  <c r="J378" i="1"/>
  <c r="I378" i="1"/>
  <c r="H378" i="1"/>
  <c r="F378" i="1"/>
  <c r="J377" i="1"/>
  <c r="I377" i="1"/>
  <c r="H377" i="1"/>
  <c r="F377" i="1"/>
  <c r="J376" i="1"/>
  <c r="I376" i="1"/>
  <c r="H376" i="1"/>
  <c r="F376" i="1"/>
  <c r="J375" i="1"/>
  <c r="I375" i="1"/>
  <c r="H375" i="1"/>
  <c r="F375" i="1"/>
  <c r="J374" i="1"/>
  <c r="I374" i="1"/>
  <c r="H374" i="1"/>
  <c r="F374" i="1"/>
  <c r="J373" i="1"/>
  <c r="I373" i="1"/>
  <c r="H373" i="1"/>
  <c r="F373" i="1"/>
  <c r="J372" i="1"/>
  <c r="I372" i="1"/>
  <c r="H372" i="1"/>
  <c r="F372" i="1"/>
  <c r="J371" i="1"/>
  <c r="I371" i="1"/>
  <c r="H371" i="1"/>
  <c r="F371" i="1"/>
  <c r="J370" i="1"/>
  <c r="I370" i="1"/>
  <c r="H370" i="1"/>
  <c r="F370" i="1"/>
  <c r="J369" i="1"/>
  <c r="I369" i="1"/>
  <c r="H369" i="1"/>
  <c r="F369" i="1"/>
  <c r="J368" i="1"/>
  <c r="I368" i="1"/>
  <c r="H368" i="1"/>
  <c r="F368" i="1"/>
  <c r="J367" i="1"/>
  <c r="I367" i="1"/>
  <c r="H367" i="1"/>
  <c r="F367" i="1"/>
  <c r="J366" i="1"/>
  <c r="I366" i="1"/>
  <c r="H366" i="1"/>
  <c r="F366" i="1"/>
  <c r="J365" i="1"/>
  <c r="I365" i="1"/>
  <c r="H365" i="1"/>
  <c r="F365" i="1"/>
  <c r="J364" i="1"/>
  <c r="I364" i="1"/>
  <c r="H364" i="1"/>
  <c r="F364" i="1"/>
  <c r="J363" i="1"/>
  <c r="I363" i="1"/>
  <c r="H363" i="1"/>
  <c r="F363" i="1"/>
  <c r="J362" i="1"/>
  <c r="I362" i="1"/>
  <c r="H362" i="1"/>
  <c r="F362" i="1"/>
  <c r="J361" i="1"/>
  <c r="I361" i="1"/>
  <c r="H361" i="1"/>
  <c r="F361" i="1"/>
  <c r="J360" i="1"/>
  <c r="I360" i="1"/>
  <c r="H360" i="1"/>
  <c r="F360" i="1"/>
  <c r="J359" i="1"/>
  <c r="I359" i="1"/>
  <c r="H359" i="1"/>
  <c r="F359" i="1"/>
  <c r="J358" i="1"/>
  <c r="I358" i="1"/>
  <c r="H358" i="1"/>
  <c r="F358" i="1"/>
  <c r="J357" i="1"/>
  <c r="I357" i="1"/>
  <c r="H357" i="1"/>
  <c r="F357" i="1"/>
  <c r="J356" i="1"/>
  <c r="I356" i="1"/>
  <c r="H356" i="1"/>
  <c r="F356" i="1"/>
  <c r="J355" i="1"/>
  <c r="I355" i="1"/>
  <c r="H355" i="1"/>
  <c r="F355" i="1"/>
  <c r="J354" i="1"/>
  <c r="I354" i="1"/>
  <c r="H354" i="1"/>
  <c r="F354" i="1"/>
  <c r="J353" i="1"/>
  <c r="I353" i="1"/>
  <c r="H353" i="1"/>
  <c r="F353" i="1"/>
  <c r="J352" i="1"/>
  <c r="I352" i="1"/>
  <c r="H352" i="1"/>
  <c r="F352" i="1"/>
  <c r="J351" i="1"/>
  <c r="I351" i="1"/>
  <c r="H351" i="1"/>
  <c r="F351" i="1"/>
  <c r="J350" i="1"/>
  <c r="I350" i="1"/>
  <c r="H350" i="1"/>
  <c r="F350" i="1"/>
  <c r="J349" i="1"/>
  <c r="I349" i="1"/>
  <c r="H349" i="1"/>
  <c r="F349" i="1"/>
  <c r="J348" i="1"/>
  <c r="I348" i="1"/>
  <c r="H348" i="1"/>
  <c r="F348" i="1"/>
  <c r="J347" i="1"/>
  <c r="I347" i="1"/>
  <c r="H347" i="1"/>
  <c r="F347" i="1"/>
  <c r="J346" i="1"/>
  <c r="I346" i="1"/>
  <c r="H346" i="1"/>
  <c r="F346" i="1"/>
  <c r="J345" i="1"/>
  <c r="I345" i="1"/>
  <c r="H345" i="1"/>
  <c r="F345" i="1"/>
  <c r="J344" i="1"/>
  <c r="I344" i="1"/>
  <c r="H344" i="1"/>
  <c r="F344" i="1"/>
  <c r="J343" i="1"/>
  <c r="I343" i="1"/>
  <c r="H343" i="1"/>
  <c r="F343" i="1"/>
  <c r="J342" i="1"/>
  <c r="I342" i="1"/>
  <c r="H342" i="1"/>
  <c r="F342" i="1"/>
  <c r="J341" i="1"/>
  <c r="I341" i="1"/>
  <c r="H341" i="1"/>
  <c r="F341" i="1"/>
  <c r="J340" i="1"/>
  <c r="I340" i="1"/>
  <c r="H340" i="1"/>
  <c r="F340" i="1"/>
  <c r="J339" i="1"/>
  <c r="I339" i="1"/>
  <c r="H339" i="1"/>
  <c r="F339" i="1"/>
  <c r="J338" i="1"/>
  <c r="I338" i="1"/>
  <c r="H338" i="1"/>
  <c r="F338" i="1"/>
  <c r="J337" i="1"/>
  <c r="I337" i="1"/>
  <c r="H337" i="1"/>
  <c r="F337" i="1"/>
  <c r="J336" i="1"/>
  <c r="I336" i="1"/>
  <c r="H336" i="1"/>
  <c r="F336" i="1"/>
  <c r="J335" i="1"/>
  <c r="I335" i="1"/>
  <c r="H335" i="1"/>
  <c r="F335" i="1"/>
  <c r="J334" i="1"/>
  <c r="I334" i="1"/>
  <c r="H334" i="1"/>
  <c r="F334" i="1"/>
  <c r="J333" i="1"/>
  <c r="I333" i="1"/>
  <c r="H333" i="1"/>
  <c r="F333" i="1"/>
  <c r="J332" i="1"/>
  <c r="I332" i="1"/>
  <c r="H332" i="1"/>
  <c r="F332" i="1"/>
  <c r="J331" i="1"/>
  <c r="I331" i="1"/>
  <c r="H331" i="1"/>
  <c r="F331" i="1"/>
  <c r="J330" i="1"/>
  <c r="I330" i="1"/>
  <c r="H330" i="1"/>
  <c r="F330" i="1"/>
  <c r="J329" i="1"/>
  <c r="I329" i="1"/>
  <c r="H329" i="1"/>
  <c r="F329" i="1"/>
  <c r="J328" i="1"/>
  <c r="I328" i="1"/>
  <c r="H328" i="1"/>
  <c r="F328" i="1"/>
  <c r="J327" i="1"/>
  <c r="I327" i="1"/>
  <c r="H327" i="1"/>
  <c r="F327" i="1"/>
  <c r="J326" i="1"/>
  <c r="I326" i="1"/>
  <c r="H326" i="1"/>
  <c r="F326" i="1"/>
  <c r="J325" i="1"/>
  <c r="I325" i="1"/>
  <c r="H325" i="1"/>
  <c r="F325" i="1"/>
  <c r="J324" i="1"/>
  <c r="I324" i="1"/>
  <c r="H324" i="1"/>
  <c r="F324" i="1"/>
  <c r="J323" i="1"/>
  <c r="I323" i="1"/>
  <c r="H323" i="1"/>
  <c r="F323" i="1"/>
  <c r="J322" i="1"/>
  <c r="I322" i="1"/>
  <c r="H322" i="1"/>
  <c r="F322" i="1"/>
  <c r="J321" i="1"/>
  <c r="I321" i="1"/>
  <c r="H321" i="1"/>
  <c r="F321" i="1"/>
  <c r="J320" i="1"/>
  <c r="I320" i="1"/>
  <c r="H320" i="1"/>
  <c r="F320" i="1"/>
  <c r="J319" i="1"/>
  <c r="I319" i="1"/>
  <c r="H319" i="1"/>
  <c r="F319" i="1"/>
  <c r="J318" i="1"/>
  <c r="I318" i="1"/>
  <c r="H318" i="1"/>
  <c r="F318" i="1"/>
  <c r="J317" i="1"/>
  <c r="I317" i="1"/>
  <c r="H317" i="1"/>
  <c r="F317" i="1"/>
  <c r="J316" i="1"/>
  <c r="I316" i="1"/>
  <c r="H316" i="1"/>
  <c r="F316" i="1"/>
  <c r="J315" i="1"/>
  <c r="I315" i="1"/>
  <c r="H315" i="1"/>
  <c r="F315" i="1"/>
  <c r="J314" i="1"/>
  <c r="I314" i="1"/>
  <c r="H314" i="1"/>
  <c r="F314" i="1"/>
  <c r="J313" i="1"/>
  <c r="I313" i="1"/>
  <c r="H313" i="1"/>
  <c r="F313" i="1"/>
  <c r="J312" i="1"/>
  <c r="I312" i="1"/>
  <c r="H312" i="1"/>
  <c r="F312" i="1"/>
  <c r="J311" i="1"/>
  <c r="I311" i="1"/>
  <c r="H311" i="1"/>
  <c r="F311" i="1"/>
  <c r="J310" i="1"/>
  <c r="I310" i="1"/>
  <c r="H310" i="1"/>
  <c r="F310" i="1"/>
  <c r="J309" i="1"/>
  <c r="I309" i="1"/>
  <c r="H309" i="1"/>
  <c r="F309" i="1"/>
  <c r="J308" i="1"/>
  <c r="I308" i="1"/>
  <c r="H308" i="1"/>
  <c r="F308" i="1"/>
  <c r="J307" i="1"/>
  <c r="I307" i="1"/>
  <c r="H307" i="1"/>
  <c r="F307" i="1"/>
  <c r="J306" i="1"/>
  <c r="I306" i="1"/>
  <c r="H306" i="1"/>
  <c r="F306" i="1"/>
  <c r="J305" i="1"/>
  <c r="I305" i="1"/>
  <c r="H305" i="1"/>
  <c r="F305" i="1"/>
  <c r="J304" i="1"/>
  <c r="I304" i="1"/>
  <c r="H304" i="1"/>
  <c r="F304" i="1"/>
  <c r="J303" i="1"/>
  <c r="I303" i="1"/>
  <c r="H303" i="1"/>
  <c r="F303" i="1"/>
  <c r="J302" i="1"/>
  <c r="I302" i="1"/>
  <c r="H302" i="1"/>
  <c r="F302" i="1"/>
  <c r="J301" i="1"/>
  <c r="I301" i="1"/>
  <c r="H301" i="1"/>
  <c r="F301" i="1"/>
  <c r="J300" i="1"/>
  <c r="I300" i="1"/>
  <c r="H300" i="1"/>
  <c r="F300" i="1"/>
  <c r="J299" i="1"/>
  <c r="I299" i="1"/>
  <c r="H299" i="1"/>
  <c r="F299" i="1"/>
  <c r="J298" i="1"/>
  <c r="I298" i="1"/>
  <c r="H298" i="1"/>
  <c r="F298" i="1"/>
  <c r="J297" i="1"/>
  <c r="I297" i="1"/>
  <c r="H297" i="1"/>
  <c r="F297" i="1"/>
  <c r="J296" i="1"/>
  <c r="I296" i="1"/>
  <c r="H296" i="1"/>
  <c r="F296" i="1"/>
  <c r="J295" i="1"/>
  <c r="I295" i="1"/>
  <c r="H295" i="1"/>
  <c r="F295" i="1"/>
  <c r="J294" i="1"/>
  <c r="I294" i="1"/>
  <c r="H294" i="1"/>
  <c r="F294" i="1"/>
  <c r="J293" i="1"/>
  <c r="I293" i="1"/>
  <c r="H293" i="1"/>
  <c r="F293" i="1"/>
  <c r="J292" i="1"/>
  <c r="I292" i="1"/>
  <c r="H292" i="1"/>
  <c r="F292" i="1"/>
  <c r="J291" i="1"/>
  <c r="I291" i="1"/>
  <c r="H291" i="1"/>
  <c r="F291" i="1"/>
  <c r="J290" i="1"/>
  <c r="I290" i="1"/>
  <c r="H290" i="1"/>
  <c r="F290" i="1"/>
  <c r="J289" i="1"/>
  <c r="I289" i="1"/>
  <c r="H289" i="1"/>
  <c r="F289" i="1"/>
  <c r="J288" i="1"/>
  <c r="I288" i="1"/>
  <c r="H288" i="1"/>
  <c r="F288" i="1"/>
  <c r="J287" i="1"/>
  <c r="I287" i="1"/>
  <c r="H287" i="1"/>
  <c r="F287" i="1"/>
  <c r="J286" i="1"/>
  <c r="I286" i="1"/>
  <c r="H286" i="1"/>
  <c r="F286" i="1"/>
  <c r="J285" i="1"/>
  <c r="I285" i="1"/>
  <c r="H285" i="1"/>
  <c r="F285" i="1"/>
  <c r="J284" i="1"/>
  <c r="I284" i="1"/>
  <c r="H284" i="1"/>
  <c r="F284" i="1"/>
  <c r="J283" i="1"/>
  <c r="I283" i="1"/>
  <c r="H283" i="1"/>
  <c r="F283" i="1"/>
  <c r="J282" i="1"/>
  <c r="I282" i="1"/>
  <c r="H282" i="1"/>
  <c r="F282" i="1"/>
  <c r="J281" i="1"/>
  <c r="I281" i="1"/>
  <c r="H281" i="1"/>
  <c r="F281" i="1"/>
  <c r="J280" i="1"/>
  <c r="I280" i="1"/>
  <c r="H280" i="1"/>
  <c r="F280" i="1"/>
  <c r="J279" i="1"/>
  <c r="I279" i="1"/>
  <c r="H279" i="1"/>
  <c r="F279" i="1"/>
  <c r="J278" i="1"/>
  <c r="I278" i="1"/>
  <c r="H278" i="1"/>
  <c r="F278" i="1"/>
  <c r="J277" i="1"/>
  <c r="I277" i="1"/>
  <c r="H277" i="1"/>
  <c r="F277" i="1"/>
  <c r="J276" i="1"/>
  <c r="I276" i="1"/>
  <c r="H276" i="1"/>
  <c r="F276" i="1"/>
  <c r="J275" i="1"/>
  <c r="I275" i="1"/>
  <c r="H275" i="1"/>
  <c r="F275" i="1"/>
  <c r="J274" i="1"/>
  <c r="I274" i="1"/>
  <c r="H274" i="1"/>
  <c r="F274" i="1"/>
  <c r="J273" i="1"/>
  <c r="I273" i="1"/>
  <c r="H273" i="1"/>
  <c r="F273" i="1"/>
  <c r="J272" i="1"/>
  <c r="I272" i="1"/>
  <c r="H272" i="1"/>
  <c r="F272" i="1"/>
  <c r="J271" i="1"/>
  <c r="I271" i="1"/>
  <c r="H271" i="1"/>
  <c r="F271" i="1"/>
  <c r="J270" i="1"/>
  <c r="I270" i="1"/>
  <c r="H270" i="1"/>
  <c r="F270" i="1"/>
  <c r="J269" i="1"/>
  <c r="I269" i="1"/>
  <c r="H269" i="1"/>
  <c r="F269" i="1"/>
  <c r="J268" i="1"/>
  <c r="I268" i="1"/>
  <c r="H268" i="1"/>
  <c r="F268" i="1"/>
  <c r="J267" i="1"/>
  <c r="I267" i="1"/>
  <c r="H267" i="1"/>
  <c r="F267" i="1"/>
  <c r="J266" i="1"/>
  <c r="I266" i="1"/>
  <c r="H266" i="1"/>
  <c r="F266" i="1"/>
  <c r="J265" i="1"/>
  <c r="I265" i="1"/>
  <c r="H265" i="1"/>
  <c r="F265" i="1"/>
  <c r="J264" i="1"/>
  <c r="I264" i="1"/>
  <c r="H264" i="1"/>
  <c r="F264" i="1"/>
  <c r="J263" i="1"/>
  <c r="I263" i="1"/>
  <c r="H263" i="1"/>
  <c r="F263" i="1"/>
  <c r="J262" i="1"/>
  <c r="I262" i="1"/>
  <c r="H262" i="1"/>
  <c r="F262" i="1"/>
  <c r="J261" i="1"/>
  <c r="I261" i="1"/>
  <c r="H261" i="1"/>
  <c r="F261" i="1"/>
  <c r="J260" i="1"/>
  <c r="I260" i="1"/>
  <c r="H260" i="1"/>
  <c r="F260" i="1"/>
  <c r="J259" i="1"/>
  <c r="I259" i="1"/>
  <c r="H259" i="1"/>
  <c r="F259" i="1"/>
  <c r="J258" i="1"/>
  <c r="I258" i="1"/>
  <c r="H258" i="1"/>
  <c r="F258" i="1"/>
  <c r="J257" i="1"/>
  <c r="I257" i="1"/>
  <c r="H257" i="1"/>
  <c r="F257" i="1"/>
  <c r="J256" i="1"/>
  <c r="I256" i="1"/>
  <c r="H256" i="1"/>
  <c r="F256" i="1"/>
  <c r="J255" i="1"/>
  <c r="I255" i="1"/>
  <c r="H255" i="1"/>
  <c r="F255" i="1"/>
  <c r="J254" i="1"/>
  <c r="I254" i="1"/>
  <c r="H254" i="1"/>
  <c r="F254" i="1"/>
  <c r="J253" i="1"/>
  <c r="I253" i="1"/>
  <c r="H253" i="1"/>
  <c r="F253" i="1"/>
  <c r="J252" i="1"/>
  <c r="I252" i="1"/>
  <c r="H252" i="1"/>
  <c r="F252" i="1"/>
  <c r="J251" i="1"/>
  <c r="I251" i="1"/>
  <c r="H251" i="1"/>
  <c r="F251" i="1"/>
  <c r="J250" i="1"/>
  <c r="I250" i="1"/>
  <c r="H250" i="1"/>
  <c r="F250" i="1"/>
  <c r="J249" i="1"/>
  <c r="I249" i="1"/>
  <c r="H249" i="1"/>
  <c r="F249" i="1"/>
  <c r="J248" i="1"/>
  <c r="I248" i="1"/>
  <c r="H248" i="1"/>
  <c r="F248" i="1"/>
  <c r="J247" i="1"/>
  <c r="I247" i="1"/>
  <c r="H247" i="1"/>
  <c r="F247" i="1"/>
  <c r="J246" i="1"/>
  <c r="I246" i="1"/>
  <c r="H246" i="1"/>
  <c r="F246" i="1"/>
  <c r="J245" i="1"/>
  <c r="I245" i="1"/>
  <c r="H245" i="1"/>
  <c r="F245" i="1"/>
  <c r="J244" i="1"/>
  <c r="I244" i="1"/>
  <c r="H244" i="1"/>
  <c r="F244" i="1"/>
  <c r="J243" i="1"/>
  <c r="I243" i="1"/>
  <c r="H243" i="1"/>
  <c r="F243" i="1"/>
  <c r="J242" i="1"/>
  <c r="I242" i="1"/>
  <c r="H242" i="1"/>
  <c r="F242" i="1"/>
  <c r="J241" i="1"/>
  <c r="I241" i="1"/>
  <c r="H241" i="1"/>
  <c r="F241" i="1"/>
  <c r="J240" i="1"/>
  <c r="I240" i="1"/>
  <c r="H240" i="1"/>
  <c r="F240" i="1"/>
  <c r="J239" i="1"/>
  <c r="I239" i="1"/>
  <c r="H239" i="1"/>
  <c r="F239" i="1"/>
  <c r="J238" i="1"/>
  <c r="I238" i="1"/>
  <c r="H238" i="1"/>
  <c r="F238" i="1"/>
  <c r="J237" i="1"/>
  <c r="I237" i="1"/>
  <c r="H237" i="1"/>
  <c r="F237" i="1"/>
  <c r="J236" i="1"/>
  <c r="I236" i="1"/>
  <c r="H236" i="1"/>
  <c r="F236" i="1"/>
  <c r="J235" i="1"/>
  <c r="I235" i="1"/>
  <c r="H235" i="1"/>
  <c r="F235" i="1"/>
  <c r="J234" i="1"/>
  <c r="I234" i="1"/>
  <c r="H234" i="1"/>
  <c r="F234" i="1"/>
  <c r="J233" i="1"/>
  <c r="I233" i="1"/>
  <c r="H233" i="1"/>
  <c r="F233" i="1"/>
  <c r="J232" i="1"/>
  <c r="I232" i="1"/>
  <c r="H232" i="1"/>
  <c r="F232" i="1"/>
  <c r="J231" i="1"/>
  <c r="I231" i="1"/>
  <c r="H231" i="1"/>
  <c r="F231" i="1"/>
  <c r="J230" i="1"/>
  <c r="I230" i="1"/>
  <c r="H230" i="1"/>
  <c r="F230" i="1"/>
  <c r="J229" i="1"/>
  <c r="I229" i="1"/>
  <c r="H229" i="1"/>
  <c r="F229" i="1"/>
  <c r="J228" i="1"/>
  <c r="I228" i="1"/>
  <c r="H228" i="1"/>
  <c r="F228" i="1"/>
  <c r="J227" i="1"/>
  <c r="I227" i="1"/>
  <c r="H227" i="1"/>
  <c r="F227" i="1"/>
  <c r="J226" i="1"/>
  <c r="I226" i="1"/>
  <c r="H226" i="1"/>
  <c r="F226" i="1"/>
  <c r="J225" i="1"/>
  <c r="I225" i="1"/>
  <c r="H225" i="1"/>
  <c r="F225" i="1"/>
  <c r="J224" i="1"/>
  <c r="I224" i="1"/>
  <c r="H224" i="1"/>
  <c r="F224" i="1"/>
  <c r="J223" i="1"/>
  <c r="I223" i="1"/>
  <c r="H223" i="1"/>
  <c r="F223" i="1"/>
  <c r="J222" i="1"/>
  <c r="I222" i="1"/>
  <c r="H222" i="1"/>
  <c r="F222" i="1"/>
  <c r="J221" i="1"/>
  <c r="I221" i="1"/>
  <c r="H221" i="1"/>
  <c r="F221" i="1"/>
  <c r="J220" i="1"/>
  <c r="I220" i="1"/>
  <c r="H220" i="1"/>
  <c r="F220" i="1"/>
  <c r="J219" i="1"/>
  <c r="I219" i="1"/>
  <c r="H219" i="1"/>
  <c r="F219" i="1"/>
  <c r="J218" i="1"/>
  <c r="I218" i="1"/>
  <c r="H218" i="1"/>
  <c r="F218" i="1"/>
  <c r="J217" i="1"/>
  <c r="I217" i="1"/>
  <c r="H217" i="1"/>
  <c r="F217" i="1"/>
  <c r="J216" i="1"/>
  <c r="I216" i="1"/>
  <c r="H216" i="1"/>
  <c r="F216" i="1"/>
  <c r="J215" i="1"/>
  <c r="I215" i="1"/>
  <c r="H215" i="1"/>
  <c r="F215" i="1"/>
  <c r="J214" i="1"/>
  <c r="I214" i="1"/>
  <c r="H214" i="1"/>
  <c r="F214" i="1"/>
  <c r="J213" i="1"/>
  <c r="I213" i="1"/>
  <c r="H213" i="1"/>
  <c r="F213" i="1"/>
  <c r="J212" i="1"/>
  <c r="I212" i="1"/>
  <c r="H212" i="1"/>
  <c r="F212" i="1"/>
  <c r="J211" i="1"/>
  <c r="I211" i="1"/>
  <c r="H211" i="1"/>
  <c r="F211" i="1"/>
  <c r="J210" i="1"/>
  <c r="I210" i="1"/>
  <c r="H210" i="1"/>
  <c r="F210" i="1"/>
  <c r="J209" i="1"/>
  <c r="I209" i="1"/>
  <c r="H209" i="1"/>
  <c r="F209" i="1"/>
  <c r="J208" i="1"/>
  <c r="I208" i="1"/>
  <c r="H208" i="1"/>
  <c r="F208" i="1"/>
  <c r="J207" i="1"/>
  <c r="I207" i="1"/>
  <c r="H207" i="1"/>
  <c r="F207" i="1"/>
  <c r="J206" i="1"/>
  <c r="I206" i="1"/>
  <c r="H206" i="1"/>
  <c r="F206" i="1"/>
  <c r="J205" i="1"/>
  <c r="I205" i="1"/>
  <c r="H205" i="1"/>
  <c r="F205" i="1"/>
  <c r="J204" i="1"/>
  <c r="H204" i="1" s="1"/>
  <c r="I204" i="1"/>
  <c r="F204" i="1" s="1"/>
  <c r="J203" i="1"/>
  <c r="H203" i="1" s="1"/>
  <c r="I203" i="1"/>
  <c r="F203" i="1" s="1"/>
  <c r="J202" i="1"/>
  <c r="H202" i="1" s="1"/>
  <c r="I202" i="1"/>
  <c r="F202" i="1" s="1"/>
  <c r="J201" i="1"/>
  <c r="H201" i="1" s="1"/>
  <c r="I201" i="1"/>
  <c r="F201" i="1" s="1"/>
  <c r="J200" i="1"/>
  <c r="H200" i="1" s="1"/>
  <c r="I200" i="1"/>
  <c r="F200" i="1" s="1"/>
  <c r="J199" i="1"/>
  <c r="H199" i="1" s="1"/>
  <c r="I199" i="1"/>
  <c r="F199" i="1" s="1"/>
  <c r="J198" i="1"/>
  <c r="I198" i="1"/>
  <c r="H198" i="1"/>
  <c r="F198" i="1"/>
  <c r="J197" i="1"/>
  <c r="H197" i="1" s="1"/>
  <c r="I197" i="1"/>
  <c r="F197" i="1" s="1"/>
  <c r="J196" i="1"/>
  <c r="H196" i="1" s="1"/>
  <c r="I196" i="1"/>
  <c r="F196" i="1" s="1"/>
  <c r="J195" i="1"/>
  <c r="H195" i="1" s="1"/>
  <c r="I195" i="1"/>
  <c r="F195" i="1" s="1"/>
  <c r="J194" i="1"/>
  <c r="H194" i="1" s="1"/>
  <c r="I194" i="1"/>
  <c r="F194" i="1" s="1"/>
  <c r="J193" i="1"/>
  <c r="H193" i="1" s="1"/>
  <c r="I193" i="1"/>
  <c r="F193" i="1" s="1"/>
  <c r="J192" i="1"/>
  <c r="H192" i="1" s="1"/>
  <c r="I192" i="1"/>
  <c r="F192" i="1" s="1"/>
  <c r="J191" i="1"/>
  <c r="H191" i="1" s="1"/>
  <c r="I191" i="1"/>
  <c r="F191" i="1" s="1"/>
  <c r="J190" i="1"/>
  <c r="H190" i="1" s="1"/>
  <c r="I190" i="1"/>
  <c r="F190" i="1" s="1"/>
  <c r="J189" i="1"/>
  <c r="H189" i="1" s="1"/>
  <c r="I189" i="1"/>
  <c r="F189" i="1" s="1"/>
  <c r="J188" i="1"/>
  <c r="H188" i="1" s="1"/>
  <c r="I188" i="1"/>
  <c r="F188" i="1" s="1"/>
  <c r="J187" i="1"/>
  <c r="H187" i="1" s="1"/>
  <c r="I187" i="1"/>
  <c r="F187" i="1" s="1"/>
  <c r="J186" i="1"/>
  <c r="H186" i="1" s="1"/>
  <c r="I186" i="1"/>
  <c r="F186" i="1" s="1"/>
  <c r="J185" i="1"/>
  <c r="H185" i="1" s="1"/>
  <c r="I185" i="1"/>
  <c r="F185" i="1" s="1"/>
  <c r="J184" i="1"/>
  <c r="H184" i="1" s="1"/>
  <c r="I184" i="1"/>
  <c r="F184" i="1" s="1"/>
  <c r="J183" i="1"/>
  <c r="H183" i="1" s="1"/>
  <c r="I183" i="1"/>
  <c r="F183" i="1" s="1"/>
  <c r="J182" i="1"/>
  <c r="H182" i="1" s="1"/>
  <c r="I182" i="1"/>
  <c r="F182" i="1" s="1"/>
  <c r="J181" i="1"/>
  <c r="H181" i="1" s="1"/>
  <c r="I181" i="1"/>
  <c r="F181" i="1" s="1"/>
  <c r="J180" i="1"/>
  <c r="H180" i="1" s="1"/>
  <c r="I180" i="1"/>
  <c r="F180" i="1" s="1"/>
  <c r="J179" i="1"/>
  <c r="H179" i="1" s="1"/>
  <c r="I179" i="1"/>
  <c r="F179" i="1" s="1"/>
  <c r="J178" i="1"/>
  <c r="H178" i="1" s="1"/>
  <c r="I178" i="1"/>
  <c r="F178" i="1" s="1"/>
  <c r="J177" i="1"/>
  <c r="H177" i="1" s="1"/>
  <c r="I177" i="1"/>
  <c r="F177" i="1" s="1"/>
  <c r="J176" i="1"/>
  <c r="H176" i="1" s="1"/>
  <c r="I176" i="1"/>
  <c r="F176" i="1" s="1"/>
  <c r="J175" i="1"/>
  <c r="H175" i="1" s="1"/>
  <c r="I175" i="1"/>
  <c r="F175" i="1" s="1"/>
  <c r="J174" i="1"/>
  <c r="H174" i="1" s="1"/>
  <c r="I174" i="1"/>
  <c r="F174" i="1" s="1"/>
  <c r="J173" i="1"/>
  <c r="H173" i="1" s="1"/>
  <c r="I173" i="1"/>
  <c r="F173" i="1" s="1"/>
  <c r="J172" i="1"/>
  <c r="H172" i="1" s="1"/>
  <c r="I172" i="1"/>
  <c r="F172" i="1" s="1"/>
  <c r="J171" i="1"/>
  <c r="H171" i="1" s="1"/>
  <c r="I171" i="1"/>
  <c r="F171" i="1" s="1"/>
  <c r="J170" i="1"/>
  <c r="H170" i="1" s="1"/>
  <c r="I170" i="1"/>
  <c r="F170" i="1" s="1"/>
  <c r="J169" i="1"/>
  <c r="H169" i="1" s="1"/>
  <c r="I169" i="1"/>
  <c r="F169" i="1" s="1"/>
  <c r="J168" i="1"/>
  <c r="H168" i="1" s="1"/>
  <c r="I168" i="1"/>
  <c r="F168" i="1" s="1"/>
  <c r="J167" i="1"/>
  <c r="H167" i="1" s="1"/>
  <c r="I167" i="1"/>
  <c r="F167" i="1" s="1"/>
  <c r="J166" i="1"/>
  <c r="H166" i="1" s="1"/>
  <c r="I166" i="1"/>
  <c r="F166" i="1" s="1"/>
  <c r="J165" i="1"/>
  <c r="H165" i="1" s="1"/>
  <c r="I165" i="1"/>
  <c r="F165" i="1" s="1"/>
  <c r="J164" i="1"/>
  <c r="I164" i="1"/>
  <c r="H164" i="1"/>
  <c r="F164" i="1"/>
  <c r="J163" i="1"/>
  <c r="H163" i="1" s="1"/>
  <c r="I163" i="1"/>
  <c r="F163" i="1" s="1"/>
  <c r="J162" i="1"/>
  <c r="H162" i="1" s="1"/>
  <c r="I162" i="1"/>
  <c r="F162" i="1" s="1"/>
  <c r="J161" i="1"/>
  <c r="H161" i="1" s="1"/>
  <c r="I161" i="1"/>
  <c r="F161" i="1" s="1"/>
  <c r="J160" i="1"/>
  <c r="H160" i="1" s="1"/>
  <c r="I160" i="1"/>
  <c r="F160" i="1" s="1"/>
  <c r="J159" i="1"/>
  <c r="H159" i="1" s="1"/>
  <c r="I159" i="1"/>
  <c r="F159" i="1" s="1"/>
  <c r="J158" i="1"/>
  <c r="H158" i="1" s="1"/>
  <c r="I158" i="1"/>
  <c r="F158" i="1" s="1"/>
  <c r="J157" i="1"/>
  <c r="H157" i="1" s="1"/>
  <c r="I157" i="1"/>
  <c r="F157" i="1" s="1"/>
  <c r="J156" i="1"/>
  <c r="H156" i="1" s="1"/>
  <c r="I156" i="1"/>
  <c r="F156" i="1" s="1"/>
  <c r="J155" i="1"/>
  <c r="H155" i="1" s="1"/>
  <c r="I155" i="1"/>
  <c r="F155" i="1" s="1"/>
  <c r="J154" i="1"/>
  <c r="H154" i="1" s="1"/>
  <c r="I154" i="1"/>
  <c r="F154" i="1" s="1"/>
  <c r="J153" i="1"/>
  <c r="H153" i="1" s="1"/>
  <c r="I153" i="1"/>
  <c r="F153" i="1" s="1"/>
  <c r="J152" i="1"/>
  <c r="H152" i="1" s="1"/>
  <c r="I152" i="1"/>
  <c r="F152" i="1" s="1"/>
  <c r="J151" i="1"/>
  <c r="H151" i="1" s="1"/>
  <c r="I151" i="1"/>
  <c r="F151" i="1" s="1"/>
  <c r="J150" i="1"/>
  <c r="H150" i="1" s="1"/>
  <c r="I150" i="1"/>
  <c r="F150" i="1" s="1"/>
  <c r="J149" i="1"/>
  <c r="H149" i="1" s="1"/>
  <c r="I149" i="1"/>
  <c r="F149" i="1" s="1"/>
  <c r="J148" i="1"/>
  <c r="H148" i="1" s="1"/>
  <c r="I148" i="1"/>
  <c r="F148" i="1" s="1"/>
  <c r="J147" i="1"/>
  <c r="H147" i="1" s="1"/>
  <c r="I147" i="1"/>
  <c r="F147" i="1" s="1"/>
  <c r="J146" i="1"/>
  <c r="H146" i="1" s="1"/>
  <c r="I146" i="1"/>
  <c r="F146" i="1" s="1"/>
  <c r="J145" i="1"/>
  <c r="H145" i="1" s="1"/>
  <c r="I145" i="1"/>
  <c r="F145" i="1" s="1"/>
  <c r="J144" i="1"/>
  <c r="I144" i="1"/>
  <c r="H144" i="1"/>
  <c r="F144" i="1"/>
  <c r="J143" i="1"/>
  <c r="I143" i="1"/>
  <c r="H143" i="1"/>
  <c r="F143" i="1"/>
  <c r="J142" i="1"/>
  <c r="I142" i="1"/>
  <c r="H142" i="1"/>
  <c r="F142" i="1"/>
  <c r="J141" i="1"/>
  <c r="I141" i="1"/>
  <c r="H141" i="1"/>
  <c r="F141" i="1"/>
  <c r="J140" i="1"/>
  <c r="I140" i="1"/>
  <c r="H140" i="1"/>
  <c r="F140" i="1"/>
  <c r="J139" i="1"/>
  <c r="I139" i="1"/>
  <c r="H139" i="1"/>
  <c r="F139" i="1"/>
  <c r="J138" i="1"/>
  <c r="I138" i="1"/>
  <c r="H138" i="1"/>
  <c r="F138" i="1"/>
  <c r="J137" i="1"/>
  <c r="I137" i="1"/>
  <c r="H137" i="1"/>
  <c r="F137" i="1"/>
  <c r="J136" i="1"/>
  <c r="I136" i="1"/>
  <c r="H136" i="1"/>
  <c r="F136" i="1"/>
  <c r="J135" i="1"/>
  <c r="I135" i="1"/>
  <c r="H135" i="1"/>
  <c r="F135" i="1"/>
  <c r="J134" i="1"/>
  <c r="I134" i="1"/>
  <c r="H134" i="1"/>
  <c r="F134" i="1"/>
  <c r="J133" i="1"/>
  <c r="I133" i="1"/>
  <c r="H133" i="1"/>
  <c r="F133" i="1"/>
  <c r="J132" i="1"/>
  <c r="I132" i="1"/>
  <c r="H132" i="1"/>
  <c r="F132" i="1"/>
  <c r="J131" i="1"/>
  <c r="I131" i="1"/>
  <c r="H131" i="1"/>
  <c r="F131" i="1"/>
  <c r="J130" i="1"/>
  <c r="I130" i="1"/>
  <c r="H130" i="1"/>
  <c r="F130" i="1"/>
  <c r="J129" i="1"/>
  <c r="I129" i="1"/>
  <c r="H129" i="1"/>
  <c r="F129" i="1"/>
  <c r="J128" i="1"/>
  <c r="I128" i="1"/>
  <c r="H128" i="1"/>
  <c r="F128" i="1"/>
  <c r="J127" i="1"/>
  <c r="I127" i="1"/>
  <c r="H127" i="1"/>
  <c r="F127" i="1"/>
  <c r="J126" i="1"/>
  <c r="I126" i="1"/>
  <c r="H126" i="1"/>
  <c r="F126" i="1"/>
  <c r="J125" i="1"/>
  <c r="I125" i="1"/>
  <c r="H125" i="1"/>
  <c r="F125" i="1"/>
  <c r="J124" i="1"/>
  <c r="I124" i="1"/>
  <c r="H124" i="1"/>
  <c r="F124" i="1"/>
  <c r="J123" i="1"/>
  <c r="I123" i="1"/>
  <c r="H123" i="1"/>
  <c r="F123" i="1"/>
  <c r="J122" i="1"/>
  <c r="I122" i="1"/>
  <c r="H122" i="1"/>
  <c r="F122" i="1"/>
  <c r="J121" i="1"/>
  <c r="I121" i="1"/>
  <c r="H121" i="1"/>
  <c r="F121" i="1"/>
  <c r="J120" i="1"/>
  <c r="I120" i="1"/>
  <c r="H120" i="1"/>
  <c r="F120" i="1"/>
  <c r="J119" i="1"/>
  <c r="I119" i="1"/>
  <c r="H119" i="1"/>
  <c r="F119" i="1"/>
  <c r="J118" i="1"/>
  <c r="I118" i="1"/>
  <c r="H118" i="1"/>
  <c r="F118" i="1"/>
  <c r="J117" i="1"/>
  <c r="I117" i="1"/>
  <c r="H117" i="1"/>
  <c r="F117" i="1"/>
  <c r="J116" i="1"/>
  <c r="I116" i="1"/>
  <c r="H116" i="1"/>
  <c r="F116" i="1"/>
  <c r="J115" i="1"/>
  <c r="I115" i="1"/>
  <c r="H115" i="1"/>
  <c r="F115" i="1"/>
  <c r="J114" i="1"/>
  <c r="I114" i="1"/>
  <c r="H114" i="1"/>
  <c r="F114" i="1"/>
  <c r="J113" i="1"/>
  <c r="I113" i="1"/>
  <c r="H113" i="1"/>
  <c r="F113" i="1"/>
  <c r="J112" i="1"/>
  <c r="I112" i="1"/>
  <c r="H112" i="1"/>
  <c r="F112" i="1"/>
  <c r="J111" i="1"/>
  <c r="I111" i="1"/>
  <c r="H111" i="1"/>
  <c r="F111" i="1"/>
  <c r="J110" i="1"/>
  <c r="I110" i="1"/>
  <c r="H110" i="1"/>
  <c r="F110" i="1"/>
  <c r="J109" i="1"/>
  <c r="I109" i="1"/>
  <c r="H109" i="1"/>
  <c r="F109" i="1"/>
  <c r="J108" i="1"/>
  <c r="I108" i="1"/>
  <c r="H108" i="1"/>
  <c r="F108" i="1"/>
  <c r="J107" i="1"/>
  <c r="I107" i="1"/>
  <c r="H107" i="1"/>
  <c r="F107" i="1"/>
  <c r="J106" i="1"/>
  <c r="I106" i="1"/>
  <c r="H106" i="1"/>
  <c r="F106" i="1"/>
  <c r="J105" i="1"/>
  <c r="I105" i="1"/>
  <c r="H105" i="1"/>
  <c r="F105" i="1"/>
  <c r="J104" i="1"/>
  <c r="I104" i="1"/>
  <c r="H104" i="1"/>
  <c r="F104" i="1"/>
  <c r="J103" i="1"/>
  <c r="I103" i="1"/>
  <c r="H103" i="1"/>
  <c r="F103" i="1"/>
  <c r="J102" i="1"/>
  <c r="I102" i="1"/>
  <c r="H102" i="1"/>
  <c r="F102" i="1"/>
  <c r="J101" i="1"/>
  <c r="I101" i="1"/>
  <c r="H101" i="1"/>
  <c r="F101" i="1"/>
  <c r="J100" i="1"/>
  <c r="I100" i="1"/>
  <c r="H100" i="1"/>
  <c r="F100" i="1"/>
  <c r="J99" i="1"/>
  <c r="I99" i="1"/>
  <c r="H99" i="1"/>
  <c r="F99" i="1"/>
  <c r="J98" i="1"/>
  <c r="I98" i="1"/>
  <c r="H98" i="1"/>
  <c r="F98" i="1"/>
  <c r="J97" i="1"/>
  <c r="I97" i="1"/>
  <c r="H97" i="1"/>
  <c r="F97" i="1"/>
  <c r="J96" i="1"/>
  <c r="I96" i="1"/>
  <c r="H96" i="1"/>
  <c r="F96" i="1"/>
  <c r="J95" i="1"/>
  <c r="I95" i="1"/>
  <c r="H95" i="1"/>
  <c r="F95" i="1"/>
  <c r="J94" i="1"/>
  <c r="I94" i="1"/>
  <c r="H94" i="1"/>
  <c r="F94" i="1"/>
  <c r="J93" i="1"/>
  <c r="I93" i="1"/>
  <c r="H93" i="1"/>
  <c r="F93" i="1"/>
  <c r="J92" i="1"/>
  <c r="I92" i="1"/>
  <c r="H92" i="1"/>
  <c r="F92" i="1"/>
  <c r="J91" i="1"/>
  <c r="I91" i="1"/>
  <c r="H91" i="1"/>
  <c r="F91" i="1"/>
  <c r="J90" i="1"/>
  <c r="I90" i="1"/>
  <c r="H90" i="1"/>
  <c r="F90" i="1"/>
  <c r="J89" i="1"/>
  <c r="I89" i="1"/>
  <c r="H89" i="1"/>
  <c r="F89" i="1"/>
  <c r="J88" i="1"/>
  <c r="I88" i="1"/>
  <c r="H88" i="1"/>
  <c r="F88" i="1"/>
  <c r="J87" i="1"/>
  <c r="I87" i="1"/>
  <c r="H87" i="1"/>
  <c r="F87" i="1"/>
  <c r="J86" i="1"/>
  <c r="I86" i="1"/>
  <c r="H86" i="1"/>
  <c r="F86" i="1"/>
  <c r="J85" i="1"/>
  <c r="I85" i="1"/>
  <c r="H85" i="1"/>
  <c r="F85" i="1"/>
  <c r="J84" i="1"/>
  <c r="I84" i="1"/>
  <c r="H84" i="1"/>
  <c r="F84" i="1"/>
  <c r="J83" i="1"/>
  <c r="I83" i="1"/>
  <c r="H83" i="1"/>
  <c r="F83" i="1"/>
  <c r="J82" i="1"/>
  <c r="I82" i="1"/>
  <c r="H82" i="1"/>
  <c r="F82" i="1"/>
  <c r="J81" i="1"/>
  <c r="I81" i="1"/>
  <c r="H81" i="1"/>
  <c r="F81" i="1"/>
  <c r="J80" i="1"/>
  <c r="I80" i="1"/>
  <c r="H80" i="1"/>
  <c r="F80" i="1"/>
  <c r="J79" i="1"/>
  <c r="I79" i="1"/>
  <c r="H79" i="1"/>
  <c r="F79" i="1"/>
  <c r="J78" i="1"/>
  <c r="I78" i="1"/>
  <c r="H78" i="1"/>
  <c r="F78" i="1"/>
  <c r="J77" i="1"/>
  <c r="I77" i="1"/>
  <c r="H77" i="1"/>
  <c r="F77" i="1"/>
  <c r="J76" i="1"/>
  <c r="I76" i="1"/>
  <c r="H76" i="1"/>
  <c r="F76" i="1"/>
  <c r="J75" i="1"/>
  <c r="I75" i="1"/>
  <c r="H75" i="1"/>
  <c r="F75" i="1"/>
  <c r="J74" i="1"/>
  <c r="I74" i="1"/>
  <c r="H74" i="1"/>
  <c r="F74" i="1"/>
  <c r="J73" i="1"/>
  <c r="I73" i="1"/>
  <c r="H73" i="1"/>
  <c r="F73" i="1"/>
  <c r="J72" i="1"/>
  <c r="I72" i="1"/>
  <c r="H72" i="1"/>
  <c r="F72" i="1"/>
  <c r="J71" i="1"/>
  <c r="I71" i="1"/>
  <c r="H71" i="1"/>
  <c r="F71" i="1"/>
  <c r="J70" i="1"/>
  <c r="I70" i="1"/>
  <c r="H70" i="1"/>
  <c r="F70" i="1"/>
  <c r="J69" i="1"/>
  <c r="I69" i="1"/>
  <c r="H69" i="1"/>
  <c r="F69" i="1"/>
  <c r="J68" i="1"/>
  <c r="I68" i="1"/>
  <c r="H68" i="1"/>
  <c r="F68" i="1"/>
  <c r="J67" i="1"/>
  <c r="I67" i="1"/>
  <c r="H67" i="1"/>
  <c r="F67" i="1"/>
  <c r="J66" i="1"/>
  <c r="I66" i="1"/>
  <c r="H66" i="1"/>
  <c r="F66" i="1"/>
  <c r="J65" i="1"/>
  <c r="I65" i="1"/>
  <c r="H65" i="1"/>
  <c r="F65" i="1"/>
  <c r="J64" i="1"/>
  <c r="I64" i="1"/>
  <c r="H64" i="1"/>
  <c r="F64" i="1"/>
  <c r="J63" i="1"/>
  <c r="I63" i="1"/>
  <c r="H63" i="1"/>
  <c r="F63" i="1"/>
  <c r="J62" i="1"/>
  <c r="I62" i="1"/>
  <c r="H62" i="1"/>
  <c r="F62" i="1"/>
  <c r="J61" i="1"/>
  <c r="I61" i="1"/>
  <c r="H61" i="1"/>
  <c r="F61" i="1"/>
  <c r="J60" i="1"/>
  <c r="I60" i="1"/>
  <c r="H60" i="1"/>
  <c r="F60" i="1"/>
  <c r="J59" i="1"/>
  <c r="I59" i="1"/>
  <c r="H59" i="1"/>
  <c r="F59" i="1"/>
  <c r="J58" i="1"/>
  <c r="I58" i="1"/>
  <c r="H58" i="1"/>
  <c r="F58" i="1"/>
  <c r="J57" i="1"/>
  <c r="I57" i="1"/>
  <c r="H57" i="1"/>
  <c r="F57" i="1"/>
  <c r="J56" i="1"/>
  <c r="I56" i="1"/>
  <c r="H56" i="1"/>
  <c r="F56" i="1"/>
  <c r="J55" i="1"/>
  <c r="I55" i="1"/>
  <c r="H55" i="1"/>
  <c r="F55" i="1"/>
  <c r="J54" i="1"/>
  <c r="I54" i="1"/>
  <c r="H54" i="1"/>
  <c r="F54" i="1"/>
  <c r="J53" i="1"/>
  <c r="I53" i="1"/>
  <c r="H53" i="1"/>
  <c r="F53" i="1"/>
  <c r="J52" i="1"/>
  <c r="I52" i="1"/>
  <c r="H52" i="1"/>
  <c r="F52" i="1"/>
  <c r="J51" i="1"/>
  <c r="I51" i="1"/>
  <c r="H51" i="1"/>
  <c r="F51" i="1"/>
  <c r="J50" i="1"/>
  <c r="I50" i="1"/>
  <c r="H50" i="1"/>
  <c r="F50" i="1"/>
  <c r="J49" i="1"/>
  <c r="I49" i="1"/>
  <c r="H49" i="1"/>
  <c r="F49" i="1"/>
  <c r="J48" i="1"/>
  <c r="I48" i="1"/>
  <c r="H48" i="1"/>
  <c r="F48" i="1"/>
  <c r="J47" i="1"/>
  <c r="I47" i="1"/>
  <c r="H47" i="1"/>
  <c r="F47" i="1"/>
  <c r="J46" i="1"/>
  <c r="I46" i="1"/>
  <c r="H46" i="1"/>
  <c r="F46" i="1"/>
  <c r="J45" i="1"/>
  <c r="I45" i="1"/>
  <c r="H45" i="1"/>
  <c r="F45" i="1"/>
  <c r="J44" i="1"/>
  <c r="I44" i="1"/>
  <c r="H44" i="1"/>
  <c r="F44" i="1"/>
  <c r="J43" i="1"/>
  <c r="I43" i="1"/>
  <c r="H43" i="1"/>
  <c r="F43" i="1"/>
  <c r="J42" i="1"/>
  <c r="I42" i="1"/>
  <c r="H42" i="1"/>
  <c r="F42" i="1"/>
  <c r="J41" i="1"/>
  <c r="I41" i="1"/>
  <c r="H41" i="1"/>
  <c r="F41" i="1"/>
  <c r="J40" i="1"/>
  <c r="I40" i="1"/>
  <c r="H40" i="1"/>
  <c r="F40" i="1"/>
  <c r="J39" i="1"/>
  <c r="I39" i="1"/>
  <c r="H39" i="1"/>
  <c r="F39" i="1"/>
  <c r="J38" i="1"/>
  <c r="I38" i="1"/>
  <c r="H38" i="1"/>
  <c r="F38" i="1"/>
  <c r="J37" i="1"/>
  <c r="I37" i="1"/>
  <c r="H37" i="1"/>
  <c r="F37" i="1"/>
  <c r="J36" i="1"/>
  <c r="I36" i="1"/>
  <c r="H36" i="1"/>
  <c r="F36" i="1"/>
  <c r="J35" i="1"/>
  <c r="I35" i="1"/>
  <c r="H35" i="1"/>
  <c r="F35" i="1"/>
  <c r="J34" i="1"/>
  <c r="I34" i="1"/>
  <c r="H34" i="1"/>
  <c r="F34" i="1"/>
  <c r="J33" i="1"/>
  <c r="I33" i="1"/>
  <c r="H33" i="1"/>
  <c r="F33" i="1"/>
  <c r="J32" i="1"/>
  <c r="I32" i="1"/>
  <c r="H32" i="1"/>
  <c r="F32" i="1"/>
  <c r="J31" i="1"/>
  <c r="I31" i="1"/>
  <c r="H31" i="1"/>
  <c r="F31" i="1"/>
  <c r="J30" i="1"/>
  <c r="I30" i="1"/>
  <c r="H30" i="1"/>
  <c r="F30" i="1"/>
  <c r="J29" i="1"/>
  <c r="I29" i="1"/>
  <c r="H29" i="1"/>
  <c r="F29" i="1"/>
  <c r="J28" i="1"/>
  <c r="I28" i="1"/>
  <c r="H28" i="1"/>
  <c r="F28" i="1"/>
  <c r="J27" i="1"/>
  <c r="I27" i="1"/>
  <c r="H27" i="1"/>
  <c r="F27" i="1"/>
  <c r="J26" i="1"/>
  <c r="I26" i="1"/>
  <c r="H26" i="1"/>
  <c r="F26" i="1"/>
  <c r="J25" i="1"/>
  <c r="I25" i="1"/>
  <c r="H25" i="1"/>
  <c r="F25" i="1"/>
  <c r="J24" i="1"/>
  <c r="I24" i="1"/>
  <c r="H24" i="1"/>
  <c r="F24" i="1"/>
  <c r="J23" i="1"/>
  <c r="I23" i="1"/>
  <c r="H23" i="1"/>
  <c r="F23" i="1"/>
  <c r="J22" i="1"/>
  <c r="I22" i="1"/>
  <c r="H22" i="1"/>
  <c r="F22" i="1"/>
  <c r="J21" i="1"/>
  <c r="I21" i="1"/>
  <c r="H21" i="1"/>
  <c r="F21" i="1"/>
  <c r="J20" i="1"/>
  <c r="I20" i="1"/>
  <c r="H20" i="1"/>
  <c r="F20" i="1"/>
  <c r="J19" i="1"/>
  <c r="I19" i="1"/>
  <c r="H19" i="1"/>
  <c r="F19" i="1"/>
  <c r="J18" i="1"/>
  <c r="I18" i="1"/>
  <c r="H18" i="1"/>
  <c r="F18" i="1"/>
  <c r="J17" i="1"/>
  <c r="I17" i="1"/>
  <c r="H17" i="1"/>
  <c r="F17" i="1"/>
  <c r="J16" i="1"/>
  <c r="I16" i="1"/>
  <c r="H16" i="1"/>
  <c r="F16" i="1"/>
  <c r="J15" i="1"/>
  <c r="I15" i="1"/>
  <c r="H15" i="1"/>
  <c r="F15" i="1"/>
  <c r="J14" i="1"/>
  <c r="I14" i="1"/>
  <c r="H14" i="1"/>
  <c r="F14" i="1"/>
  <c r="J13" i="1"/>
  <c r="I13" i="1"/>
  <c r="H13" i="1"/>
  <c r="F13" i="1"/>
  <c r="J12" i="1"/>
  <c r="I12" i="1"/>
  <c r="H12" i="1"/>
  <c r="F12" i="1"/>
  <c r="J11" i="1"/>
  <c r="I11" i="1"/>
  <c r="H11" i="1"/>
  <c r="F11" i="1"/>
  <c r="J10" i="1"/>
  <c r="I10" i="1"/>
  <c r="H10" i="1"/>
  <c r="F10" i="1"/>
  <c r="J9" i="1"/>
  <c r="I9" i="1"/>
  <c r="H9" i="1"/>
  <c r="F9" i="1"/>
  <c r="J8" i="1"/>
  <c r="I8" i="1"/>
  <c r="H8" i="1"/>
  <c r="F8" i="1"/>
  <c r="J7" i="1"/>
  <c r="I7" i="1"/>
  <c r="H7" i="1"/>
  <c r="F7" i="1"/>
  <c r="J6" i="1"/>
  <c r="I6" i="1"/>
  <c r="H6" i="1"/>
  <c r="F6" i="1"/>
  <c r="J5" i="1"/>
  <c r="I5" i="1"/>
  <c r="H5" i="1"/>
  <c r="F5" i="1"/>
  <c r="J4" i="1"/>
  <c r="I4" i="1"/>
  <c r="H4" i="1"/>
  <c r="F4" i="1"/>
  <c r="J3" i="1"/>
  <c r="I3" i="1"/>
  <c r="H3" i="1"/>
  <c r="F3" i="1"/>
  <c r="F1036" i="1" l="1"/>
  <c r="H1036" i="1"/>
</calcChain>
</file>

<file path=xl/sharedStrings.xml><?xml version="1.0" encoding="utf-8"?>
<sst xmlns="http://schemas.openxmlformats.org/spreadsheetml/2006/main" count="2075" uniqueCount="1397">
  <si>
    <t>PNAE - FAED 2024</t>
  </si>
  <si>
    <t>NTE</t>
  </si>
  <si>
    <t>MUNICÍPIO</t>
  </si>
  <si>
    <t>COD_SEC</t>
  </si>
  <si>
    <t>NOME DA UNIDADE ESCOLAR</t>
  </si>
  <si>
    <t>PNAE PARCELA</t>
  </si>
  <si>
    <t>x10</t>
  </si>
  <si>
    <t>FAED PARCELA</t>
  </si>
  <si>
    <t xml:space="preserve"> CHAMADA</t>
  </si>
  <si>
    <t>CHAMADA</t>
  </si>
  <si>
    <t>AMERICA DOURADA</t>
  </si>
  <si>
    <t>COLEGIO ESTADUAL SAO SEBASTIAO</t>
  </si>
  <si>
    <t>BARRA DO MENDES</t>
  </si>
  <si>
    <t>COLEGIO ESTADUAL EDIVALDO MACHADO BOAVENTURA</t>
  </si>
  <si>
    <t>BARRO ALTO</t>
  </si>
  <si>
    <t>COLEGIO ESTADUAL NECY NOVAIS</t>
  </si>
  <si>
    <t>CAFARNAUM</t>
  </si>
  <si>
    <t>COLEGIO ESTADUAL IMACULADA CONCEICAO</t>
  </si>
  <si>
    <t>CANARANA</t>
  </si>
  <si>
    <t>COLEGIO ESTADUAL DO CAMPO MAXIMINO MARTINS</t>
  </si>
  <si>
    <t>COLEGIO ESTADUAL JOSE RIBEIRO DE ARAUJO</t>
  </si>
  <si>
    <t>CENTRAL</t>
  </si>
  <si>
    <t>COLEGIO ESTADUAL DE TEMPO INTEGRAL JOSE DE SOUZA MACHADO</t>
  </si>
  <si>
    <t>GENTIO DO OURO</t>
  </si>
  <si>
    <t>COLEGIO ESTADUAL MARIA QUITERIA</t>
  </si>
  <si>
    <t>IBIPEBA</t>
  </si>
  <si>
    <t>COLEGIO ESTADUAL DE TEMPO INTEGRAL DO CAMPO DE MIROROS</t>
  </si>
  <si>
    <t>COLEGIO EST DE TEMPO INTEGRAL PROFESSORA CELIA OLIVEIRA LEITE</t>
  </si>
  <si>
    <t>IBITITA</t>
  </si>
  <si>
    <t>COLEGIO ESTADUAL DO CAMPO DE IBITITA</t>
  </si>
  <si>
    <t>IPUPIARA</t>
  </si>
  <si>
    <t>COLEGIO DEMOCRATICO ESTADUAL CASTRO ALVES</t>
  </si>
  <si>
    <t>IRECE</t>
  </si>
  <si>
    <t>CENT.REG.DE ENS.MEDIO COM INTERMEDIACAO TEC.-CEMIT DE IRECE</t>
  </si>
  <si>
    <t>CENTRO TERRITORIAL DE EDUCACAO PROFISSIONAL DE IRECE</t>
  </si>
  <si>
    <t>COLEGIO ESTADUAL LUIZ VIANA FILHO</t>
  </si>
  <si>
    <t>COLEGIO ESTADUAL PROFESSOR JORGE RODRIGUES DOS SANTOS</t>
  </si>
  <si>
    <t>ITAGUACU DA BAHIA</t>
  </si>
  <si>
    <t>COLEGIO ESTADUAL DO CAMPO FRANCISCO CASTRO LARANJEIRA</t>
  </si>
  <si>
    <t>JOAO DOURADO</t>
  </si>
  <si>
    <t>COLEGIO ESTADUAL IDALINA DA SILVA DOURADO</t>
  </si>
  <si>
    <t>JUSSARA</t>
  </si>
  <si>
    <t>COLEGIO EST DE TEMPO INTEGRAL PROFESSOR ETEVALDO MARTINIANO DA ROCHA</t>
  </si>
  <si>
    <t>LAPAO</t>
  </si>
  <si>
    <t>COLEGIO ESTADUAL DE TEMPO INTEGRAL JUSTINIANO DE CASTRO DOURADO</t>
  </si>
  <si>
    <t>COLEGIO ESTADUAL DO CAMPO DE AGUADA NOVA</t>
  </si>
  <si>
    <t>MULUNGU DO MORRO</t>
  </si>
  <si>
    <t>COLEGIO ESTADUAL DE MULUNGU DO MORRO</t>
  </si>
  <si>
    <t>PRESIDENTE DUTRA</t>
  </si>
  <si>
    <t>COLEGIO ESTADUAL DE TEMPO INTEGRAL LEILA JANAINA BRITO GONCALVES</t>
  </si>
  <si>
    <t>SAO GABRIEL</t>
  </si>
  <si>
    <t>COLEGIO ESTADUAL ALMERINDA ALMEIDA</t>
  </si>
  <si>
    <t>COLEGIO ESTADUAL JOAO DURVAL CARNEIRO</t>
  </si>
  <si>
    <t>UIBAI</t>
  </si>
  <si>
    <t>COLEGIO ESTADUAL MANOEL LEVI</t>
  </si>
  <si>
    <t>XIQUE-XIQUE</t>
  </si>
  <si>
    <t>CENTRO EST DE EDUCACAO PROFI EM RECURSOS NATURAIS DO CENTRO BAIANO</t>
  </si>
  <si>
    <t>COLEGIO ESTADUAL PROFESSORA GILDETE DE SOUZA VIANA</t>
  </si>
  <si>
    <t>BARRA</t>
  </si>
  <si>
    <t>CENTRO ESTADUAL DE EDUCACAO PROFISSIONAL AGUAS</t>
  </si>
  <si>
    <t>CENT REG DE ENS MEDIO COM INTERMEDIACAO TEC-CEMIT VELHO CHICO-BARRA</t>
  </si>
  <si>
    <t>COLEGIO ESTADUAL DE TEMPO INTEGRAL DE BARRA</t>
  </si>
  <si>
    <t>BOM JESUS DA LAPA</t>
  </si>
  <si>
    <t>CENT.REG.DE ENS.MEDIO COM INTERMEDIACAO TEC.- CEMIT DO VELHO CHICO</t>
  </si>
  <si>
    <t>COLEGIO DA POLICIA MILITAR - CPM BOM JESUS DA LAPA</t>
  </si>
  <si>
    <t>COLEGIO ESTADUAL DO CAMPO PROJETO FORMOSO</t>
  </si>
  <si>
    <t>COLEGIO ESTADUAL EVERTON OLIVEIRA DE SANTANA</t>
  </si>
  <si>
    <t>COLEGIO ESTADUAL MONSENHOR TURIBIO VILANOVA</t>
  </si>
  <si>
    <t>COLEGIO ESTADUAL SAO VICENTE DE PAULO</t>
  </si>
  <si>
    <t>BROTAS DE MACAUBAS</t>
  </si>
  <si>
    <t>COLEGIO ESTADUAL PAPA JOAO PAULO I</t>
  </si>
  <si>
    <t>CARINHANHA</t>
  </si>
  <si>
    <t>COLEGIO ESTADUAL VELHO CHICO</t>
  </si>
  <si>
    <t>FEIRA DA MATA</t>
  </si>
  <si>
    <t>COLEGIO ESTADUAL FILOMENA PEREIRA RODRIGUES</t>
  </si>
  <si>
    <t>IBOTIRAMA</t>
  </si>
  <si>
    <t>CENTRO TERRITORIAL DE EDUCACAO PROFISSIONAL DO VELHO CHICO</t>
  </si>
  <si>
    <t>COLEGIO ESTADUAL DE TEMPO INTEGRAL PROFª ODONTINA LARANJEIRA DE SOUZA</t>
  </si>
  <si>
    <t>IGAPORA</t>
  </si>
  <si>
    <t>COLEGIO ESTADUAL DE TEMPO INTEGRAL DE IGAPORA</t>
  </si>
  <si>
    <t>MALHADA</t>
  </si>
  <si>
    <t>COLEGIO ESTADUAL ROSALVO OLIVEIRA SOUZA</t>
  </si>
  <si>
    <t>MATINA</t>
  </si>
  <si>
    <t>COLEGIO ESTADUAL DE TEMPO INTEGRAL GRANDES MESTRES BRASILEIROS</t>
  </si>
  <si>
    <t>MORPARA</t>
  </si>
  <si>
    <t>COLEGIO ESTADUAL NEMISIA RIBEIRO DOS SANTOS</t>
  </si>
  <si>
    <t>MUQUEM DE SAO FRANCISCO</t>
  </si>
  <si>
    <t>COLEGIO ESTADUAL DO CAMPO SIDNEY MASCARENHAS</t>
  </si>
  <si>
    <t>COLEGIO ESTADUAL SUZANA DE ARAUJO BOMFIM</t>
  </si>
  <si>
    <t>OLIVEIRA DOS BREJINHOS</t>
  </si>
  <si>
    <t>COLEGIO ESTADUAL TIRADENTES</t>
  </si>
  <si>
    <t>PARATINGA</t>
  </si>
  <si>
    <t>COLEGIO ESTADUAL DE TEMPO INTEGRAL EVANDRO BRANDAO</t>
  </si>
  <si>
    <t>RIACHO DE SANTANA</t>
  </si>
  <si>
    <t>COLEGIO ESTADUAL SINESIO COSTA</t>
  </si>
  <si>
    <t>SERRA DO RAMALHO</t>
  </si>
  <si>
    <t>COLEGIO ESTADUAL ANISIO HONORATO GODOY</t>
  </si>
  <si>
    <t>COLEGIO ESTADUAL DE TEMPO INTEGRAL CLEONICE OLEGARIO DOS SANTOS</t>
  </si>
  <si>
    <t>SITIO DO MATO</t>
  </si>
  <si>
    <t>COLEGIO ESTADUAL DO CAMPO THOMAZ LEITE</t>
  </si>
  <si>
    <t>COLEGIO ESTADUAL NOSSA SENHORA DO ROSARIO</t>
  </si>
  <si>
    <t>COLEGIO ESTADUAL  INDIGENA MARECHAL RONDON</t>
  </si>
  <si>
    <t>COLEGIO ESTADUAL INDIGENA PAJE ROQUE MOISES DA SILVA</t>
  </si>
  <si>
    <t>ABAIRA</t>
  </si>
  <si>
    <t>COLEGIO ESTADUAL DOUTOR FRANCISCO ROCHA FILHO</t>
  </si>
  <si>
    <t>ANDARAI</t>
  </si>
  <si>
    <t>COLEGIO ESTADUAL DE TEMPO INTEGRAL EDGAR SILVA</t>
  </si>
  <si>
    <t>COLEGIO ESTADUAL PROFESSORA CARMENILZA DE ARAUJO LIMA DE MATOS</t>
  </si>
  <si>
    <t>BARRA DA ESTIVA</t>
  </si>
  <si>
    <t>COLEGIO ESTADUAL GETULIO VARGAS</t>
  </si>
  <si>
    <t>COLEGIO ESTADUAL NERCY ANTONIO DUARTE</t>
  </si>
  <si>
    <t>BONINAL</t>
  </si>
  <si>
    <t>COLEGIO ESTADUAL DE TEMPO INTEGRAL RUI BARBOSA</t>
  </si>
  <si>
    <t>BONITO</t>
  </si>
  <si>
    <t>COLEGIO ESTADUAL DO BONITO</t>
  </si>
  <si>
    <t>IBICOARA</t>
  </si>
  <si>
    <t>COLEGIO ESTADUAL DE CASCAVEL</t>
  </si>
  <si>
    <t>COLEGIO ESTADUAL DE TEMPO INTEGRAL DE IBICOARA</t>
  </si>
  <si>
    <t>IBITIARA</t>
  </si>
  <si>
    <t>COLEGIO ESTADUAL EVILASIO SANTANA GAMA</t>
  </si>
  <si>
    <t>COLEGIO ESTADUAL LAGOA DE DIONISIO</t>
  </si>
  <si>
    <t>IRAMAIA</t>
  </si>
  <si>
    <t>COLEGIO ESTADUAL ANTONIO CARLOS MAGALHAES</t>
  </si>
  <si>
    <t>IRAQUARA</t>
  </si>
  <si>
    <t>COLEGIO ESTADUAL DE TEMPO INTEGRAL DE IRAQUARA</t>
  </si>
  <si>
    <t>COLEGIO ESTADUAL DO CAMPO PROFESSORA MARIA MENEZES RIBEIRO</t>
  </si>
  <si>
    <t>ITAETE</t>
  </si>
  <si>
    <t>COLEGIO ESTADUAL JOSE AMERICO ARAUJO</t>
  </si>
  <si>
    <t>COLEGIO ESTADUAL PROFESSORA ISAURA SANTOS</t>
  </si>
  <si>
    <t>JUSSIAPE</t>
  </si>
  <si>
    <t>COLEGIO ESTADUAL HORACIO DE MATOS</t>
  </si>
  <si>
    <t>LENCOIS</t>
  </si>
  <si>
    <t>CENTRO EDUCACIONAL RENATO PEREIRA VIANA</t>
  </si>
  <si>
    <t>MARCIONILIO SOUZA</t>
  </si>
  <si>
    <t>COLEGIO ESTADUAL EURIDICE SANTANA</t>
  </si>
  <si>
    <t>MORRO DO CHAPEU</t>
  </si>
  <si>
    <t>CENTRO TERRITORIAL DE EDUCAÇÃO PROFISSIONAL DA CHAPADA DIAMANTINA II</t>
  </si>
  <si>
    <t>COLEGIO ESTADUAL DE FEDEGOSOS</t>
  </si>
  <si>
    <t>COLEGIO ESTADUAL DO CAMPO DE ICO</t>
  </si>
  <si>
    <t>COLEGIO ESTADUAL TEOTONIO MARQUES DOURADO FILHO</t>
  </si>
  <si>
    <t>MUCUGE</t>
  </si>
  <si>
    <t>NOVA REDENCAO</t>
  </si>
  <si>
    <t>COLEGIO ESTADUAL EDILSON JOAQUIM DOS SANTOS</t>
  </si>
  <si>
    <t>NOVO HORIZONTE</t>
  </si>
  <si>
    <t>COLEGIO ESTADUAL CASTRO ALVES</t>
  </si>
  <si>
    <t>PALMEIRAS</t>
  </si>
  <si>
    <t>COLEGIO ESTADUAL PROFESSORA NILDE MARIA MONTEIRO XAVIER</t>
  </si>
  <si>
    <t>PIATA</t>
  </si>
  <si>
    <t>COLEGIO ESTADUAL DE INUBIA</t>
  </si>
  <si>
    <t>COLEGIO ESTADUAL DO CAMPO DE CABRALIA</t>
  </si>
  <si>
    <t>RIO DE CONTAS</t>
  </si>
  <si>
    <t>COLEGIO ESTADUAL CARLOS SOUTO</t>
  </si>
  <si>
    <t>COLEGIO ESTADUAL DO CAMPO MARCOLINO MOURA</t>
  </si>
  <si>
    <t>SEABRA</t>
  </si>
  <si>
    <t>CENTRO EST. DE EDUC PROFI EM GESTAO E NEGOCIO LETICE  OLIVEIRA MACIEL</t>
  </si>
  <si>
    <t>CENT.REG.DE ENS.MEDIO COM INTERMEDIACAO TEC.CEMIT DA CHAPADA DIAMANTIN</t>
  </si>
  <si>
    <t>COLEGIO ESTADUAL DE SEABRA</t>
  </si>
  <si>
    <t>COLEGIO ESTADUAL DO CAMPO FILINTO JUSTINIANO BASTOS</t>
  </si>
  <si>
    <t>SOUTO SOARES</t>
  </si>
  <si>
    <t>COLEGIO ESTADUAL DE TEMPO INTEGRAL DE SOUTO SOARES</t>
  </si>
  <si>
    <t>UTINGA</t>
  </si>
  <si>
    <t>COLEGIO ESTADUAL PROFESSORA ZENAIDE ALVES BARRETO</t>
  </si>
  <si>
    <t>WAGNER</t>
  </si>
  <si>
    <t>CENTRO TERRITORIAL DE EDUCACAO PROFISSIONAL DA CHAPADA DIAMANTINA</t>
  </si>
  <si>
    <t>COLEGIO ESTADUAL CORONEL HORACIO DE MATOS</t>
  </si>
  <si>
    <t>ARACI</t>
  </si>
  <si>
    <t>CENTRO TERRITORIAL DE EDUCACAO PROFISSIONAL DE ARACI</t>
  </si>
  <si>
    <t>INSTITUTO EDUCACIONAL DE PEDRA ALTA</t>
  </si>
  <si>
    <t>BARROCAS</t>
  </si>
  <si>
    <t>COLEGIO ESTADUAL DE BARROCAS</t>
  </si>
  <si>
    <t>BIRITINGA</t>
  </si>
  <si>
    <t>COLEGIO ESTADUAL DE BIRITINGA</t>
  </si>
  <si>
    <t>CANDEAL</t>
  </si>
  <si>
    <t>COLEGIO ESTADUAL JOSE RUFINO</t>
  </si>
  <si>
    <t>CANSANCAO</t>
  </si>
  <si>
    <t>COLEGIO ESTADUAL CAMINHO DO SABER</t>
  </si>
  <si>
    <t>COLEGIO ESTADUAL OSMILTON BATISTA SOUZA</t>
  </si>
  <si>
    <t>COLEGIO ESTADUAL SENHOR DO BONFIM</t>
  </si>
  <si>
    <t>CONCEICAO DO COITE</t>
  </si>
  <si>
    <t>COLEGIO ESTADUAL DO CAMPO DE BANDIACU</t>
  </si>
  <si>
    <t>COLEGIO ESTADUAL DO ACUDINHO</t>
  </si>
  <si>
    <t>COLEGIO ESTADUAL DO CAMPO DUQUE DE CAXIAS</t>
  </si>
  <si>
    <t>COLEGIO ESTADUAL DO CAMPO RIO BRANCO</t>
  </si>
  <si>
    <t>COLEGIO ESTADUAL DO CAMPO HAMILTON RIOS DE ARAUJO</t>
  </si>
  <si>
    <t>COLEGIO ESTADUAL JOSE FERREIRA DE OLIVEIRA</t>
  </si>
  <si>
    <t>COLEGIO ESTADUAL PROFESSORA OLGARINA PITANGUEIRA PINHEIRO</t>
  </si>
  <si>
    <t>COLEGIO POLIVALENTE DE CONCEICAO DO COITE</t>
  </si>
  <si>
    <t>ICHU</t>
  </si>
  <si>
    <t>COLEGIO ESTADUAL ARISTIDES CEDRAZ DE OLIVEIRA</t>
  </si>
  <si>
    <t>ITIUBA</t>
  </si>
  <si>
    <t>COLEGIO ESTADUAL ARY SILVA</t>
  </si>
  <si>
    <t>COLEGIO ESTADUAL JOAO FRANCISCO DA SILVA</t>
  </si>
  <si>
    <t>LAMARAO</t>
  </si>
  <si>
    <t>COLEGIO ESTADUAL DO CAMPO SACO DO CORREIO</t>
  </si>
  <si>
    <t>COLEGIO ESTADUAL DOUTOR JAIRO AZZI</t>
  </si>
  <si>
    <t>MONTE SANTO</t>
  </si>
  <si>
    <t>COLEGIO ESTADUAL DO CAMPO DE PEDRA VERMELHA</t>
  </si>
  <si>
    <t>COLEGIO ESTADUAL SANTA CRUZ</t>
  </si>
  <si>
    <t>NORDESTINA</t>
  </si>
  <si>
    <t>COLEGIO ESTADUAL MANOEL GUIMARAES SANTANA</t>
  </si>
  <si>
    <t>QUEIMADAS</t>
  </si>
  <si>
    <t>CENTRO TERRITORIAL DE EDUCACAO PROFISSIONAL SANTA BERNADETE</t>
  </si>
  <si>
    <t>COLEGIO ESTADUAL SANTO ANTONIO DAS QUEIMADAS</t>
  </si>
  <si>
    <t>QUIJINGUE</t>
  </si>
  <si>
    <t>COLEGIO ESTADUAL DE TEMPO INTEGRAL PADRE FRANCISCO GONCALVES DE SOUZA</t>
  </si>
  <si>
    <t>COLEGIO ESTADUAL DE TEMPO INTEGRAL SAO SEBASTIAO</t>
  </si>
  <si>
    <t>RETIROLANDIA</t>
  </si>
  <si>
    <t>COLEGIO ESTADUAL DE TEMPO INTEGRAL OLAVO ALVES PINTO</t>
  </si>
  <si>
    <t>SANTALUZ</t>
  </si>
  <si>
    <t>CENTRO ESTADUAL DE EDUCACAO PROFISSIONAL DO CAMPO PAULO FREIRE</t>
  </si>
  <si>
    <t>COLEGIO ESTADUAL JOSE LEITAO</t>
  </si>
  <si>
    <t>COLEGIO ESTADUAL NECY NOVAES</t>
  </si>
  <si>
    <t>SAO DOMINGOS</t>
  </si>
  <si>
    <t>CENTRO ESTADUAL DE EDUCACAO PROFISSIONAL DO SEMI ARIDO</t>
  </si>
  <si>
    <t>SERRINHA</t>
  </si>
  <si>
    <t>CENTRO REGIONAL DE ENSINO MEDIO COM INTERMEDIACAO TECNOLO -CEMIT SISAL</t>
  </si>
  <si>
    <t>CENTRO TERRITORIAL DE EDUCACAO PROFISSIONAL DO SISAL</t>
  </si>
  <si>
    <t>COLEGIO ESTADUAL DO CAMPO ALUIZIO CARNEIRO DA SILVA</t>
  </si>
  <si>
    <t>COLEGIO ESTADUAL DO CAMPO DE SANTANA</t>
  </si>
  <si>
    <t>COLEGIO ESTADUAL NORMAL DE SERRINHA</t>
  </si>
  <si>
    <t>COLEGIO ESTADUAL RUBEM NOGUEIRA</t>
  </si>
  <si>
    <t>TEOFILANDIA</t>
  </si>
  <si>
    <t>COLEGIO ESTADUAL DE TEMPO INTEGRAL DE TEOFILANDIA</t>
  </si>
  <si>
    <t>TUCANO</t>
  </si>
  <si>
    <t>COLEGIO ESTADUAL DE TEMPO INTEGRAL DE TUCANO</t>
  </si>
  <si>
    <t>COLEGIO ESTADUAL ROMULO GALVAO</t>
  </si>
  <si>
    <t>VALENTE</t>
  </si>
  <si>
    <t>COLEGIO ESTADUAL DE VALENTE</t>
  </si>
  <si>
    <t>COLEGIO ESTADUAL DO CAMPO LUCIBERTO OLIVEIRA DOS SANTOS</t>
  </si>
  <si>
    <t>COLEGIO ESTADUAL WILSON LINS</t>
  </si>
  <si>
    <t>ALMADINA</t>
  </si>
  <si>
    <t>COLEGIO ESTADUAL SENADOR LUIZ VIANA FILHO</t>
  </si>
  <si>
    <t>ARATACA</t>
  </si>
  <si>
    <t>CENTRO EST DE EDUC PROF DA FLORESTA DO CACAU E DO CHOCOL MILTON SANTOS</t>
  </si>
  <si>
    <t>COLEGIO ESTADUAL BRAULIO XAVIER</t>
  </si>
  <si>
    <t>AURELINO LEAL</t>
  </si>
  <si>
    <t>COLEGIO ESTADUAL DE TEMPO INTEGRAL PROFESSORA JAIDE ROCHA</t>
  </si>
  <si>
    <t>BARRO PRETO</t>
  </si>
  <si>
    <t>COLEGIO ESTADUAL LOMANTO JUNIOR</t>
  </si>
  <si>
    <t>BUERAREMA</t>
  </si>
  <si>
    <t>COLEGIO ESTADUAL ENEDINA OLIVA</t>
  </si>
  <si>
    <t>CAMACAN</t>
  </si>
  <si>
    <t>COLEGIO ESTADUAL ANISIO LOUREIRO</t>
  </si>
  <si>
    <t>COLEGIO ESTADUAL POLIVALENTE DE CAMACAN</t>
  </si>
  <si>
    <t>CANAVIEIRAS</t>
  </si>
  <si>
    <t>COLEGIO MODELO LUIS EDUARDO MAGALHAES</t>
  </si>
  <si>
    <t>COARACI</t>
  </si>
  <si>
    <t>COLEGIO ESTADUAL ALMAKAZIR GALLY GALVAO</t>
  </si>
  <si>
    <t>FLORESTA AZUL</t>
  </si>
  <si>
    <t>COLEGIO ESTADUAL DE TEMPO INTEGRAL FRED GEDEON</t>
  </si>
  <si>
    <t>IBICARAI</t>
  </si>
  <si>
    <t>COLEGIO ESTADUAL DO CAMPO CAJUEIRO</t>
  </si>
  <si>
    <t>COLEGIO ESTADUAL DE TEMPO INTEGRAL PROFESSORA ELIETE MALAQUIAS</t>
  </si>
  <si>
    <t>ILHEUS</t>
  </si>
  <si>
    <t>CENTRO REG DE ENS MED COM INTER TECNO. DO LIT. SUL - CEMIT LITORAL SUL</t>
  </si>
  <si>
    <t>CENTRO ESTADUAL DE EDUCACAO PROFISSIONAL DO CHOCOLATE NELSON SCHAUN</t>
  </si>
  <si>
    <t>CENTRO EST DE EDUC PROFIS EM GESTAO E TECNOL DA INFORM ALVARO M VIEIRA</t>
  </si>
  <si>
    <t>COLEGIO DA POLICIA MILITAR - CPM ROMULO GALVAO</t>
  </si>
  <si>
    <t>COLEGIO ESTADUAL DE SALOBRINHO</t>
  </si>
  <si>
    <t>COLEGIO ESTADUAL DO IGUAPE</t>
  </si>
  <si>
    <t>COLEGIO ESTADUAL DO CAMPO JORGE CALMON</t>
  </si>
  <si>
    <t>COLEGIO ESTADUAL MOYSES BOHANA</t>
  </si>
  <si>
    <t>COLEGIO ESTADUAL DE TEMPO INTEGRAL PROF CARLOS ROBERTO ARLEO BARBOSA</t>
  </si>
  <si>
    <t>COLEGIO ESTADUAL PROFESSOR FABIO ARARIPE GOULART</t>
  </si>
  <si>
    <t>COLEGIO ESTADUAL DE TEMPO INTEGRAL JORGE AMADO</t>
  </si>
  <si>
    <t>ITABUNA</t>
  </si>
  <si>
    <t>CENTRO ESTADUAL DE EDUCACAO PROFISSIONAL EM BIOTECNOLOGIA E SAUDE</t>
  </si>
  <si>
    <t>CENTRO INTEGRADO OSCAR MARINHO FALCAO - CIOMF</t>
  </si>
  <si>
    <t>CENTRO TERRITORIAL DE EDUCACAO PROFISSIONAL LITORAL SUL II</t>
  </si>
  <si>
    <t>COLEGIO DA POLICIA MILITAR - CPM ANTONIO CARLOS MAGALHAES</t>
  </si>
  <si>
    <t>COLEGIO ESTADUAL ADONIAS FILHO</t>
  </si>
  <si>
    <t>COLEGIO ESTADUAL INACIO TOSTA FILHO</t>
  </si>
  <si>
    <t>COLEGIO ESTADUAL VALDELICE SOARES PINHEIRO</t>
  </si>
  <si>
    <t>COMPLEXO INTEGRADO DE EDUC BASICA PROFIS E TECNOLOGICA DE ITABUNA</t>
  </si>
  <si>
    <t>COLEGIO ESTADUAL PROFESSOR ADEUM HILARIO SAUER</t>
  </si>
  <si>
    <t>ITACARE</t>
  </si>
  <si>
    <t>COLEGIO ESTADUAL AURELINO LEAL</t>
  </si>
  <si>
    <t>COLEGIO ESTADUAL DO CAMPO PROFESSORA LUCIA MARIA BATISTA DA SILVA</t>
  </si>
  <si>
    <t>ITAJU DO COLONIA</t>
  </si>
  <si>
    <t>COLEGIO ESTADUAL CORDEIRO DE MIRANDA</t>
  </si>
  <si>
    <t>ITAJUIPE</t>
  </si>
  <si>
    <t>COLEGIO POLIVALENTE DE ITAJUIPE</t>
  </si>
  <si>
    <t>ITAPE</t>
  </si>
  <si>
    <t>COLEGIO ESTADUAL DE TEMPO INTEGRAL DOM PAULO LOPES DE FARIA</t>
  </si>
  <si>
    <t>ITAPITANGA</t>
  </si>
  <si>
    <t>COLEGIO ESTADUAL DE TEMPO INTEGRAL PROFESSOR ANTONIO MARCOS SANTOS</t>
  </si>
  <si>
    <t>JUSSARI</t>
  </si>
  <si>
    <t>COLEGIO ESTADUAL AMELIA AMADO</t>
  </si>
  <si>
    <t>MARAU</t>
  </si>
  <si>
    <t>COLEGIO ESTADUAL ANTONIO EDUARDO RIBEIRO ROCHA</t>
  </si>
  <si>
    <t>COLEGIO ESTADUAL DO CAMPO CLEMENTE MARIANI</t>
  </si>
  <si>
    <t>MASCOTE</t>
  </si>
  <si>
    <t>COLEGIO ESTADUAL CAROLINA SEVERIANO RIBEIRO</t>
  </si>
  <si>
    <t>COLEGIO ESTADUAL DE TEMPO INTEGRAL PROFESSORA MARILENA SENA LOUREIRO</t>
  </si>
  <si>
    <t>PAU BRASIL</t>
  </si>
  <si>
    <t>COLEGIO ESTADUAL GERSON DE SOUZA MELO PATAXO</t>
  </si>
  <si>
    <t>SANTA LUZIA</t>
  </si>
  <si>
    <t>COLEGIO ESTADUAL JORGE AMADO</t>
  </si>
  <si>
    <t>SAO JOSE DA VITORIA</t>
  </si>
  <si>
    <t>COLEGIO ESTADUAL 13 DE JUNHO</t>
  </si>
  <si>
    <t>UBAITABA</t>
  </si>
  <si>
    <t>COLEGIO ESTADUAL OCTACILIO MANOEL GOMES</t>
  </si>
  <si>
    <t>UNA</t>
  </si>
  <si>
    <t>COLEGIO ESTADUAL MENANDRO MINAHIM</t>
  </si>
  <si>
    <t>URUCUCA</t>
  </si>
  <si>
    <t>COLEGIO ESTADUAL CARNEIRO RIBEIRO</t>
  </si>
  <si>
    <t>COLEGIO ESTADUAL DO CAMPO DE SERRA GRANDE</t>
  </si>
  <si>
    <t>COLEGIO ESTADUAL INDIGENA TUPINAMBA SERRA DO PADEIRO</t>
  </si>
  <si>
    <t>COLEGIO ESTADUAL INDIGENA TUPINAMBA AMOTARA</t>
  </si>
  <si>
    <t>COLEGIO ESTADUAL INDIGENA TUPINAMBA DE ACUIPE DE BAIXO</t>
  </si>
  <si>
    <t>COLEGIO ESTADUAL INDIGENA TUPINAMBA DE OLIVENCA</t>
  </si>
  <si>
    <t>ESCOLA ESTADUAL INDIGENA TUPINAMBA DE ABAETE</t>
  </si>
  <si>
    <t>COLEGIO ESTADUAL DA ALDEIA INDIGENA CARAMURU PARAGUACU</t>
  </si>
  <si>
    <t>CENTRO TERRITORIAL DE EDUCAÇÃO PROFISSIONAL DO LITORAL SUL</t>
  </si>
  <si>
    <t>CENTRO DE APOIO PEDAGOGICO ESPECIALIZADO - GRAPIUNA</t>
  </si>
  <si>
    <t>ARATUIPE</t>
  </si>
  <si>
    <t>COLEGIO ESTADUAL PROFESSOR ROCHA PITA</t>
  </si>
  <si>
    <t>CAMAMU</t>
  </si>
  <si>
    <t>COLEGIO ESTADUAL LUIZ ROGERIO DE SOUZA</t>
  </si>
  <si>
    <t>GANDU</t>
  </si>
  <si>
    <t>CENTRO TERRITORIAL DE EDUCAÇÃO PROFISSIONAL DO BAIXO SUL</t>
  </si>
  <si>
    <t>COLEGIO ESTADUAL POLIVALENTE DE GANDU</t>
  </si>
  <si>
    <t>IBIRAPITANGA</t>
  </si>
  <si>
    <t>COLEGIO ESTADUAL ANDRELINA EUFRAZIA DE JESUS REIS</t>
  </si>
  <si>
    <t>COLEGIO ESTADUAL PAULO CESAR DA NOVA ALMEIDA</t>
  </si>
  <si>
    <t>IGRAPIUNA</t>
  </si>
  <si>
    <t>COLEGIO ESTADUAL PROFESSOR NEILTON LIMA MOREIRA</t>
  </si>
  <si>
    <t>ITUBERA</t>
  </si>
  <si>
    <t>COLEGIO ESTADUAL IDELZITO ELOY DE ABREU</t>
  </si>
  <si>
    <t>JAGUARIPE</t>
  </si>
  <si>
    <t>COLEGIO ESTADUAL DE TEMPO INTEGRAL DOUTOR ARISTIDES MALTEZ</t>
  </si>
  <si>
    <t>NILO PECANHA</t>
  </si>
  <si>
    <t>COLEGIO ESTADUAL ADELAIDE SOUZA</t>
  </si>
  <si>
    <t>PIRAI DO NORTE</t>
  </si>
  <si>
    <t>COLEGIO ESTADUAL LUIS NAVARRO DE BRITO</t>
  </si>
  <si>
    <t>PRESIDENTE TANCREDO NEVES</t>
  </si>
  <si>
    <t>COLEGIO ESTADUAL MARIA XAVIER DE ANDRADE REIS</t>
  </si>
  <si>
    <t>TAPEROA</t>
  </si>
  <si>
    <t>COLEGIO ESTADUAL DE TEMPO INTEGRAL ESTELA ALELUIA GUIMARAES</t>
  </si>
  <si>
    <t>TEOLANDIA</t>
  </si>
  <si>
    <t>COLEGIO ESTADUAL DEMOCRATICO LIBIA TINOCO MELO</t>
  </si>
  <si>
    <t>VALENCA</t>
  </si>
  <si>
    <t>CENTRO EST DE EDUCACAO PROFISSIONAL EM SAUDE DO LESTE BAIANO</t>
  </si>
  <si>
    <t>CENT.REG.DE ENS.MEDIO COM INTERMEDIACAO TEC.-CEMIT DO BAIXO SUL</t>
  </si>
  <si>
    <t>COLEGIO ESTADUAL DO CAMPO HERMINIO MANOEL DE JESUS</t>
  </si>
  <si>
    <t>COLEGIO ESTADUAL GENTIL PARAISO MARTINS</t>
  </si>
  <si>
    <t>COLEGIO ESTADUAL JOAO CARDOSO DOS SANTOS</t>
  </si>
  <si>
    <t>WENCESLAU GUIMARAES</t>
  </si>
  <si>
    <t>COLEGIO ESTADUAL NAIR LOPES JENKINS</t>
  </si>
  <si>
    <t>CAIRU</t>
  </si>
  <si>
    <t>COLEGIO ESTADUAL CANDIDO MEIRELES</t>
  </si>
  <si>
    <t>COLEGIO ESTADUAL QUILOMBOLA BERNARDO BISPO DOS SANTOS</t>
  </si>
  <si>
    <t>COLEGIO ESTADUAL ONILDO RAIMUNDO CRISTO</t>
  </si>
  <si>
    <t>ALCOBACA</t>
  </si>
  <si>
    <t>COLEGIO ESTADUAL ERALDO TINOCO</t>
  </si>
  <si>
    <t>COLEGIO ESTADUAL EUNICE JERONIMO DE OLIVEIRA</t>
  </si>
  <si>
    <t>CARAVELAS</t>
  </si>
  <si>
    <t>COLEGIO POLIVALENTE DE CARAVELAS</t>
  </si>
  <si>
    <t>IBIRAPUA</t>
  </si>
  <si>
    <t>COLEGIO ESTADUAL PROFESSOR PAULO FREIRE</t>
  </si>
  <si>
    <t>ITAMARAJU</t>
  </si>
  <si>
    <t>COLEGIO ESTADUAL PROFESSORA AURIVALDINA JOAZEIRO</t>
  </si>
  <si>
    <t>COLEGIO ESTADUAL PROFESSORA MARIA DO CARMO MARQUES DE FREITAS</t>
  </si>
  <si>
    <t>COMPLEXO INTEGRADO DE EDUC BASICA PROFIS E TECNOLOGICA DE ITAMARAJU</t>
  </si>
  <si>
    <t>ITANHEM</t>
  </si>
  <si>
    <t>COLEGIO POLIVALENTE DE ITANHEM</t>
  </si>
  <si>
    <t>JUCURUCU</t>
  </si>
  <si>
    <t>COLEGIO ESTADUAL PROFESSORA MARIA EDITE VIEIRA GUSMAO</t>
  </si>
  <si>
    <t>LAJEDAO</t>
  </si>
  <si>
    <t>COLEGIO ESTADUAL PROFESSORA NEIDE SOARES BORGES</t>
  </si>
  <si>
    <t>MEDEIROS NETO</t>
  </si>
  <si>
    <t>CENTRO TERRITORIAL DE EDUCACAO PROFISSIONAL DE MEDEIROS NETO</t>
  </si>
  <si>
    <t>MUCURI</t>
  </si>
  <si>
    <t>COLEGIO ESTADUAL ALCIDES AFONSO DE SOUZA</t>
  </si>
  <si>
    <t>COLEGIO ESTADUAL INTEGRACAO</t>
  </si>
  <si>
    <t>COLEGIO ESTADUAL JACI FERREIRA DOS SANTOS</t>
  </si>
  <si>
    <t>NOVA VICOSA</t>
  </si>
  <si>
    <t>COLEGIO ESTADUAL JOHN KENNEDY</t>
  </si>
  <si>
    <t>COLEGIO ESTADUAL PROFESSORA JANE ASSIS PEIXOTO</t>
  </si>
  <si>
    <t>COMPLEXO INTEGRADO DE EDUCACAO BASICA, PROFIS E TECNOLOG. CHICO MENDES</t>
  </si>
  <si>
    <t>PRADO</t>
  </si>
  <si>
    <t>COLEGIO ESTADUAL DO CAMPO ANDERSON FRANCA</t>
  </si>
  <si>
    <t>COLEGIO ESTADUAL DO CAMPO VINTE E CINCO DE JULHO</t>
  </si>
  <si>
    <t>COLEGIO ESTADUAL DE TEMPO INTEGRAL HOMERO PIRES</t>
  </si>
  <si>
    <t>TEIXEIRA DE FREITAS</t>
  </si>
  <si>
    <t>CENTRO TERRITORIAL DE EDUCACAO PROFISSIONAL DO EXTREMO SUL</t>
  </si>
  <si>
    <t>COLEGIO DA POLICIA MILITAR - CPM ANISIO TEIXEIRA</t>
  </si>
  <si>
    <t>COLEGIO ESTADUAL DEMOCRATICO RUY BARBOSA</t>
  </si>
  <si>
    <t>COLEGIO ESTADUAL HENRIQUE BRITO</t>
  </si>
  <si>
    <t>COLEGIO ESTADUAL MACHADO DE ASSIS</t>
  </si>
  <si>
    <t>COLEGIO ESTADUAL PROFESSOR ROMULO GALVAO</t>
  </si>
  <si>
    <t>CENTRO REGIONAL DE ENS MEDIO COM INTERM TECNOLOGICA -CEMIT EXTREMO SUL</t>
  </si>
  <si>
    <t>VEREDA</t>
  </si>
  <si>
    <t>COLEGIO ESTADUAL FRANCISCO SILVA PASSOS</t>
  </si>
  <si>
    <t>COLEGIO ESTADUAL ODILIO ALVES NETO</t>
  </si>
  <si>
    <t>COLEGIO ESTADUAL INDIGENA AKSA PATAXO</t>
  </si>
  <si>
    <t>COLEGIO ESTADUAL INDIGENA BOM JESUS</t>
  </si>
  <si>
    <t>COLEGIO  ESTADUAL INDIGENA  DE CORUMBAUZINHO</t>
  </si>
  <si>
    <t>COLEGIO ESTADUAL INDIGENA KIJETXAWE ZABELE</t>
  </si>
  <si>
    <t>COLEGIO ESTADUAL INDIGENA TANARA PATAXO PEQUI/GURITA</t>
  </si>
  <si>
    <t>COLEGIO ESTADUAL INDIGENA TAWA</t>
  </si>
  <si>
    <t>CAATIBA</t>
  </si>
  <si>
    <t>COLEGIO ESTADUAL GELASIO ALVES DOS SANTOS</t>
  </si>
  <si>
    <t>FIRMINO ALVES</t>
  </si>
  <si>
    <t>CENTRO EDUCACIONAL MONTEIRO LOBATO</t>
  </si>
  <si>
    <t>IBICUI</t>
  </si>
  <si>
    <t>COLEGIO ESTADUAL DE TEMPO INTEGRAL PAULO FREIRE</t>
  </si>
  <si>
    <t>IGUAI</t>
  </si>
  <si>
    <t>COLEGIO ESTADUAL DUQUE DE CAXIAS</t>
  </si>
  <si>
    <t>ITAMBE</t>
  </si>
  <si>
    <t>COLEGIO ESTADUAL DE TEMPO INTEGRAL DE ITAMBE</t>
  </si>
  <si>
    <t>ITAPETINGA</t>
  </si>
  <si>
    <t>COLEGIO ESTADUAL ALFREDO DUTRA</t>
  </si>
  <si>
    <t>COLEGIO POLIVALENTE DE ITAPETINGA</t>
  </si>
  <si>
    <t>ITARANTIM</t>
  </si>
  <si>
    <t>COLEGIO ESTADUAL NAOMAR SOARES ALCANTARA</t>
  </si>
  <si>
    <t>ITORORO</t>
  </si>
  <si>
    <t>CENTRO TERRITORIAL DE EDUCACAO PROFISSIONAL DO MEDIO SUDOESTE DA BAHIA</t>
  </si>
  <si>
    <t>COLEGIO ESTADUAL EDSON OLIVEIRA</t>
  </si>
  <si>
    <t>MACARANI</t>
  </si>
  <si>
    <t>COLEGIO ESTADUAL SAO PEDRO</t>
  </si>
  <si>
    <t>MAIQUINIQUE</t>
  </si>
  <si>
    <t>COLEGIO ESTADUAL ALTAIR ALMEIDA MEIRA</t>
  </si>
  <si>
    <t>NOVA CANAA</t>
  </si>
  <si>
    <t>COLEGIO ESTADUAL FLORESTAL</t>
  </si>
  <si>
    <t>POTIRAGUA</t>
  </si>
  <si>
    <t>COLEGIO DEMOCRATICO ESTADUAL ANISIO TEIXEIRA</t>
  </si>
  <si>
    <t>SANTA CRUZ DA VITORIA</t>
  </si>
  <si>
    <t>AMARGOSA</t>
  </si>
  <si>
    <t>CENTRO TERRITORIAL DE EDUCACAO PROFISSIONAL DO VALE DO JIQUIRICA</t>
  </si>
  <si>
    <t>COLEGIO ESTADUAL PEDRO CALMON</t>
  </si>
  <si>
    <t>COLEGIO ESTADUAL SANTA BERNADETE</t>
  </si>
  <si>
    <t>BREJOES</t>
  </si>
  <si>
    <t>COLEGIO ESTADUAL DE TEMPO INTEGRAL PROFESSORA HELENA SOUZA BISPO</t>
  </si>
  <si>
    <t>COLEGIO ESTADUAL EDIVALDO BOAVENTURA</t>
  </si>
  <si>
    <t>CRAVOLANDIA</t>
  </si>
  <si>
    <t>COLEGIO ESTADUAL DE CRAVOLANDIA</t>
  </si>
  <si>
    <t>ELISIO MEDRADO</t>
  </si>
  <si>
    <t>COLEGIO ESTADUAL DEMOCRATICO PROFESSOR ROMULO GALVAO</t>
  </si>
  <si>
    <t>IRAJUBA</t>
  </si>
  <si>
    <t>COLEGIO ESTADUAL PROFESSOR ISAIAS ALEIXO</t>
  </si>
  <si>
    <t>ITAQUARA</t>
  </si>
  <si>
    <t>COLEGIO ESTADUAL JOAO PESSOA</t>
  </si>
  <si>
    <t>ITIRUCU</t>
  </si>
  <si>
    <t>COLEGIO ESTADUAL MARIA CANDIDA DE CASTILHO FONTOURA</t>
  </si>
  <si>
    <t>JAGUAQUARA</t>
  </si>
  <si>
    <t>CENTRO EST DE EDUC PROF EM ALIMENTOS E RECURSOS NATURAIS PIO XII</t>
  </si>
  <si>
    <t>COLEGIO ESTADUAL LUZIA SILVA</t>
  </si>
  <si>
    <t>COLEGIO ESTADUAL  NOSSA SENHORA AUXILIADORA</t>
  </si>
  <si>
    <t>COLEGIO ESTADUAL VIRGILIO PEREIRA DE ALMEIDA</t>
  </si>
  <si>
    <t>JIQUIRICA</t>
  </si>
  <si>
    <t>COLEGIO ESTADUAL DE TEMPO INTEGRAL JOSE MALTA MAIA</t>
  </si>
  <si>
    <t>LAFAIETE COUTINHO</t>
  </si>
  <si>
    <t>COLEGIO ESTADUAL PROFESSOR ERALDO TINOCO</t>
  </si>
  <si>
    <t>LAJE</t>
  </si>
  <si>
    <t>COLEGIO ESTADUAL JUVENILIA PEIXOTO SAMPAIO</t>
  </si>
  <si>
    <t>COLEGIO ESTADUAL DE TEMPO INTEGRAL RUY JOSE DE ALMEIDA</t>
  </si>
  <si>
    <t>LAJEDO DO TABOCAL</t>
  </si>
  <si>
    <t>COLEGIO ESTADUAL FERNANDO PRESIDIO</t>
  </si>
  <si>
    <t>MARACAS</t>
  </si>
  <si>
    <t>COLEGIO ESTADUAL EDILSON FREIRE</t>
  </si>
  <si>
    <t>MILAGRES</t>
  </si>
  <si>
    <t>COLEGIO ESTADUAL DE MILAGRES</t>
  </si>
  <si>
    <t>MUTUIPE</t>
  </si>
  <si>
    <t>COLEGIO ESTADUAL ANTONIO FELIPE EVANGELISTA NETO</t>
  </si>
  <si>
    <t>NOVA ITARANA</t>
  </si>
  <si>
    <t>PLANALTINO</t>
  </si>
  <si>
    <t>COLEGIO ESTADUAL MANOEL JOSE DE ANDRADE</t>
  </si>
  <si>
    <t>SANTA INES</t>
  </si>
  <si>
    <t>COLEGIO ESTADUAL DE TEMPO INTEGRAL DE SANTA INES</t>
  </si>
  <si>
    <t>SAO MIGUEL DAS MATAS</t>
  </si>
  <si>
    <t>COLEGIO ESTADUAL ALDEMIRO VILAS BOAS</t>
  </si>
  <si>
    <t>UBAIRA</t>
  </si>
  <si>
    <t>COLEGIO ESTADUAL BALBINO MUNIZ BARRETO</t>
  </si>
  <si>
    <t>CAMPO ALEGRE DE LOURDES</t>
  </si>
  <si>
    <t>COLEGIO ESTADUAL DOUTOR IVES ORLANDO LOPES DA SILVA</t>
  </si>
  <si>
    <t>CANUDOS</t>
  </si>
  <si>
    <t>COLEGIO ESTADUAL LUIS CABRAL</t>
  </si>
  <si>
    <t>CASA NOVA</t>
  </si>
  <si>
    <t>COLEGIO ESTADUAL DE TEMPO INTEGRAL DE CASA NOVA</t>
  </si>
  <si>
    <t>COLEGIO ESTADUAL DO CAMPO AGNALDO ALMEIDA</t>
  </si>
  <si>
    <t>COLEGIO ESTADUAL DO CAMPO PROFESSORA MARIA TEREZA BRAGA CABRAL</t>
  </si>
  <si>
    <t>CURACA</t>
  </si>
  <si>
    <t>CENTRO TERRITORIAL DE EDUCACAO PROFISSIONAL MARIA DE ALMEIDA ARAUJO</t>
  </si>
  <si>
    <t>COLEGIO ESTADUAL AGROVILA 08</t>
  </si>
  <si>
    <t>COLEGIO ESTADUAL ANANIAS CARLOS DO NASCIMENTO</t>
  </si>
  <si>
    <t>JUAZEIRO</t>
  </si>
  <si>
    <t>CENTRO EST. DE EDUCACAO PROFIS EM  GESTAO E NEGOCIOS DO NORTE BAIANO</t>
  </si>
  <si>
    <t>CENT.REG.DE ENS.MEDIO COM INTERMEDIACAO TEC-CEMIT SERTAO DO S FRANCISC</t>
  </si>
  <si>
    <t>CENTRO TERRITORIAL DE EDUCACAO PROFISSIONAL DO SERTAO DO SAO FRANCISCO</t>
  </si>
  <si>
    <t>COLEGIO DA POLICIA MILITAR - CPM ALFREDO VIANNA</t>
  </si>
  <si>
    <t>COLEGIO ESTADUAL DE TEMPO INTEGRAL PROF FLORENTINA ALVES DOS SANTOS</t>
  </si>
  <si>
    <t>COLEGIO ESTADUAL AGOSTINHO MUNIZ</t>
  </si>
  <si>
    <t>COLEGIO ESTADUAL ANTONILIO DA FRANCA CARDOSO</t>
  </si>
  <si>
    <t>COLEGIO ESTADUAL ARTUR OLIVEIRA DA SILVA</t>
  </si>
  <si>
    <t>COLEGIO ESTADUAL CECILIO MATTOS</t>
  </si>
  <si>
    <t>COLEGIO ESTADUAL DO CAMPO OLAVO FERREIRA NETO</t>
  </si>
  <si>
    <t>COLEGIO ESTADUAL DONA  GUIOMAR BARRETO MEIRA</t>
  </si>
  <si>
    <t>COLEGIO ESTADUAL HILDETE LOMANTO</t>
  </si>
  <si>
    <t>COLEGIO ESTADUAL JUTAHY MAGALHAES</t>
  </si>
  <si>
    <t>COLEGIO ESTADUAL DE TEMPO INTEGRAL LOMANTO JUNIOR</t>
  </si>
  <si>
    <t>COLEGIO ESTADUAL PEDRO RAYMUNDO MOREIRA REGO</t>
  </si>
  <si>
    <t>COLEGIO ESTADUAL ROTARY CLUBE</t>
  </si>
  <si>
    <t>COMPLEXO INTEGRADO DE EDUCACAO BASICA, PROFIS E TECNOLOGICA DA BAHIA</t>
  </si>
  <si>
    <t>COLEGIO ESTADUAL DE TEMPO INTEGRAL PAULO JOSE DE OLIVEIRA</t>
  </si>
  <si>
    <t>PILAO ARCADO</t>
  </si>
  <si>
    <t>COLEGIO ESTADUAL SOFIA MASCARENHAS</t>
  </si>
  <si>
    <t>REMANSO</t>
  </si>
  <si>
    <t>COLEGIO ESTADUAL PROFESSORA IRENE DE SOUZA ARAUJO</t>
  </si>
  <si>
    <t>COLEGIO ESTADUAL REITOR EDGARD SANTOS</t>
  </si>
  <si>
    <t>SENTO SE</t>
  </si>
  <si>
    <t>COLEGIO ESTADUAL DOUTOR JUCA SENTO SE</t>
  </si>
  <si>
    <t>COLEGIO ESTADUAL SETE DE SETEMBRO</t>
  </si>
  <si>
    <t>SOBRADINHO</t>
  </si>
  <si>
    <t>COLEGIO ESTADUAL JORGE KHOURY</t>
  </si>
  <si>
    <t>COLEGIO ESTADUAL VILA SAO JOAQUIM</t>
  </si>
  <si>
    <t>UAUA</t>
  </si>
  <si>
    <t>CENTRO TERRIT EDUC PROF DO SERTAO SAO FRANCISCO II ANTONIO CONSELHEIRO</t>
  </si>
  <si>
    <t>COLEGIO ESTADUAL DO CAMPO INTEGRACAO LAGOA DO PIRES</t>
  </si>
  <si>
    <t>COLEGIO ESTADUAL DO CAMPO PROFESSOR EDIVALDO MACHADO BOAVENTURA</t>
  </si>
  <si>
    <t>COLEGIO ESTADUAL NOSSA SENHORA AUXILIADORA</t>
  </si>
  <si>
    <t>ANGICAL</t>
  </si>
  <si>
    <t>COLEGIO ESTADUAL APARICIO JOSE DA SILVA</t>
  </si>
  <si>
    <t>BAIANOPOLIS</t>
  </si>
  <si>
    <t>COLEGIO ESTADUAL DO CAMPO VERONILDO MENDES PEREIRA</t>
  </si>
  <si>
    <t>COLEGIO ESTADUAL PIO ALVES DOS SANTOS</t>
  </si>
  <si>
    <t>BARREIRAS</t>
  </si>
  <si>
    <t>CENT REG  DE ENS MEDIO COM INTERMEDIACAO TEC.CEMIT BACIA DO RIO GRANDE</t>
  </si>
  <si>
    <t>CENTRO TERRITORIAL DE EDUCACAO PROFISSIONAL DA BACIA DO RIO GRANDE</t>
  </si>
  <si>
    <t>COLEGIO DA POLICIA MILITAR - CPM PROFESSOR ALEXANDRE LEAL COSTA</t>
  </si>
  <si>
    <t>COLEGIO DEMOCRATICO ESTADUAL MARCOS FREIRE</t>
  </si>
  <si>
    <t>COLEGIO ESTADUAL ANTONIO GERALDO</t>
  </si>
  <si>
    <t>COLEGIO ESTADUAL DE BARREIRINHAS</t>
  </si>
  <si>
    <t>COLEGIO ESTADUAL EL SHADAI</t>
  </si>
  <si>
    <t>COLEGIO ESTADUAL HERCULANO FARIA</t>
  </si>
  <si>
    <t>COLEGIO ESTADUAL PRISCO VIANA</t>
  </si>
  <si>
    <t>BURITIRAMA</t>
  </si>
  <si>
    <t>COLEGIO ESTADUAL ANTONIO RODRIGUES VIANA</t>
  </si>
  <si>
    <t>CATOLANDIA</t>
  </si>
  <si>
    <t>COLEGIO ESTADUAL NOSSA SENHORA DA PENHA</t>
  </si>
  <si>
    <t>COTEGIPE</t>
  </si>
  <si>
    <t>CRISTOPOLIS</t>
  </si>
  <si>
    <t>COLEGIO ESTADUAL DE CRISTOPOLIS</t>
  </si>
  <si>
    <t>FORMOSA DO RIO PRETO</t>
  </si>
  <si>
    <t>CENTRO TERRITORIAL DE EDUCACAO PROFISSIONAL ALMIR TEIXEIRA SANTOS</t>
  </si>
  <si>
    <t>LUIS EDUARDO MAGALHAES</t>
  </si>
  <si>
    <t>COLEGIO ESTADUAL CONSTANTINO CATARINO DE SOUZA</t>
  </si>
  <si>
    <t>COLEGIO ESTADUAL MARIA OTILIA LUTZ</t>
  </si>
  <si>
    <t>COLEGIO ESTADUAL MIMOSO DO OESTE</t>
  </si>
  <si>
    <t>MANSIDAO</t>
  </si>
  <si>
    <t>COLEGIO ESTADUAL PROFESSORA MARIA HELENA OLIVEIRA</t>
  </si>
  <si>
    <t>RIACHAO DAS NEVES</t>
  </si>
  <si>
    <t>COLEGIO ESTADUAL PROFESSOR  IVARDO PEREIRA BASTOS</t>
  </si>
  <si>
    <t>COLEGIO ESTADUAL RODOLFO DE QUEIROZ</t>
  </si>
  <si>
    <t>SANTA RITA DE CASSIA</t>
  </si>
  <si>
    <t>CENTRO TERRI.DE EDUC.PROFI.STA RITA DE CASSIA-CETEP STA RITA DE CASSIA</t>
  </si>
  <si>
    <t>COLEGIO ESTADUAL DEPUTADO HORACIO DE MATOS</t>
  </si>
  <si>
    <t>COLEGIO ESTADUAL GOVERNADOR LUIZ VIANA FILHO</t>
  </si>
  <si>
    <t>SAO DESIDERIO</t>
  </si>
  <si>
    <t>COLEGIO ESTADUAL BENTO ALVES DAS NEVES</t>
  </si>
  <si>
    <t>COLEGIO ESTADUAL DO CAMPO MIGUEL MOREIRA DE CARVALHO</t>
  </si>
  <si>
    <t>COLEGIO ESTADUAL PROFESSOR MANOEL MACEDO CIRILO</t>
  </si>
  <si>
    <t>WANDERLEY</t>
  </si>
  <si>
    <t>COLEGIO ESTADUAL ANTONIO INACIO DE OLIVEIRA</t>
  </si>
  <si>
    <t>BOQUIRA</t>
  </si>
  <si>
    <t>COLEGIO ESTADUAL DE BOQUIRA</t>
  </si>
  <si>
    <t>BOTUPORA</t>
  </si>
  <si>
    <t>COLEGIO ESTADUAL DO CAMPO DE BOTUPORA</t>
  </si>
  <si>
    <t>CATURAMA</t>
  </si>
  <si>
    <t>ERICO CARDOSO</t>
  </si>
  <si>
    <t>COLEGIO ESTADUAL DE TEMPO INTEGRAL DE AGUA QUENTE</t>
  </si>
  <si>
    <t>IBIPITANGA</t>
  </si>
  <si>
    <t>COLEGIO ESTADUAL DO CAMPO DE IBIPITANGA</t>
  </si>
  <si>
    <t>MACAUBAS</t>
  </si>
  <si>
    <t>CENTRO TERRITORIAL DE EDUCACAO PROFISSIONAL DA BACIA DO PARAMIRIM</t>
  </si>
  <si>
    <t>COLEGIO ESTADUAL CONEGO FIRMINO SOARES</t>
  </si>
  <si>
    <t>CENTRO REGIONAL DE ENS M COM INTE TECNOLOGICA-CEMIT BACIA DO PARAMIRIM</t>
  </si>
  <si>
    <t>PARAMIRIM</t>
  </si>
  <si>
    <t>COLEGIO ESTADUAL DE PARAMIRIM</t>
  </si>
  <si>
    <t>RIO DO PIRES</t>
  </si>
  <si>
    <t>COLEGIO ESTADUAL DO CAMPO DE IBIAJARA</t>
  </si>
  <si>
    <t>COLEGIO ESTADUAL PAULO VI</t>
  </si>
  <si>
    <t>BRUMADO</t>
  </si>
  <si>
    <t>CENTRO ESTADUAL DE EDUCACAO PROFISSIONAL EM GESTAO E MEIO AMBIENTE</t>
  </si>
  <si>
    <t>COLEGIO ESTADUAL DE BRUMADO</t>
  </si>
  <si>
    <t>CACULE</t>
  </si>
  <si>
    <t>COLEGIO ESTADUAL DE TEMPO INTEGRAL NORBERTO FERNANDES</t>
  </si>
  <si>
    <t>CAETITE</t>
  </si>
  <si>
    <t>COLEGIO ESTADUAL DO CAMPO PEDRO ATANASIO GARCIA</t>
  </si>
  <si>
    <t>COMPLEXO INTEGRADO DE EDUC BASICA PROFIS E TECNOLOGICA-CIEBTEC</t>
  </si>
  <si>
    <t>CANDIBA</t>
  </si>
  <si>
    <t>COLEGIO ESTADUAL ANTONIO BATISTA</t>
  </si>
  <si>
    <t>CONTENDAS DO SINCORA</t>
  </si>
  <si>
    <t>COLEGIO ESTADUAL DOUTOR LUIZ EDSON DE GOUVEIA</t>
  </si>
  <si>
    <t>DOM BASILIO</t>
  </si>
  <si>
    <t>COLEGIO ESTADUAL DE TEMPO INTEGRAL JOSE CAIRES ARAUJO</t>
  </si>
  <si>
    <t>GUANAMBI</t>
  </si>
  <si>
    <t>CENTRO ESTADUAL DE EDUCACAO PROFISSIONAL EM SAUDE E GESTAO</t>
  </si>
  <si>
    <t>COLEGIO ESTADUAL DO CAMPO DE MUTAS</t>
  </si>
  <si>
    <t>IBIASSUCE</t>
  </si>
  <si>
    <t>COLEGIO ESTADUAL ANTONIO FIGUEIREDO</t>
  </si>
  <si>
    <t>ITUACU</t>
  </si>
  <si>
    <t>COLEGIO ESTADUAL DE TEMPO INTEGRAL ALBERCIO DA COSTA BRITO</t>
  </si>
  <si>
    <t>IUIU</t>
  </si>
  <si>
    <t>LAGOA REAL</t>
  </si>
  <si>
    <t>COLEGIO ESTADUAL LUIS PRISCO VIANA</t>
  </si>
  <si>
    <t>MALHADA DE PEDRAS</t>
  </si>
  <si>
    <t>COLEGIO ESTADUAL DE MALHADA DE PEDRAS</t>
  </si>
  <si>
    <t>PALMAS DE MONTE ALTO</t>
  </si>
  <si>
    <t>COLEGIO ESTADUAL ANISIO TEIXEIRA</t>
  </si>
  <si>
    <t>PINDAI</t>
  </si>
  <si>
    <t>COLEGIO EST DE TEMPO INTEGRAL PETRONILIO DA SILVA PRADO</t>
  </si>
  <si>
    <t>RIO DO ANTONIO</t>
  </si>
  <si>
    <t>COLEGIO ESTADUAL DO RIO DO ANTONIO</t>
  </si>
  <si>
    <t>COLEGIO ESTADUAL PROFESSORA LIA PUBLIO DE CASTRO</t>
  </si>
  <si>
    <t>SEBASTIAO LARANJEIRAS</t>
  </si>
  <si>
    <t>COLEGIO ESTADUAL DOM PEDRO I</t>
  </si>
  <si>
    <t>TANHACU</t>
  </si>
  <si>
    <t>COLEGIO ESTADUAL DE TEMPO INTEGRAL EVA ROCHA</t>
  </si>
  <si>
    <t>COLEGIO ESTADUAL COSTA E SILVA</t>
  </si>
  <si>
    <t>TANQUE NOVO</t>
  </si>
  <si>
    <t>COLEGIO ESTADUAL DE TANQUE NOVO</t>
  </si>
  <si>
    <t>URANDI</t>
  </si>
  <si>
    <t>COLEGIO ESTADUAL DE URANDI</t>
  </si>
  <si>
    <t>LIVRAMENTO DE NOSSA SENHORA</t>
  </si>
  <si>
    <t>COLEGIO ESTADUAL JOAO VILAS BOAS</t>
  </si>
  <si>
    <t>CENTRO DE APOIO PEDAGOGICO ESPECIALIZADO PROFE IELITA NEVES COTRIM</t>
  </si>
  <si>
    <t>BOA VISTA DO TUPIM</t>
  </si>
  <si>
    <t>COLEGIO ESTADUAL BOA VISTA DO TUPIM</t>
  </si>
  <si>
    <t>COLEGIO ESTADUAL DO CAMPO ALOISIO DAMASCENO DE JESUS</t>
  </si>
  <si>
    <t>COLEGIO ESTADUAL DO CAMPO CASTELO BRANCO</t>
  </si>
  <si>
    <t>COLEGIO ESTADUAL DO CAMPO EDGAR SANTOS</t>
  </si>
  <si>
    <t>IACU</t>
  </si>
  <si>
    <t>COLEGIO ESTADUAL LAURO FARANI PEDREIRA DE FREITAS</t>
  </si>
  <si>
    <t>IBIQUERA</t>
  </si>
  <si>
    <t>COLEGIO ESTADUAL DE IBIQUERA</t>
  </si>
  <si>
    <t>ITABERABA</t>
  </si>
  <si>
    <t>CENTRO TERRITORIAL DE EDUCACAO PROFISSIONAL DO PIEMONTE PARAGUACU I</t>
  </si>
  <si>
    <t>COLEGIO ESTADUAL CENTENARIO</t>
  </si>
  <si>
    <t>ITATIM</t>
  </si>
  <si>
    <t>COLEGIO ESTADUAL GEOVANIA NOGUEIRA NUNES</t>
  </si>
  <si>
    <t>LAJEDINHO</t>
  </si>
  <si>
    <t>COLEGIO ESTADUAL PROFESSORA DELZAIR NASCIMENTO GALVAO</t>
  </si>
  <si>
    <t>MACAJUBA</t>
  </si>
  <si>
    <t>COLEGIO ESTADUAL CARLITO DE CARVALHO</t>
  </si>
  <si>
    <t>MUNDO NOVO</t>
  </si>
  <si>
    <t>CENTRO TERRITORIAL DE EDUCACAO PROFISSIONAL PIEMONTE DO PARAGUACU II</t>
  </si>
  <si>
    <t>COLEGIO ESTADUAL LUIS EDUARDO MAGALHAES</t>
  </si>
  <si>
    <t>PIRITIBA</t>
  </si>
  <si>
    <t>COLEGIO ESTADUAL PROFESSORA AYDIL LIMA DOS SANTOS</t>
  </si>
  <si>
    <t>RAFAEL JAMBEIRO</t>
  </si>
  <si>
    <t>COLEGIO ESTADUAL ANA LUCIA MAGALHAES</t>
  </si>
  <si>
    <t>COLEGIO ESTADUAL DO CAMPO SANTO ANTONIO DO ARGOIM</t>
  </si>
  <si>
    <t>RUY BARBOSA</t>
  </si>
  <si>
    <t>COLEGIO ESTADUAL PROFESSOR MAGALHAES NETO - CEMAN</t>
  </si>
  <si>
    <t>SANTA TEREZINHA</t>
  </si>
  <si>
    <t>TAPIRAMUTA</t>
  </si>
  <si>
    <t>COLEGIO ESTADUAL JOAO QUEIROZ</t>
  </si>
  <si>
    <t>BAIXA GRANDE</t>
  </si>
  <si>
    <t>COLEGIO ESTADUAL DE TEMPO INTEGRAL JOSE RIBEIRO PAMPONET</t>
  </si>
  <si>
    <t>CAPELA DO ALTO ALEGRE</t>
  </si>
  <si>
    <t>COL EST DE TEMPO INTEGRAL PROF ZENILDA FERNANDES DOS SANTOS FARIAS</t>
  </si>
  <si>
    <t>CAPIM GROSSO</t>
  </si>
  <si>
    <t>CENTRO TERRITORIAL DE EDUC PROFI DA BACIA DO JACUIPE III-EDNA DALTRO</t>
  </si>
  <si>
    <t>GAVIAO</t>
  </si>
  <si>
    <t>COLEGIO ESTADUAL NOSSA SENHORA DA CONCEICAO</t>
  </si>
  <si>
    <t>IPIRA</t>
  </si>
  <si>
    <t>CENTRO TER DE EDUC PROFI DA BACIA DO JACUIPE PROF LUIZ CARLOS ARAUJO</t>
  </si>
  <si>
    <t>COLEGIO ESTADUAL MARIA EVANGELINA LIMA SANTOS</t>
  </si>
  <si>
    <t>COLEGIO ESTADUAL PROFESSORA MARIA BASTOS MELO</t>
  </si>
  <si>
    <t>MAIRI</t>
  </si>
  <si>
    <t>COLEGIO ESTADUAL DE TEMPO INTEGRAL ABELARDO MOREIRA</t>
  </si>
  <si>
    <t>NOVA FATIMA</t>
  </si>
  <si>
    <t>COLEGIO ESTADUAL DE TEMPO INTEGRAL VIRGILIO FRANCISCO PEREIRA</t>
  </si>
  <si>
    <t>PE DE SERRA</t>
  </si>
  <si>
    <t>COLEGIO ESTADUAL DE TEMPO INTEGRAL PEDRO FALCONERI RIOS</t>
  </si>
  <si>
    <t>PINTADAS</t>
  </si>
  <si>
    <t>COLEGIO ESTADUAL DE TEMPO INTEGRAL EUFRASIO GONÇALVES DE ALMEIDA</t>
  </si>
  <si>
    <t>QUIXABEIRA</t>
  </si>
  <si>
    <t>COLEGIO EST DE TEMPO INTEGRAL PROF TEREZINHA GONCALVES NOVAIS</t>
  </si>
  <si>
    <t>RIACHAO DO JACUIPE</t>
  </si>
  <si>
    <t>CENTRO TERRIT DE EDUCACAO PROFIS DA BACIA DO JACUIPE II JOAO CAMPOS</t>
  </si>
  <si>
    <t>COLEGIO ESTADUAL DO CAMPO DACILDA RIOS DE OLIVEIRA</t>
  </si>
  <si>
    <t>COLEGIO ESTADUAL DO CAMPO PROFESSOR DIDIMO MASCARENHAS RIOS</t>
  </si>
  <si>
    <t>COLEGIO ESTADUAL DE TEMPO INTEGRAL MARIA DAGMAR MIRANDA</t>
  </si>
  <si>
    <t>SAO JOSE DO JACUIPE</t>
  </si>
  <si>
    <t>COLEGIO ESTADUAL DE TEMPO INTEGRAL BERILO VILAS BOAS</t>
  </si>
  <si>
    <t>SERRA PRETA</t>
  </si>
  <si>
    <t>COLEGIO ESTADUAL DO CAMPO NOSSA SENHORA DE LOURDES</t>
  </si>
  <si>
    <t>COLEGIO ESTADUAL DE TEMPO INTEGRAL RENATO MEDEIROS NETO</t>
  </si>
  <si>
    <t>VARZEA DA ROCA</t>
  </si>
  <si>
    <t>COLEGIO ESTADUAL DE TEMPO INTEGRAL PROFESSORA ADELIA MENDES</t>
  </si>
  <si>
    <t>VARZEA DO POCO</t>
  </si>
  <si>
    <t>COLEGIO ESTADUAL DE TEMPO INTEGRAL FELIPE CASSIANO</t>
  </si>
  <si>
    <t>CAEM</t>
  </si>
  <si>
    <t>COLEGIO ESTADUAL ARNALDO DE OLIVEIRA</t>
  </si>
  <si>
    <t>JACOBINA</t>
  </si>
  <si>
    <t>CENTRO EDUCACIONAL DEOCLECIANO BARBOSA DE CASTRO</t>
  </si>
  <si>
    <t>CENTRO TERRITORIAL DE EDUCACAO PROFIS. DO PIEMONTE DA DIAMANTINA II</t>
  </si>
  <si>
    <t>COLEGIO ESTADUAL DE JACOBINA</t>
  </si>
  <si>
    <t>COLEGIO ESTADUAL DE JUNCO</t>
  </si>
  <si>
    <t>MIGUEL CALMON</t>
  </si>
  <si>
    <t>COLEGIO ESTADUAL POLIVALENTE DE MIGUEL CALMON</t>
  </si>
  <si>
    <t>MIRANGABA</t>
  </si>
  <si>
    <t>CENTRO EDUCACIONAL SOROR JOANA ANGELICA</t>
  </si>
  <si>
    <t>OUROLANDIA</t>
  </si>
  <si>
    <t>COLEGIO ESTADUAL DE OUROLANDIA</t>
  </si>
  <si>
    <t>SAUDE</t>
  </si>
  <si>
    <t>COLEGIO ESTADUAL ERNESTO CARNEIRO RIBEIRO</t>
  </si>
  <si>
    <t>SERROLANDIA</t>
  </si>
  <si>
    <t>COLEGIO ESTADUAL DE TEMPO INTEGRAL DE SERROLANDIA</t>
  </si>
  <si>
    <t>UMBURANAS</t>
  </si>
  <si>
    <t>COLEGIO ESTADUAL PROFESSORA MARIA MADALENA DA SILVA</t>
  </si>
  <si>
    <t>VARZEA NOVA</t>
  </si>
  <si>
    <t>COLEGIO ESTADUAL PROFESSORA ADJACI MARTINS DURANS</t>
  </si>
  <si>
    <t>ADUSTINA</t>
  </si>
  <si>
    <t>ANTAS</t>
  </si>
  <si>
    <t>COLEGIO ESTADUAL DE TEMPO INTEGRAL PROF LUZIA CARVALHO SILVA</t>
  </si>
  <si>
    <t>BANZAE</t>
  </si>
  <si>
    <t>COLEGIO ESTADUAL FLAVIANO DANTAS DO NASCIMENTO</t>
  </si>
  <si>
    <t>CICERO DANTAS</t>
  </si>
  <si>
    <t>CENT.EST DE EDUC PROFIS EM INF E GESTAO LOURDES CARVALHO NEVES BATISTA</t>
  </si>
  <si>
    <t>COLEGIO ESTADUAL PROFESSOR LUIZ NAVARRO DE BRITO</t>
  </si>
  <si>
    <t>CIPO</t>
  </si>
  <si>
    <t>COLEGIO ESTADUAL DE TEMPO INTEGRAL AGUAS TERMAIS DE CIPO</t>
  </si>
  <si>
    <t>CORONEL JOAO SA</t>
  </si>
  <si>
    <t>COLEGIO ESTADUAL SANTO ANTONIO</t>
  </si>
  <si>
    <t>EUCLIDES DA CUNHA</t>
  </si>
  <si>
    <t>CENTRO TERRITORIAL DE EDUCACAO PROFISSIONAL SERTAO FORTE</t>
  </si>
  <si>
    <t>EDUCANDARIO OLIVEIRA BRITO</t>
  </si>
  <si>
    <t>FATIMA</t>
  </si>
  <si>
    <t>COLEGIO ESTADUAL DE TEMPO INTEGRAL PROFESSORA ANA MIRENA DA SILVA</t>
  </si>
  <si>
    <t>HELIOPOLIS</t>
  </si>
  <si>
    <t>COLEGIO ESTADUAL JOSE DANTAS DE SOUZA</t>
  </si>
  <si>
    <t>JEREMOABO</t>
  </si>
  <si>
    <t>CENTRO TERRITORIAL DE EDUCACIONAL PROFISSIONAL RASO DA CATARINA</t>
  </si>
  <si>
    <t>COLEGIO ESTADUAL JOSE LOURENCO DE CARVALHO</t>
  </si>
  <si>
    <t>COLEGIO ESTADUAL PROFESSORA MARIA LEIDE DE OLIVEIRA</t>
  </si>
  <si>
    <t>NOVA SOURE</t>
  </si>
  <si>
    <t>COLEGIO ESTADUAL DE TEMPO INTEGRAL SERTAO DA NATUBA DE NOVA SOURE</t>
  </si>
  <si>
    <t>NOVO TRIUNFO</t>
  </si>
  <si>
    <t>COLEGIO ESTADUAL PROFESSORA MARIA TEREZA DE OLIVEIRA</t>
  </si>
  <si>
    <t>PARIPIRANGA</t>
  </si>
  <si>
    <t>COLEGIO ESTADUAL DOUTOR JOSE CARLOS BEZERRA CARVALHO</t>
  </si>
  <si>
    <t>PEDRO ALEXANDRE</t>
  </si>
  <si>
    <t>COLEGIO ESTADUAL PROFESSORA HELENA BRITTO</t>
  </si>
  <si>
    <t>RIBEIRA DO AMPARO</t>
  </si>
  <si>
    <t>COLEGIO ESTADUAL JOSEFA SOARES DE OLIVEIRA</t>
  </si>
  <si>
    <t>RIBEIRA DO POMBAL</t>
  </si>
  <si>
    <t>CENTRO TERRITORIAL DE EDUCACAO PROFISSIONAL DO SEMI ARIDO NORDESTE II</t>
  </si>
  <si>
    <t>COLEGIO  CENTRAL DE RIBEIRA DO POMBAL</t>
  </si>
  <si>
    <t>COLEGIO ESTADUAL DO CAMPO JOAO MARQUES DA SILVA</t>
  </si>
  <si>
    <t>COLEGIO ESTADUAL PROFESSORA SILVIA FERREIRA DE BRITO</t>
  </si>
  <si>
    <t>SANTA BRIGIDA</t>
  </si>
  <si>
    <t>SITIO DO QUINTO</t>
  </si>
  <si>
    <t>COLEGIO ESTADUAL DE TEMPO INTEGRAL JOAO FRANCISCO DA SILVA</t>
  </si>
  <si>
    <t>COLEGIO ESTADUAL INDIGENA  FLORENTINO DOMINGOS DE ANDRADE</t>
  </si>
  <si>
    <t>COLEGIO  ESTADUAL INDIGENA JOSE ZACARIAS</t>
  </si>
  <si>
    <t>COLEGIO ESTADUAL INDIGENA KIRIRI INDIO FELIZ</t>
  </si>
  <si>
    <t>COLEGIO  ESTADUAL INDIGENA TUXA CACIQUE RAUL VALERIO DE OLIVEIRA</t>
  </si>
  <si>
    <t>COLEGIO ESTADUAL INDIGENA DOM JACKSON BERENGUER PRADO</t>
  </si>
  <si>
    <t>ACAJUTIBA</t>
  </si>
  <si>
    <t>COLEGIO ESTADUAL DE TEMPO INTEGRAL ANTONIO DA COSTA BRITO</t>
  </si>
  <si>
    <t>ALAGOINHAS</t>
  </si>
  <si>
    <t>CENTRO TERRITORIAL DE EDUC.PROFISS. DO LITORAL NORTE E AGRESTE BAIANO</t>
  </si>
  <si>
    <t>COLEGIO DA POLICIA MILITAR - CPM PROFESSOR CARLOS ROSA</t>
  </si>
  <si>
    <t>COLEGIO ESTADUAL BRAZILINO VIEGAS</t>
  </si>
  <si>
    <t>COLEGIO ESTADUAL DE ALAGOINHAS</t>
  </si>
  <si>
    <t>COLEGIO ESTADUAL DEPUTADO LUIS EDUARDO MAGALHAES</t>
  </si>
  <si>
    <t>COLEGIO ESTADUAL DOUTOR MAGALHAES NETO</t>
  </si>
  <si>
    <t>COLEGIO ESTADUAL DO CAMPO JOAO CARLOS MEIRELES PAULILO</t>
  </si>
  <si>
    <t>COLEGIO ESTADUAL DO CAMPO LEONCIO PEREIRA DOS SANTOS</t>
  </si>
  <si>
    <t>COLEGIO ESTADUAL LUIZ NAVARRO DE BRITO</t>
  </si>
  <si>
    <t>COLEGIO ESTADUAL MARIA JOSE BASTOS SILVA</t>
  </si>
  <si>
    <t>COLEGIO ESTADUAL SAO FRANCISCO</t>
  </si>
  <si>
    <t>ESCOLA DOS RODOVIARIOS</t>
  </si>
  <si>
    <t>ESCOLA ESTADUAL OSCAR CORDEIRO</t>
  </si>
  <si>
    <t>ESCOLA PROFESSOR JULIO LEAL ARAUJO</t>
  </si>
  <si>
    <t>APORA</t>
  </si>
  <si>
    <t>COLEGIO ESTADUAL DE TEMPO INTEGRAL DE ITAMIRA</t>
  </si>
  <si>
    <t>COLEGIO ESTADUAL DE TEMPO INTEGRAL PROF AUREA DOS HUMILDES OLIVEIRA</t>
  </si>
  <si>
    <t>ARACAS</t>
  </si>
  <si>
    <t>COLEGIO ESTADUAL JOSE VICENTE LEAL</t>
  </si>
  <si>
    <t>ARAMARI</t>
  </si>
  <si>
    <t>COLEGIO ESTADUAL DE TEMPO INTEGRAL PROFESSORA MARIA DO CARMO SANTANA</t>
  </si>
  <si>
    <t>CARDEAL DA SILVA</t>
  </si>
  <si>
    <t>COLEGIO ESTADUAL DOUTOR JOSE ANTONIO DE ARAUJO PIMENTA</t>
  </si>
  <si>
    <t>CATU</t>
  </si>
  <si>
    <t>CENTRO EST DE EDUC PROF CONT E GEST DO N BAIANO PEDRO RIBEIRO PESSOA</t>
  </si>
  <si>
    <t>COLEGIO ESTADUAL ANTONIO DE DEUS SEIXAS</t>
  </si>
  <si>
    <t>COLEGIO ESTADUAL DOUTOR ANTONIO CARLOS MAGALHAES</t>
  </si>
  <si>
    <t>COLEGIO ESTADUAL MARIA ISABEL DE MELO GOES</t>
  </si>
  <si>
    <t>CONDE</t>
  </si>
  <si>
    <t>CENTRO INTEGRADO DE EDUCACAO DO CONDE</t>
  </si>
  <si>
    <t>COLEGIO ESTADUAL CELSO MENDES DE LIMA</t>
  </si>
  <si>
    <t>CRISOPOLIS</t>
  </si>
  <si>
    <t>COLEGIO ESTADUAL DE TEMPO INTEGRAL EUDOXIA MARIA</t>
  </si>
  <si>
    <t>ENTRE RIOS</t>
  </si>
  <si>
    <t>COLEGIO ESTADUAL DE TEMPO INTEGRAL DUQUE DE CAXIAS</t>
  </si>
  <si>
    <t>COLEGIO ESTADUAL PROFESSORA IVANECK MARIA AGUIAR COSTA</t>
  </si>
  <si>
    <t>ESPLANADA</t>
  </si>
  <si>
    <t>COLEGIO ESTADUAL DE TEMPO INTEGRAL CELINA SARAIVA</t>
  </si>
  <si>
    <t>INHAMBUPE</t>
  </si>
  <si>
    <t>COLEGIO ESTADUAL DO CAMPO DE TEMPO INTEGRAL MARIA MENDES DE SOUZA</t>
  </si>
  <si>
    <t>COLEGIO ESTADUAL PROFESSORA SIMONE SIMOES NERI</t>
  </si>
  <si>
    <t>ITANAGRA</t>
  </si>
  <si>
    <t>COLEGIO ESTADUAL PROFESSOR CARLOS SANTANA</t>
  </si>
  <si>
    <t>ITAPICURU</t>
  </si>
  <si>
    <t>COLEGIO ESTADUAL DO CAMPO PROFESSORA MARIA FREIRE ANUNCIACAO SILVA</t>
  </si>
  <si>
    <t>COLEGIO ESTADUAL UIRASSU DE ASSIS BATISTA</t>
  </si>
  <si>
    <t>JANDAIRA</t>
  </si>
  <si>
    <t>COLEGIO ESTADUAL DOUTOR LUIZ VIANA FILHO</t>
  </si>
  <si>
    <t>OLINDINA</t>
  </si>
  <si>
    <t>COLEGIO ESTADUAL ACELINA DANTAS DA SILVA</t>
  </si>
  <si>
    <t>COLEGIO ESTADUAL MINISTRO OLIVEIRA BRITO</t>
  </si>
  <si>
    <t>OURICANGAS</t>
  </si>
  <si>
    <t>COLEGIO ESTADUAL ELIEL MARTINS</t>
  </si>
  <si>
    <t>PEDRAO</t>
  </si>
  <si>
    <t>COLEGIO ESTADUAL JOAO BENEVIDES NOGUEIRA</t>
  </si>
  <si>
    <t>RIO REAL</t>
  </si>
  <si>
    <t>COLEGIO ESTADUAL DOUTOR JOSE CARVALHO BAPTISTA</t>
  </si>
  <si>
    <t>COLEGIO ESTADUAL MARQUES DE ABRANTES</t>
  </si>
  <si>
    <t>SATIRO DIAS</t>
  </si>
  <si>
    <t>COLEGIO DEMOCRATICO  ESTADUAL PROFESSOR  EDGARD SANTOS</t>
  </si>
  <si>
    <t>AGUA FRIA</t>
  </si>
  <si>
    <t>COLEGIO ESTADUAL DE AGUA FRIA</t>
  </si>
  <si>
    <t>AMELIA RODRIGUES</t>
  </si>
  <si>
    <t>COLEGIO ESTADUAL DE TEMPO INTEGRAL AMELIA RODRIGUES</t>
  </si>
  <si>
    <t>ANGUERA</t>
  </si>
  <si>
    <t>COLEGIO ESTADUAL ARTHUR VIEIRA DE OLIVEIRA</t>
  </si>
  <si>
    <t>ANTONIO CARDOSO</t>
  </si>
  <si>
    <t>COLEGIO ESTADUAL DO CAMPO GENIVALDO DE ALMEIDA BRANDAO</t>
  </si>
  <si>
    <t>CONCEICAO DA FEIRA</t>
  </si>
  <si>
    <t>COLEGIO ESTADUAL DE CONCEICAO DA FEIRA - CECF</t>
  </si>
  <si>
    <t>CONCEICAO DO JACUIPE</t>
  </si>
  <si>
    <t>COLEGIO ESTADUAL CONCEICAO DO JACUIPE</t>
  </si>
  <si>
    <t>CORACAO DE MARIA</t>
  </si>
  <si>
    <t>COLEGIO ESTADUAL DE TEMPO INTEGRAL DOM PEDRO II</t>
  </si>
  <si>
    <t>COLEGIO ESTADUAL DO CAMPO PROFESSOR JOSE WALDOMIRO SANTOS DA CONCEICAO</t>
  </si>
  <si>
    <t>FEIRA DE SANTANA</t>
  </si>
  <si>
    <t>CENTRO DE ENSINO E CULTURA DR EDUARDO FROES DA  MOTTA</t>
  </si>
  <si>
    <t>CENTRO EDUCACIONAL CENECISTA DO CAMPO CONEGO CUPERTINO DE LACERDA</t>
  </si>
  <si>
    <t>CENTRO ESTADUAL DE EDUCACAO PROFISSIONAL AUREO DE OLIVEIRA FILHO</t>
  </si>
  <si>
    <t>CENTRO EST DE EDUCACAO PROFISSIONAL  EM SAUDE DO CENTRO BAIANO</t>
  </si>
  <si>
    <t>CENTRO INTEGRADO DE EDUCACAO ASSIS CHATEAUBRIAND</t>
  </si>
  <si>
    <t>CENTRO TERRITORIAL DE EDUCACAO PROFISSIONAL DO PORTAL DO SERTAO</t>
  </si>
  <si>
    <t>COLEGIO DA POLICIA MILITAR CPM DIVA PORTELA</t>
  </si>
  <si>
    <t>COLEGIO ESTADUAL CARMEN ANDRADE LIMA</t>
  </si>
  <si>
    <t>COLEGIO ESTADUAL DE TEMPO INTEGRAL CAROLINA MARIA DE JESUS</t>
  </si>
  <si>
    <t>COLEGIO ESTADUAL DE TEMPO INTEGRAL DE FEIRA DE SANTANA</t>
  </si>
  <si>
    <t>COLEGIO ESTADUAL DO CAMPO DE JAGUARA</t>
  </si>
  <si>
    <t>COLEGIO ESTADUAL DO CAMPO EDIVALDO MACHADO BOAVENTURA</t>
  </si>
  <si>
    <t>COLEGIO ESTADUAL DO CAMPO JOAO BAPTISTA CARNEIRO</t>
  </si>
  <si>
    <t>COLEGIO ESTADUAL DO CAMPO MARIA QUITERIA</t>
  </si>
  <si>
    <t>COLEGIO ESTADUAL DO CAMPO PADRE HENRIQUE ALVES BORGES</t>
  </si>
  <si>
    <t>COLEGIO ESTADUAL DOUTOR JAIR SANTOS SILVA</t>
  </si>
  <si>
    <t>COLEGIO ESTADUAL DURVALINA CARNEIRO</t>
  </si>
  <si>
    <t>COLEGIO ESTADUAL DE TEMPO INTEGRAL EDITH MACHADO BOAVENTURA</t>
  </si>
  <si>
    <t>COLEGIO ESTADUAL PROFESSORA CARMINDA MASCARENHAS VIEIRA</t>
  </si>
  <si>
    <t>COLEGIO ESTADUAL HELENA ASSIS SUZART</t>
  </si>
  <si>
    <t>COLEGIO ESTADUAL HILDA CARNEIRO</t>
  </si>
  <si>
    <t>COLEGIO ESTADUAL IRMA ROSA APARECIDA</t>
  </si>
  <si>
    <t>COLEGIO ESTADUAL DO CAMPO ITAN GUIMARAES CERQUEIRA</t>
  </si>
  <si>
    <t>COLEGIO EST DE TEMPO INTEGRAL PROF ANA ANGELICA VERGNE DE MORAIS</t>
  </si>
  <si>
    <t>COLEGIO ESTADUAL JUIZ JORGE FARIAS GOES</t>
  </si>
  <si>
    <t>COLEGIO ESTADUAL LAZARO DOS SANTOS FERREIRA</t>
  </si>
  <si>
    <t>COLEGIO ESTADUAL ODORICO TAVARES</t>
  </si>
  <si>
    <t>COLEGIO ESTADUAL PADRE VIEIRA</t>
  </si>
  <si>
    <t>COLEGIO ESTADUAL DE TEMPO INTEGRAL PROF ANA ALICE FIGUEREDO DOS SANTOS</t>
  </si>
  <si>
    <t>COLEGIO ESTADUAL PROFESSORA TECLA MELLO</t>
  </si>
  <si>
    <t>COLEGIO ESTADUAL ROTARY</t>
  </si>
  <si>
    <t>COLEGIO ESTADUAL TEOTONIO VILELA</t>
  </si>
  <si>
    <t>COLEGIO ESTADUAL DE TEMPO INTEGRAL GEORGINA DE MELO ERISMANN</t>
  </si>
  <si>
    <t>COLEGIO ESTADUAL YEDA BARRADAS CARNEIRO</t>
  </si>
  <si>
    <t>COLEGIO GEORGINA SOARES NASCIMENTO</t>
  </si>
  <si>
    <t>INSTITUTO DE EDUCACAO DE TEMPO INTEGRAL GASTAO GUIMARAES</t>
  </si>
  <si>
    <t>COLEGIO ESTADUAL DE TEMPO INTEGRAL PROFESSORA CELIA SANTOS ANDRADE</t>
  </si>
  <si>
    <t>IPECAETA</t>
  </si>
  <si>
    <t>COLEGIO ESTADUAL DE TEMPO INTEGRAL AUREO FILHO</t>
  </si>
  <si>
    <t>IRARA</t>
  </si>
  <si>
    <t>COLEGIO ESTADUAL DE TEMPO INTEGRAL PROFESSORA MARLENE ALVES DOS SANTOS</t>
  </si>
  <si>
    <t>SANTA BARBARA</t>
  </si>
  <si>
    <t>COLEGIO ESTADUAL PROFESSOR CARLOS VALADARES</t>
  </si>
  <si>
    <t>COLEGIO ESTADUAL DE TEMPO INTEGRAL SAO JOSE</t>
  </si>
  <si>
    <t>SANTANOPOLIS</t>
  </si>
  <si>
    <t>COLEGIO ESTADUAL JOSE ANTONIO DE ALMEIDA</t>
  </si>
  <si>
    <t>SANTO ESTEVAO</t>
  </si>
  <si>
    <t>COLEGIO ESTADUAL DE TEMPO INTEGRAL DE SANTO ESTEVAO</t>
  </si>
  <si>
    <t>COLEGIO ESTADUAL DE TEMPO INTEGRAL PROFESSORA EDITE FERREIRA FONSECA</t>
  </si>
  <si>
    <t>SAO GONCALO DOS CAMPOS</t>
  </si>
  <si>
    <t>COLEGIO ESTADUAL DE TEMPO INTEGRAL DE SAO GONCALO DOS CAMPOS</t>
  </si>
  <si>
    <t>TANQUINHO</t>
  </si>
  <si>
    <t>COLEGIO ESTADUAL DE TEMPO INTEGRAL NOVIS FILHO</t>
  </si>
  <si>
    <t>TEODORO SAMPAIO</t>
  </si>
  <si>
    <t>COLEGIO ESTADUAL ASSIS VALENTE</t>
  </si>
  <si>
    <t>TERRA NOVA</t>
  </si>
  <si>
    <t>COLEGIO ESTADUAL TERRA NOVA</t>
  </si>
  <si>
    <t>CENTRO DE APOIO PEDAGOGICO ESPECIALIZADO JONATHAS TELLES DE CARVALHO</t>
  </si>
  <si>
    <t>CENTRO DE APOIO PEDAGOGICO ESPECIALIZADO DE FEIRA DE SANTANA</t>
  </si>
  <si>
    <t>ANAGE</t>
  </si>
  <si>
    <t>COLEGIO ESTADUAL RENATO VIANA</t>
  </si>
  <si>
    <t>COLEGIO ESTADUAL SISINIO RIBEIRO SILVA</t>
  </si>
  <si>
    <t>ARACATU</t>
  </si>
  <si>
    <t>COLEGIO ESTADUAL DE TEMPO INTEGRAL DE ARACATU</t>
  </si>
  <si>
    <t>BARRA DO CHOCA</t>
  </si>
  <si>
    <t>COLEGIO ESTADUAL DE TEMPO INTEGRAL DE BARRA DO CHOCA</t>
  </si>
  <si>
    <t>COLEGIO ESTADUAL DO CAMPO LUCIA ROCHA MACEDO</t>
  </si>
  <si>
    <t>COLEGIO ESTADUAL VITORIA LIMA DE OLIVEIRA</t>
  </si>
  <si>
    <t>BELO CAMPO</t>
  </si>
  <si>
    <t>COLEGIO EST DE TEMPO INTEGRAL PROFESSORA ELINEUZA DA SILVA FERREIRA</t>
  </si>
  <si>
    <t>BOM JESUS DA SERRA</t>
  </si>
  <si>
    <t>COLEGIO ESTADUAL DE TEMPO INTEGRAL DE BOM JESUS DA SERRA</t>
  </si>
  <si>
    <t>CAETANOS</t>
  </si>
  <si>
    <t>COLEGIO ESTADUAL JOAO LOPES DE OLIVEIRA</t>
  </si>
  <si>
    <t>CANDIDO SALES</t>
  </si>
  <si>
    <t>COLEGIO ESTADUAL DE CANDIDO SALES</t>
  </si>
  <si>
    <t>COLEGIO ESTADUAL DO CAMPO GEOVANE FERREIRA DE QUEIROZ</t>
  </si>
  <si>
    <t>COLEGIO ESTADUAL DO CAMPO MAMEDIO BATISTA LOBAO</t>
  </si>
  <si>
    <t>CARAIBAS</t>
  </si>
  <si>
    <t>COLEGIO ESTADUAL PETRINA NOVAIS SILVA CAIRO</t>
  </si>
  <si>
    <t>CONDEUBA</t>
  </si>
  <si>
    <t>COLEGIO ESTADUAL DE CONDEUBA</t>
  </si>
  <si>
    <t>CORDEIROS</t>
  </si>
  <si>
    <t>COLEGIO ESTADUAL JOSE MOREIRA CORDEIROS</t>
  </si>
  <si>
    <t>ENCRUZILHADA</t>
  </si>
  <si>
    <t>COLEGIO ESTADUAL DO CAMPO NANCY DE CASTRO ESTAVES</t>
  </si>
  <si>
    <t>COLEGIO ESTADUAL JOSE PALLES SOBRINHO</t>
  </si>
  <si>
    <t>GUAJERU</t>
  </si>
  <si>
    <t>JACARACI</t>
  </si>
  <si>
    <t>COLEGIO ESTADUAL ZULEIDE FREIRE DE ABREU</t>
  </si>
  <si>
    <t>LICINIO DE ALMEIDA</t>
  </si>
  <si>
    <t>MAETINGA</t>
  </si>
  <si>
    <t>COLEGIO ESTADUAL EDVALDO FLORES</t>
  </si>
  <si>
    <t>MIRANTE</t>
  </si>
  <si>
    <t>COLEGIO ESTADUAL PROFESSOR DIOMAR SILVA BRITO</t>
  </si>
  <si>
    <t>MORTUGABA</t>
  </si>
  <si>
    <t>COLEGIO ESTADUAL LEONIDIA SILVA MOREIRA PARDINHO</t>
  </si>
  <si>
    <t>PIRIPA</t>
  </si>
  <si>
    <t>COLEGIO ESTADUAL DE PIRIPA</t>
  </si>
  <si>
    <t>PLANALTO</t>
  </si>
  <si>
    <t>COLEGIO ESTADUAL DE PLANALTO</t>
  </si>
  <si>
    <t>POCOES</t>
  </si>
  <si>
    <t>COLEGIO ESTADUAL DOUTOR ROBERTO SANTOS</t>
  </si>
  <si>
    <t>COLEGIO ESTADUAL EURIDES SANTANA</t>
  </si>
  <si>
    <t>COLEGIO ESTADUAL ISAIAS ALVES</t>
  </si>
  <si>
    <t>PRESIDENTE JANIO QUADROS</t>
  </si>
  <si>
    <t>COLEGIO ESTADUAL DO CAMPO ERALDO TINOCO</t>
  </si>
  <si>
    <t>RIBEIRAO DO LARGO</t>
  </si>
  <si>
    <t>COLEGIO ESTADUAL ANTONIO GONCALVES</t>
  </si>
  <si>
    <t>TREMEDAL</t>
  </si>
  <si>
    <t>COLEGIO ESTADUAL MARIETA PEREIRA DOS SANTOS</t>
  </si>
  <si>
    <t>VITORIA DA CONQUISTA</t>
  </si>
  <si>
    <t>CENT.REG.DE ENS.MEDIO COM INTERMEDIACAO TEC.-CEMIT DE VIT.DA CONQUISTA</t>
  </si>
  <si>
    <t>CENTRO TERRITORIAL DE EDUCACAO PROFISSIONAL DE VITORIA DA CONQUISTA</t>
  </si>
  <si>
    <t>COLEGIO ESTADUAL KLEBER PACHECO DE OLIVEIRA</t>
  </si>
  <si>
    <t>COLEGIO DA POLICIA MILITAR - CPM ERALDO TINOCO</t>
  </si>
  <si>
    <t>COLEGIO ESTADUAL DO CAMPO DA CABECEIRA DA JIBOIA</t>
  </si>
  <si>
    <t>COLEGIO ESTADUAL ABDIAS MENEZES</t>
  </si>
  <si>
    <t>COLEGIO ESTADUAL ADELMARIO PINHEIRO</t>
  </si>
  <si>
    <t>COLEGIO ESTADUAL DE TEMPO INTEGRAL CAMILLO DE JESUS LIMA</t>
  </si>
  <si>
    <t>COLEGIO ESTADUAL DO CAMPO JOSE GONCALVES</t>
  </si>
  <si>
    <t>COLEGIO ESTADUAL DOM CLIMERIO ALMEIDA DE ANDRADE</t>
  </si>
  <si>
    <t>COLEGIO ESTADUAL JOSE SA NUNES</t>
  </si>
  <si>
    <t>COLEGIO ESTADUAL PADRE LUIS SOARES PALMEIRA</t>
  </si>
  <si>
    <t>COLEGIO ESTADUAL PROFESSORA HELEUSA FIGUEIRA CAMARA</t>
  </si>
  <si>
    <t>COMPLEXO INTEGRADO DE EDUC BASICA PROFIS E TEC DE VITORIA DA CONQUISTA</t>
  </si>
  <si>
    <t>INSTITUTO DE EDUCACAO EUCLIDES DANTAS</t>
  </si>
  <si>
    <t>COLEGIO POLIVALENTE DE VITORIA DA CONQUISTA</t>
  </si>
  <si>
    <t>CABACEIRAS DO PARAGUACU</t>
  </si>
  <si>
    <t>COLEGIO ESTADUAL ALBERICO GOMES SANTANA</t>
  </si>
  <si>
    <t>CACHOEIRA</t>
  </si>
  <si>
    <t>COLEGIO ESTADUAL DE CACHOEIRA</t>
  </si>
  <si>
    <t>CASTRO ALVES</t>
  </si>
  <si>
    <t>COLEGIO ESTADUAL DO CAMPO DE CASTRO ALVES</t>
  </si>
  <si>
    <t>CONCEICAO DO ALMEIDA</t>
  </si>
  <si>
    <t>COLEGIO ESTADUAL MANDINHO DE SOUZA ALMEIDA</t>
  </si>
  <si>
    <t>CRUZ DAS ALMAS</t>
  </si>
  <si>
    <t>CENTRO TERRITORIAL DE EDUCACAO PROFIS RECONCAVO II ALBERTO TORRES</t>
  </si>
  <si>
    <t>COLEGIO ESTADUAL DOUTOR LAURO PASSOS</t>
  </si>
  <si>
    <t>COLEGIO ESTADUAL LANDULFO ALVES DE ALMEIDA</t>
  </si>
  <si>
    <t>COLEGIO ESTADUAL LUCIANO PASSOS</t>
  </si>
  <si>
    <t>DOM MACEDO COSTA</t>
  </si>
  <si>
    <t>COLEGIO ESTADUAL ERALDO TINOCO MELO</t>
  </si>
  <si>
    <t>GOVERNADOR MANGABEIRA</t>
  </si>
  <si>
    <t>COLEGIO ESTADUAL PROFESSOR EDGARD SANTOS</t>
  </si>
  <si>
    <t>MARAGOGIPE</t>
  </si>
  <si>
    <t>COLEGIO ESTADUAL DO CAMPO KLEBER PACHECO</t>
  </si>
  <si>
    <t>COLEGIO ESTADUAL DO CAMPO NOSSA SENHORA DA CONCEICAO</t>
  </si>
  <si>
    <t>COLEGIO ESTADUAL GERHARD MEYER SUERDIECK</t>
  </si>
  <si>
    <t>MUNIZ FERREIRA</t>
  </si>
  <si>
    <t>MURITIBA</t>
  </si>
  <si>
    <t>COLEGIO ESTADUAL JOAO BATISTA PEREIRA FRAGA</t>
  </si>
  <si>
    <t>COLEGIO ESTADUAL DO CAMPO MANOEL BENEDITO MASCARENHAS</t>
  </si>
  <si>
    <t>NAZARE</t>
  </si>
  <si>
    <t>COLEGIO ESTADUAL DOUTOR JOSE MARCELINO DE SOUZA</t>
  </si>
  <si>
    <t>SALINAS DA MARGARIDA</t>
  </si>
  <si>
    <t>COLEGIO ESTADUAL DE TEMPO INTEGRAL DE SALINAS DA MARGARIDA</t>
  </si>
  <si>
    <t>SANTO AMARO</t>
  </si>
  <si>
    <t>COLEGIO ESTADUAL DE TEMPO INTEGRAL TEODORO SAMPAIO</t>
  </si>
  <si>
    <t>CENTRO EST DE EDUC PROFISSIONAL  EM TURISMO DO LESTE BAIANO</t>
  </si>
  <si>
    <t>COLEGIO ESTADUAL ANTONIO DOS SANTOS PAIM</t>
  </si>
  <si>
    <t>SANTO ANTONIO DE JESUS</t>
  </si>
  <si>
    <t>CENTRO TERRITORIAL DE EDUCACAO PROFISSIONAL DO RECONCAVO</t>
  </si>
  <si>
    <t>COLEGIO ESTADUAL DEMOCRATICO  DR. ROMULO ALMEIDA</t>
  </si>
  <si>
    <t>COLEGIO ESTADUAL FRANCISCO DA CONCEICAO MENEZES</t>
  </si>
  <si>
    <t>SAO FELIPE</t>
  </si>
  <si>
    <t>COLEGIO ESTADUAL SAO FELIPE</t>
  </si>
  <si>
    <t>SAO FELIX</t>
  </si>
  <si>
    <t>SAPEACU</t>
  </si>
  <si>
    <t>CENTRO TERRITORIAL DE EDUC. PROFI. DO RECONCAVO JONIVAL LUCAS</t>
  </si>
  <si>
    <t>COLEGIO ESTADUAL DO CAMPO ANATIVO DO SACRAMENTO</t>
  </si>
  <si>
    <t>COLEGIO ESTADUAL DOUTOR ELIEL DA SILVA MARTINS</t>
  </si>
  <si>
    <t>SAUBARA</t>
  </si>
  <si>
    <t>COLEGIO ESTADUAL VALDELINA SIQUEIRA SANTOS</t>
  </si>
  <si>
    <t>VARZEDO</t>
  </si>
  <si>
    <t>COLEGIO EST QUILOMBOLA DE TEMPO INTEGRAL DA BACIA DO IGUAPE</t>
  </si>
  <si>
    <t>CENTRO ESTADUAL DE EDUCACAO PROFISSIONAL DO VALE DO PARAGUACU</t>
  </si>
  <si>
    <t>CENTRO DE APOIO PEDAGOGICO ESPECIALIZADO LEAO AURELIO PIRES</t>
  </si>
  <si>
    <t>AIQUARA</t>
  </si>
  <si>
    <t>COLEGIO ESTADUAL DE AIQUARA</t>
  </si>
  <si>
    <t>APUAREMA</t>
  </si>
  <si>
    <t>COLEGIO ESTADUAL DOUTOR VASCO FILHO</t>
  </si>
  <si>
    <t>BARRA DO ROCHA</t>
  </si>
  <si>
    <t>COLEGIO ESTADUAL ANTONIO MOTA BITTENCOURT</t>
  </si>
  <si>
    <t>BOA NOVA</t>
  </si>
  <si>
    <t>COLEGIO ESTADUAL BOANOVENSE</t>
  </si>
  <si>
    <t>DARIO MEIRA</t>
  </si>
  <si>
    <t>COLEGIO ESTADUAL DE DARIO MEIRA</t>
  </si>
  <si>
    <t>GONGOGI</t>
  </si>
  <si>
    <t>COLEGIO ESTADUAL JOSE ARAUJO PEREIRA</t>
  </si>
  <si>
    <t>IBIRATAIA</t>
  </si>
  <si>
    <t>COLEGIO ESTADUAL DE IBIRATAIA</t>
  </si>
  <si>
    <t>COLEGIO ESTADUAL DO CAMPO DE ALGODAO</t>
  </si>
  <si>
    <t>IPIAU</t>
  </si>
  <si>
    <t>CENTRO TERRITORIAL DE EDUCACAO PROFISSIONAL DO MEDIO RIO DAS CONTAS</t>
  </si>
  <si>
    <t>COLEGIO ESTADUAL DE IPIAU</t>
  </si>
  <si>
    <t>COMPLEXO INTEGRADO DE EDUC BASICA PROFISSIONAL E TECNOLOGICA DE IPIAU</t>
  </si>
  <si>
    <t>ITAGI</t>
  </si>
  <si>
    <t>COLEGIO ESTADUAL PROFESSORA RENI MIRANDA FERREIRA</t>
  </si>
  <si>
    <t>ITAGIBA</t>
  </si>
  <si>
    <t>COLEGIO ESTADUAL DULCE ALMEIDA</t>
  </si>
  <si>
    <t>ITAMARI</t>
  </si>
  <si>
    <t>COLEGIO ESTADUAL JOAO GALVAO SOBRINHO</t>
  </si>
  <si>
    <t>JEQUIE</t>
  </si>
  <si>
    <t>CENTRO EST. DE EDUC. PROF. EM GESTAO E TECN. DA INFOR. REGIS PACHECO</t>
  </si>
  <si>
    <t>CENT REG DE ENS MEDIO COM INTERMEDIACAO TEC-CEMIT MEDIO RIO DE CONTAS</t>
  </si>
  <si>
    <t>COLEGIO DA POLICIA MILITAR - CPM PROFESSOR POETA LUIS NEVES COTRIM</t>
  </si>
  <si>
    <t>COLEGIO ESTADUAL DE JEQUIE</t>
  </si>
  <si>
    <t>COLEGIO ESTADUAL LUISA MAHIM</t>
  </si>
  <si>
    <t>COLEGIO ESTADUAL PAULO FREIRE</t>
  </si>
  <si>
    <t>COLEGIO ESTADUAL PROFESSOR FIRMO NUNES DE OLIVEIRA</t>
  </si>
  <si>
    <t>COLEGIO ESTADUAL PROFESSORA FARAILDES SANTOS</t>
  </si>
  <si>
    <t>COMPLEXO INTEGRADO DE EDUCACAO BASICA PROFIS. E TECNOLOGICA DE JEQUIE</t>
  </si>
  <si>
    <t>JITAUNA</t>
  </si>
  <si>
    <t>COLEGIO ESTADUAL GILDA RAMOS DOS SANTOS</t>
  </si>
  <si>
    <t>MANOEL VITORINO</t>
  </si>
  <si>
    <t>COLEGIO ESTADUAL PROFESSORA ALMERINDA MEIRA DO CARMO</t>
  </si>
  <si>
    <t>NOVA IBIA</t>
  </si>
  <si>
    <t>COLEGIO ESTADUAL PROFESSORA MARIA LEAL LOPES</t>
  </si>
  <si>
    <t>UBATA</t>
  </si>
  <si>
    <t>COLEGIO ESTADUAL DE UBATA</t>
  </si>
  <si>
    <t>COLEGIO ESTADUAL DOUTOR MILTON SANTOS</t>
  </si>
  <si>
    <t>CENTRO DE APOIO PEDAGOGICO ESPECIALIZADO DE IPIAU</t>
  </si>
  <si>
    <t>CENTRO DE APOIO PEDAGOGICO ESPECIALIZADO DE JEQUIE</t>
  </si>
  <si>
    <t>BREJOLANDIA</t>
  </si>
  <si>
    <t>CANAPOLIS</t>
  </si>
  <si>
    <t>COLEGIO ESTADUAL RUY BARBOSA</t>
  </si>
  <si>
    <t>COCOS</t>
  </si>
  <si>
    <t>COLEGIO ESTADUAL DE COCOS</t>
  </si>
  <si>
    <t>CORIBE</t>
  </si>
  <si>
    <t>COLEGIO ESTADUAL SAO JOAO DOS GERAIS</t>
  </si>
  <si>
    <t>CORRENTINA</t>
  </si>
  <si>
    <t>COLEGIO ESTADUAL DE CORRENTINA</t>
  </si>
  <si>
    <t>JABORANDI</t>
  </si>
  <si>
    <t>COLEGIO ESTADUAL FRANCISCO MOREIRA ALVES</t>
  </si>
  <si>
    <t>SANTA MARIA DA VITORIA</t>
  </si>
  <si>
    <t>CENTRO TERRITORIAL DE EDUCACAO PROFISSIONAL DA BACIA DO RIO CORRENTE</t>
  </si>
  <si>
    <t>COLEGIO ESTADUAL ROLANDO LARANJEIRA BARBOSA</t>
  </si>
  <si>
    <t>SANTANA</t>
  </si>
  <si>
    <t>SAO FELIX DO CORIBE</t>
  </si>
  <si>
    <t>COLEGIO ESTADUAL RIO CORRENTE</t>
  </si>
  <si>
    <t>SERRA DOURADA</t>
  </si>
  <si>
    <t>COLEGIO ESTADUAL SAO GONCALO</t>
  </si>
  <si>
    <t>TABOCAS DO BREJO VELHO</t>
  </si>
  <si>
    <t>COLEGIO ESTADUAL LEONIDAS DE ARAUJO SILVA</t>
  </si>
  <si>
    <t>ABARE</t>
  </si>
  <si>
    <t>COLEGIO ESTADUAL DO CAMPO JOSEFINA GOMES DE ARAUJO</t>
  </si>
  <si>
    <t>COLEGIO EST DE TEM INTEGRAL PROF MARIA DO SOCORRO GOMES POSSIDONIO</t>
  </si>
  <si>
    <t>CHORROCHO</t>
  </si>
  <si>
    <t>COLEGIO ESTADUAL MARIA DE LOURDES LIMA PEREIRA</t>
  </si>
  <si>
    <t>GLORIA</t>
  </si>
  <si>
    <t>COLEGIO ESTADUAL REIS MAGALHAES</t>
  </si>
  <si>
    <t>MACURURE</t>
  </si>
  <si>
    <t>COLEGIO ESTADUAL DE MACURURE</t>
  </si>
  <si>
    <t>PAULO AFONSO</t>
  </si>
  <si>
    <t>CENTRO TERRITORIAL DE EDUCACAO PROFISSIONAL DE ITAPARICA</t>
  </si>
  <si>
    <t>CENTRO TERRITORIAL DE EDUCACAO PROFIS ITAPARICA II WILSON PEREIRA</t>
  </si>
  <si>
    <t>COLEGIO ESTADUAL CARLINA BARBOSA  DE DEUS</t>
  </si>
  <si>
    <t>COLEGIO ESTADUAL DEMOCRATICO QUITERIA MARIA DE JESUS</t>
  </si>
  <si>
    <t>COLEGIO ESTADUAL DE TEMPO INTEGRAL DE PAULO AFONSO</t>
  </si>
  <si>
    <t>RODELAS</t>
  </si>
  <si>
    <t>COLEGIO ESTADUAL DULCINA CRUZ LIMA</t>
  </si>
  <si>
    <t>COLEGIO ESTADUAL INDIGENA SANTO ANTONIO DO PAMBU</t>
  </si>
  <si>
    <t>COLEGIO ESTADUAL INDIGENA ANGELO PEREIRA XAVIER</t>
  </si>
  <si>
    <t>COLEGIO ESTADUAL INDIGENA SANTA RITA DE CASSIA</t>
  </si>
  <si>
    <t>COLEGIO ESTADUAL INDIGINA XUCURU  KARIRI</t>
  </si>
  <si>
    <t>ESCOLA ESTADUAL INDIGENA JOSE MARTINS</t>
  </si>
  <si>
    <t>COLEGIO ESTADUAL INDIGENA MANOEL COELHO</t>
  </si>
  <si>
    <t>COLEGIO ESTADUAL INDIGENA CAPITAO FRANCISCO RODELAS</t>
  </si>
  <si>
    <t>ANDORINHA</t>
  </si>
  <si>
    <t>COLEGIO ESTADUAL DO CAMPO DE TEMPO INTEGRAL DE ANDORINHA</t>
  </si>
  <si>
    <t>ANTONIO GONCALVES</t>
  </si>
  <si>
    <t>COLEGIO ESTADUAL DE TEMPO INTEGRAL DE ANTONIO GONCALVES</t>
  </si>
  <si>
    <t>CALDEIRAO GRANDE</t>
  </si>
  <si>
    <t>CAMPO FORMOSO</t>
  </si>
  <si>
    <t>COLEGIO ESTADUAL PROFESSORA HILDA MONTEIRO MENEZES</t>
  </si>
  <si>
    <t>FILADELFIA</t>
  </si>
  <si>
    <t>COLEGIO ESTADUAL CECENTINO PEREIRA MAIA</t>
  </si>
  <si>
    <t>JAGUARARI</t>
  </si>
  <si>
    <t>CENTRO TERRITORIAL DE EDUC PROFISSIONAL DO PIEMONTE NORTE DO ITAPICURU</t>
  </si>
  <si>
    <t>COLEGIO ESTADUAL DO CAMPO PETRONIO PORTELA</t>
  </si>
  <si>
    <t>PINDOBACU</t>
  </si>
  <si>
    <t>COLEGIO ESTADUAL DE PINDOBACU</t>
  </si>
  <si>
    <t>COLEGIO ESTADUAL DO CAMPO DE CARNAIBA</t>
  </si>
  <si>
    <t>PONTO NOVO</t>
  </si>
  <si>
    <t>COLEGIO ESTADUAL NELSON MAIA</t>
  </si>
  <si>
    <t>SENHOR DO BONFIM</t>
  </si>
  <si>
    <t>CENTRO ESTADUAL DE EDUCACAO PROFISSIONAL PROF. PAULO BATISTA MACHADO</t>
  </si>
  <si>
    <t>CENT.REG.DE ENS.MEDIO INTERMEDIACAO TEC CEMIT DO P. NORTE DO ITAPICURU</t>
  </si>
  <si>
    <t>COLEGIO ESTADUAL PROFESSORA MARIANA AGOSTINHO DE OLIVEIRA</t>
  </si>
  <si>
    <t>COLEGIO ESTADUAL TEIXEIRA DE FREITAS</t>
  </si>
  <si>
    <t>COLEGIO ESTADUAL QUILOMBOLA DE SAO TOME</t>
  </si>
  <si>
    <t>COLEGIO ESTADUAL QUILOMBOLA LUIS JOSE DOS SANTOS</t>
  </si>
  <si>
    <t>CENTRO DE APOIO PEDAGOGICO ESPECIALIZADO - CAPE SENHOR DO BONFIM</t>
  </si>
  <si>
    <t>CAMACARI</t>
  </si>
  <si>
    <t>CENTRO TERRITORIAL DE EDUCACAO PROFISSIONAL DA REGIAO METROPOLITANA</t>
  </si>
  <si>
    <t>COLEGIO ESTADUAL ANGIOLINA TEIXEIRA DE SOUZA</t>
  </si>
  <si>
    <t>COLEGIO ESTADUAL DE BARRA DE POJUCA</t>
  </si>
  <si>
    <t>COLEGIO ESTADUAL DE MONTE GORDO</t>
  </si>
  <si>
    <t>COLEGIO ESTADUAL DO PHOC</t>
  </si>
  <si>
    <t>COLEGIO ESTADUAL GONCALO MUNIZ</t>
  </si>
  <si>
    <t>COLEGIO ESTADUAL JOSE DE FREITAS MASCARENHAS</t>
  </si>
  <si>
    <t>COLEGIO ESTADUAL POLIVALENTE DE CAMACARI</t>
  </si>
  <si>
    <t>COLEGIO ESTADUAL PROFESSORA NADIR ARAUJO COPQUE</t>
  </si>
  <si>
    <t>CANDEIAS</t>
  </si>
  <si>
    <t>COLEGIO DA POLICIA MILITAR - CPM FRANCISCO PEDRO DE OLIVEIRA</t>
  </si>
  <si>
    <t>COLEGIO ESTADUAL CIDADE DE CANDEIAS</t>
  </si>
  <si>
    <t>COLEGIO ESTADUAL OURO NEGRO</t>
  </si>
  <si>
    <t>COLEGIO ESTADUAL POLIVALENTE DE CANDEIAS</t>
  </si>
  <si>
    <t>DIAS D AVILA</t>
  </si>
  <si>
    <t>CENTRO TERRITO. DE EDUC. PROFIS. DE DIAS D AVILA-CETEP DE DIAS D AVILA</t>
  </si>
  <si>
    <t>COLEGIO ESTADUAL PROFESSOR EDILSON SOUTO FREIRE</t>
  </si>
  <si>
    <t>ITAPARICA</t>
  </si>
  <si>
    <t>COLEGIO ESTADUAL DE TEMPO INTEGRAL ERNESTO CARNEIRO RIBEIRO</t>
  </si>
  <si>
    <t>LAURO DE FREITAS</t>
  </si>
  <si>
    <t>CENTRO EST DE EDUCACAO PROFIS EM TECNOLOGIA INFORMACAO E COMUNICACAO</t>
  </si>
  <si>
    <t>COLEGIO ESTADUAL ALFREDO AGOSTINHO DE DEUS</t>
  </si>
  <si>
    <t>COLEGIO ESTADUAL AMERICO SIMAS</t>
  </si>
  <si>
    <t>COLEGIO ESTADUAL BARTOLOMEU DE GUSMAO</t>
  </si>
  <si>
    <t>COLEGIO ESTADUAL FRANCISCO PEREIRA FRANCO</t>
  </si>
  <si>
    <t>COLEGIO ESTADUAL HERMANO GOUVEIA NETO</t>
  </si>
  <si>
    <t>MADRE DE DEUS</t>
  </si>
  <si>
    <t>COLEGIO ESTADUAL ANTONIO BALBINO</t>
  </si>
  <si>
    <t>MATA DE SAO JOAO</t>
  </si>
  <si>
    <t>COLEGIO ESTADUAL ALAOR COUTINHO</t>
  </si>
  <si>
    <t>COLEGIO ESTADUAL BRAULIO SAMPAIO</t>
  </si>
  <si>
    <t>POJUCA</t>
  </si>
  <si>
    <t>COLEGIO ESTADUAL PADRE JOAO MONTEZ</t>
  </si>
  <si>
    <t>SALVADOR</t>
  </si>
  <si>
    <t>CENTRO DE APOIO PEDAGOGICO ESPEC. PARA PESSOAS COM SURDEZ WILSON LINS</t>
  </si>
  <si>
    <t>CENTRO EDUCACIONAL CARNEIRO RIBEIRO - CLASSE I</t>
  </si>
  <si>
    <t>CENTRO EDUCACIONAL CARNEIRO RIBEIRO - CLASSE II</t>
  </si>
  <si>
    <t>CENTRO EDUCACIONAL CARNEIRO RIBEIRO - CLASSE III</t>
  </si>
  <si>
    <t>CENTRO EDUCACIONAL EDGAR SANTOS</t>
  </si>
  <si>
    <t>CENTRO EST PROF EM SAUDE E TECN DA INF CARLOS CORR DE MENEZES SANTANNA</t>
  </si>
  <si>
    <t>CENTRO ESTADUAL DE EDUC PROFIS  EM  LOG.E TRANS.LUIZ PINTO DE CARVALHO</t>
  </si>
  <si>
    <t>CENTRO EST DE EDUC PROF CONTROLE E PROCESSOS INDUST NEWTON SUCUPIRA</t>
  </si>
  <si>
    <t>CENTRO EST EDUC PROF GESTAO NEGOCIOS TURISMO LUIZ NAVARRO DE BRITO</t>
  </si>
  <si>
    <t>CENTRO ESTADUAL DE EDUCACAO PROFISSIONAL EM GESTAO SEVERINO VIEIRA</t>
  </si>
  <si>
    <t>CENTRO ESTADUAL DE EDUCACAO PROFISSIONAL EM MUSICA</t>
  </si>
  <si>
    <t>CENTRO ESTADUAL DE EDUCACAO PROFISSIONAL EM SAUDE ANISIO TEIXEIRA</t>
  </si>
  <si>
    <t>CENTRO ESTADUAL DE EDUCACAO PROFISSIONAL EMPREENDE BAHIA</t>
  </si>
  <si>
    <t>CENTRO EST. DE EDUCACAO PROFISSIONAL FORMACAO E EVENTOS ISAIAS ALVES</t>
  </si>
  <si>
    <t>CENTRO ESTAD DE EDUC, INOVACAO E FORMACAO DA BAHIA-CEEIFOR- MAE STELLA</t>
  </si>
  <si>
    <t>COLEGIO DA POLICIA MILITAR - CPM DONA LEONOR CALMON</t>
  </si>
  <si>
    <t>COLEGIO DA POLICIA MILITAR - CPM JOAO FLORENCIO GOMES</t>
  </si>
  <si>
    <t>COLEGIO DA POLICIA MILITAR - CPM LUIZ TARQUINIO</t>
  </si>
  <si>
    <t>COLEGIO DA POLICIA MILITAR - UNIDADE I CPM DENDEZEIROS</t>
  </si>
  <si>
    <t>COLEGIO DA POLICIA MILITAR - UNIDADE II CPM LOBATO</t>
  </si>
  <si>
    <t>COLEGIO ESTADUAL ABILIO CESAR BORGES</t>
  </si>
  <si>
    <t>COLEGIO ESTADUAL ALBERTO SANTOS DUMONT</t>
  </si>
  <si>
    <t>COLEGIO ESTADUAL ALBERTO VALENCA</t>
  </si>
  <si>
    <t>COLEGIO ESTADUAL ALFREDO MAGALHAES</t>
  </si>
  <si>
    <t>COLEGIO ESTADUAL ALIPIO FRANCA</t>
  </si>
  <si>
    <t>COLEGIO ESTADUAL ALMIRANTE BARROSO</t>
  </si>
  <si>
    <t>COLEGIO ESTADUAL ANA BERNARDES</t>
  </si>
  <si>
    <t>COLEGIO ESTADUAL ANA CRISTINA PRAZERES MATA PIRES</t>
  </si>
  <si>
    <t>COLEGIO ESTADUAL ANFRISIA SANTIAGO</t>
  </si>
  <si>
    <t>COLEGIO ESTADUAL ARTUR DE SALES</t>
  </si>
  <si>
    <t>COLEGIO ESTADUAL ASSIS CHATEAUBRIAND</t>
  </si>
  <si>
    <t>COLEGIO ESTADUAL AZEVEDO FERNANDES</t>
  </si>
  <si>
    <t>COLEGIO ESTADUAL BARROS BARRETO</t>
  </si>
  <si>
    <t>COLEGIO ESTADUAL BATISTA NEVES</t>
  </si>
  <si>
    <t>COLEGIO ESTADUAL BENTO GONCALVES</t>
  </si>
  <si>
    <t>COLEGIO ESTADUAL BRIGADEIRO EDUARDO GOMES</t>
  </si>
  <si>
    <t>COLEGIO ESTADUAL CELIA MATA PIRES</t>
  </si>
  <si>
    <t>COLEGIO ESTADUAL CESARE CASALI</t>
  </si>
  <si>
    <t>COLEGIO ESTADUAL CIDADE DE CURITIBA</t>
  </si>
  <si>
    <t>COLEGIO ESTADUAL CLERISTON ANDRADE</t>
  </si>
  <si>
    <t>COLEGIO ESTADUAL CONSELHEIRO VICENTE PACHECO DE OLIVEIRA</t>
  </si>
  <si>
    <t>COLEGIO ESTADUAL COSME DE FARIAS</t>
  </si>
  <si>
    <t>COLEGIO ESTADUAL DA BAHIA CENTRAL</t>
  </si>
  <si>
    <t>COLEGIO ESTADUAL DALVA MATOS</t>
  </si>
  <si>
    <t>COLEGIO ESTADUAL DANIEL LISBOA</t>
  </si>
  <si>
    <t>COLEGIO  ESTADUAL  DANTAS JUNIOR</t>
  </si>
  <si>
    <t>COLEGIO ESTADUAL DAVID MENDES PEREIRA</t>
  </si>
  <si>
    <t>COLEGIO ESTADUAL DE APLICACAO ANISIO TEIXEIRA</t>
  </si>
  <si>
    <t>COLEGIO ESTADUAL DE NOVA ESPERANCA</t>
  </si>
  <si>
    <t>COLEGIO ESTADUAL DE PLATAFORMA</t>
  </si>
  <si>
    <t>COLEGIO ESTADUAL DE PRAIA GRANDE</t>
  </si>
  <si>
    <t>COLEGIO ESTADUAL DE TEMPO INTEGRAL SAO DANIEL COMBONI</t>
  </si>
  <si>
    <t>COLEGIO ESTADUAL DEMOCRATICO BERTHOLDO CIRILO DOS REIS</t>
  </si>
  <si>
    <t>COLEGIO ESTADUAL DEPUTADO HENRIQUE BRITO</t>
  </si>
  <si>
    <t>COLEGIO ESTADUAL DEPUTADO MANOEL NOVAES</t>
  </si>
  <si>
    <t>COLEGIO ESTADUAL DE TEMPO INTEGRAL JOSE DIAS DE SALES</t>
  </si>
  <si>
    <t>COLEGIO ESTADUAL DESEMBARGADOR PEDRO RIBEIRO</t>
  </si>
  <si>
    <t>COLEGIO ESTADUAL DINAH GONCALVES</t>
  </si>
  <si>
    <t>COLEGIO ESTADUAL DO STIEP CARLOS MARIGHELLA</t>
  </si>
  <si>
    <t>COLEGIO ESTADUAL DOIS DE JULHO</t>
  </si>
  <si>
    <t>COLEGIO ESTADUAL DONA MORA GUIMARAES</t>
  </si>
  <si>
    <t>COLEGIO ESTADUAL DOUTOR AILTON PINTO DE ANDRADE</t>
  </si>
  <si>
    <t>COLEGIO ESTADUAL DOUTOR JOAO PEDRO DOS SANTOS</t>
  </si>
  <si>
    <t>COLEGIO ESTADUAL EDSON TENORIO DE ALBUQUERQUE</t>
  </si>
  <si>
    <t>COLEGIO ESTADUAL EDUARDO BAHIANA</t>
  </si>
  <si>
    <t>COLEGIO ESTADUAL EDVALDO BRANDAO CORREIA</t>
  </si>
  <si>
    <t>COLEGIO ESTADUAL DE TEMPO INTEGRAL ZUMBI DOS PALMARES</t>
  </si>
  <si>
    <t>COLEGIO ESTADUAL EURICLES DE MATOS</t>
  </si>
  <si>
    <t>COLEGIO ESTADUAL EVARISTO DA VEIGA</t>
  </si>
  <si>
    <t>COLEGIO ESTADUAL FREDERICO COSTA</t>
  </si>
  <si>
    <t>COLEGIO ESTADUAL GENERAL DIONISIO CERQUEIRA</t>
  </si>
  <si>
    <t>COLEGIO ESTADUAL GOES CALMON</t>
  </si>
  <si>
    <t>COLEGIO ESTADUAL GOVERNADOR LOMANTO JUNIOR</t>
  </si>
  <si>
    <t>COLEGIO ESTADUAL HELENA CELESTINO MAGALHAES</t>
  </si>
  <si>
    <t>COLEGIO ESTADUAL HENRIQUETA MARTINS CATHARINO</t>
  </si>
  <si>
    <t>COLEGIO ESTADUAL JOAO CARIBE</t>
  </si>
  <si>
    <t>COLEGIO ESTADUAL JOAO DAS BOTAS</t>
  </si>
  <si>
    <t>COLEGIO ESTADUAL JOSE AUGUSTO TOURINHO DANTAS</t>
  </si>
  <si>
    <t>COLEGIO ESTADUAL JOSIAS DE ALMEIDA MELO</t>
  </si>
  <si>
    <t>COLEGIO ESTADUAL KLEBER PACHECO</t>
  </si>
  <si>
    <t>COLEGIO ESTADUAL LEDA JESUINO DOS SANTOS</t>
  </si>
  <si>
    <t>COLEGIO ESTADUAL LINDEMBERGUE CARDOSO</t>
  </si>
  <si>
    <t>COLEGIO ESTADUAL LUIS ROGERIO DE SOUZA</t>
  </si>
  <si>
    <t>COLEGIO ESTADUAL LUIZ FERNANDO MACEDO COSTA</t>
  </si>
  <si>
    <t>COLEGIO ESTADUAL LUIZ JOSE DE OLIVEIRA</t>
  </si>
  <si>
    <t>COLEGIO ESTADUAL LUIZ VIANA</t>
  </si>
  <si>
    <t>COLEGIO ESTADUAL MANOEL DEVOTO</t>
  </si>
  <si>
    <t>COLEGIO ESTADUAL MARCILIO DIAS</t>
  </si>
  <si>
    <t>COLEGIO ESTADUAL MARECHAL MASCARENHAS DE MORAIS</t>
  </si>
  <si>
    <t>COLEGIO ESTADUAL MARIA AMELIA SANTOS</t>
  </si>
  <si>
    <t>COLEGIO ESTADUAL MARIO AUGUSTO TEIXEIRA DE FREITAS</t>
  </si>
  <si>
    <t>COLEGIO ESTADUAL MARIO COSTA NETO</t>
  </si>
  <si>
    <t>COLEGIO ESTADUAL MARQUES DE MARICA</t>
  </si>
  <si>
    <t>COLEGIO ESTADUAL MESTRE MOA DO KATENDE</t>
  </si>
  <si>
    <t>COLEGIO ESTADUAL MESTRE PAULO DOS ANJOS</t>
  </si>
  <si>
    <t>COLEGIO ESTADUAL MINISTRO ALIOMAR BALEEIRO</t>
  </si>
  <si>
    <t>COLEGIO ESTADUAL MONSENHOR MANOEL BARBOSA</t>
  </si>
  <si>
    <t>COLEGIO ESTADUAL MONTEIRO LOBATO</t>
  </si>
  <si>
    <t>COLEGIO ESTADUAL NELSON MANDELA</t>
  </si>
  <si>
    <t>COLEGIO ESTADUAL NOSSA SENHORA DE FATIMA</t>
  </si>
  <si>
    <t>COLEGIO ESTADUAL OLIVEIRA BRITO</t>
  </si>
  <si>
    <t>COLEGIO ESTADUAL PADRE JOSE VASCONCELOS</t>
  </si>
  <si>
    <t>COLEGIO ESTADUAL PADRE PALMEIRA</t>
  </si>
  <si>
    <t>COLEGIO ESTADUAL PAULO AMERICO DE OLIVEIRA</t>
  </si>
  <si>
    <t>COLEGIO ESTADUAL PINTO DE AGUIAR</t>
  </si>
  <si>
    <t>COLEGIO ESTADUAL  POLIVALENTE DE AMARALINA</t>
  </si>
  <si>
    <t>COLEGIO ESTADUAL POLIVALENTE SAN DIEGO</t>
  </si>
  <si>
    <t>COLEGIO ESTADUAL PRESIDENTE COSTA E SILVA</t>
  </si>
  <si>
    <t>COLEGIO ESTADUAL PRINCESA IZABEL</t>
  </si>
  <si>
    <t>COLEGIO ESTADUAL PROFESSOR ARISTIDES DE SOUZA OLIVEIRA</t>
  </si>
  <si>
    <t>COLEGIO ESTADUAL PROFESSOR CARLOS ALBERTO CERQUEIRA</t>
  </si>
  <si>
    <t>COLEGIO ESTADUAL PROFESSOR CARLOS BARROS</t>
  </si>
  <si>
    <t>COLEGIO ESTADUAL PROFESSOR CARLOS SANT ANNA</t>
  </si>
  <si>
    <t>COLEGIO ESTADUAL PROFESSOR DORIVAL PASSOS</t>
  </si>
  <si>
    <t>COLEGIO ESTADUAL PROFESSOR EDSON CARNEIRO</t>
  </si>
  <si>
    <t>COLEGIO ESTADUAL PROFESSOR JOSE BARRETO DE ARAUJO BASTOS</t>
  </si>
  <si>
    <t>COLEGIO ESTADUAL PROFESSOR NELSON BARROS</t>
  </si>
  <si>
    <t>COLEGIO ESTADUAL PROFESSOR NOGUEIRA PASSOS</t>
  </si>
  <si>
    <t>COLEGIO ESTADUAL DE TEMPO INTEGRAL PROF PEDRO PAULO MARQUES E MARQUES</t>
  </si>
  <si>
    <t>COLEGIO ESTADUAL PROFESSOR ROMULO ALMEIDA</t>
  </si>
  <si>
    <t>COLEGIO ESTADUAL PROFESSORA GEORGINA RAMOS DA SILVA</t>
  </si>
  <si>
    <t>COLEGIO ESTADUAL PROFESSORA LEILA RUBENS FONSECA</t>
  </si>
  <si>
    <t>COLEGIO ESTADUAL PROFESSORA MARIA ANITA</t>
  </si>
  <si>
    <t>COLEGIO ESTADUAL PROFESSORA MARIA BERNADETE BRANDAO</t>
  </si>
  <si>
    <t>COLEGIO ESTADUAL PROFESSORA MARIA DE LOURDES PARADA FRANCH</t>
  </si>
  <si>
    <t>COLEGIO ESTADUAL PROFESSORA MARIA ODETTE PITHON RAYNAL</t>
  </si>
  <si>
    <t>COLEGIO ESTADUAL PROFESSORA NOEMIA REGO</t>
  </si>
  <si>
    <t>COLEGIO ESTADUAL RAFAEL OLIVEIRA</t>
  </si>
  <si>
    <t>COLEGIO ESTADUAL RAPHAEL SERRAVALLE</t>
  </si>
  <si>
    <t>COLEGIO ESTADUAL RAYMUNDO DE ALMEIDA GOUVEIA</t>
  </si>
  <si>
    <t>COLEGIO ESTADUAL RAYMUNDO MATTA</t>
  </si>
  <si>
    <t>COLEGIO ESTADUAL RUBEN DARIO</t>
  </si>
  <si>
    <t>COLEGIO ESTADUAL RUTH PACHECO</t>
  </si>
  <si>
    <t>COLEGIO ESTADUAL SANTA RITA DE CASSIA</t>
  </si>
  <si>
    <t>COLEGIO ESTADUAL SARA VIOLETA DE MELLO KERTESZ</t>
  </si>
  <si>
    <t>COLEGIO ESTADUAL SATELITE</t>
  </si>
  <si>
    <t>COLEGIO ESTADUAL SATIRO DIAS</t>
  </si>
  <si>
    <t>COLEGIO ESTADUAL SOLANGE HORTELIO FRANCO</t>
  </si>
  <si>
    <t>COLEGIO ESTADUAL TEREZA CONCEICAO MENEZES</t>
  </si>
  <si>
    <t>COLEGIO ESTADUAL TEREZA HELENA MATA PIRES</t>
  </si>
  <si>
    <t>COLEGIO ESTADUAL THALES DE AZEVEDO</t>
  </si>
  <si>
    <t>COLEGIO ESTADUAL URSULA CATHARINO</t>
  </si>
  <si>
    <t>COLEGIO ESTADUAL VALE DOS LAGOS</t>
  </si>
  <si>
    <t>COLEGIO ESTADUAL VERA LUX</t>
  </si>
  <si>
    <t>COLEGIO ESTADUAL VILA CANARIA</t>
  </si>
  <si>
    <t>COLEGIO ESTADUAL VISCONDE DE MAUA</t>
  </si>
  <si>
    <t>COLEGIO ESTADUAL YPIRANGA</t>
  </si>
  <si>
    <t>COLEGIO ESTADUAL PROFESSOR GEORGE FRAGOSO MODESTO</t>
  </si>
  <si>
    <t>ESCOLA DONA JENNY GOMES</t>
  </si>
  <si>
    <t>ESCOLA ESTADUAL ANISIO TEIXEIRA - CLASSE VI</t>
  </si>
  <si>
    <t>ESCOLA ESTADUAL CASTRO ALVES</t>
  </si>
  <si>
    <t>ESCOLA ESTADUAL DEPUTADO NAOMAR ALCANTARA</t>
  </si>
  <si>
    <t>ESCOLA ESTADUAL DOM AVELAR BRANDAO VILELA</t>
  </si>
  <si>
    <t>ESCOLA ESTADUAL LEA LEAL</t>
  </si>
  <si>
    <t>ESCOLA ESTADUAL MARIA ROMANA CALMON</t>
  </si>
  <si>
    <t>ESCOLA ESTADUAL OCRIDALINA MADUREIRA</t>
  </si>
  <si>
    <t>ESCOLA ESTADUAL PIERRE VERGER</t>
  </si>
  <si>
    <t>ESCOLA ESTADUAL PRESCILIANO SILVA</t>
  </si>
  <si>
    <t>ESCOLA ESTADUAL PROFESSOR GERMANO MACHADO NETO</t>
  </si>
  <si>
    <t>ESCOLA ESTADUAL PROFESSORA ARMANDINA MARQUES</t>
  </si>
  <si>
    <t>ESCOLA ESTADUAL PROFESSORA MARIINHA TAVARES</t>
  </si>
  <si>
    <t>ESCOLA ESTADUAL PROFESSORA NATALIA VINHAES</t>
  </si>
  <si>
    <t>ESCOLA ESTADUAL RAUL SA</t>
  </si>
  <si>
    <t>ESCOLA ESTADUAL SEVERINO VIEIRA</t>
  </si>
  <si>
    <t>ESCOLA ESTADUAL TEODORO SAMPAIO</t>
  </si>
  <si>
    <t>ESCOLA PROFESSOR ROBERTO SANTOS</t>
  </si>
  <si>
    <t>ESCOLA ESTADUAL PROFESSORA CANDOLINA - CLASSE VII</t>
  </si>
  <si>
    <t>CENTRO EDUCACIONAL CARNEIRO RIBEIRO - CLASSE IV</t>
  </si>
  <si>
    <t>SAO FRANCISCO DO CONDE</t>
  </si>
  <si>
    <t>COLEGIO ESTADUAL DO CAMPO ANNA JUNQUEIRA AYRES TOURINHO</t>
  </si>
  <si>
    <t>COLEGIO ESTADUAL MARTINHO SALLES BRASIL</t>
  </si>
  <si>
    <t>SAO SEBASTIAO DO PASSE</t>
  </si>
  <si>
    <t>COLEGIO POLIVALENTE MONSENHOR LUIZ FERREIRA DE BRITO</t>
  </si>
  <si>
    <t>SIMOES FILHO</t>
  </si>
  <si>
    <t>CENTRO EDUCACIONAL SANTO ANTONIO</t>
  </si>
  <si>
    <t>CENTRO ESTADUAL DE EDUC PROF EM SERVICOS E PROC IND IRMA DULCE</t>
  </si>
  <si>
    <t>COLEGIO ESTADUAL ALBERTO SILVA</t>
  </si>
  <si>
    <t>COLEGIO ESTADUAL DE ARATU</t>
  </si>
  <si>
    <t>COLEGIO ESTADUAL DOUTOR BERLINDO MAMEDE DE OLIVEIRA</t>
  </si>
  <si>
    <t>COLEGIO ESTADUAL MANOEL DE JESUS</t>
  </si>
  <si>
    <t>COLEGIO ESTADUAL POLIVALENTE DE ARATU</t>
  </si>
  <si>
    <t>COLEGIO ESTADUAL REGINA SIMOES</t>
  </si>
  <si>
    <t>COLEGIO ESTADUAL REITOR MIGUEL CALMON</t>
  </si>
  <si>
    <t>VERA CRUZ</t>
  </si>
  <si>
    <t>CENTRO ESTADUAL DE EDUCACAO PROFISSIONAL DO OCEANO</t>
  </si>
  <si>
    <t>COLEGIO ESTADUAL DESEMBARGADOR JULIO VIRGINIO DE SANTANA</t>
  </si>
  <si>
    <t>COLEGIO ESTADUAL JURACY MAGALHAES JUNIOR</t>
  </si>
  <si>
    <t>COLEGIO ESTADUAL DE VILAS DE ABRANTES</t>
  </si>
  <si>
    <t>COLEGIO ESTADUAL DE TEMPO INTEGRAL DE PORTAO</t>
  </si>
  <si>
    <t>COLEGIO ESTADUAL GOVERNADOR OTAVIO MANGABEIRA</t>
  </si>
  <si>
    <t>COLEGIO ESTADUAL GOVERNADOR ROBERTO SANTOS</t>
  </si>
  <si>
    <t>COLEGIO ESTADUAL HEITOR VILLA LOBOS</t>
  </si>
  <si>
    <t>COLEGIO  ESTADUAL HELENA MAGALHAES</t>
  </si>
  <si>
    <t>COLEGIO ESTADUAL NORMA RIBEIRO</t>
  </si>
  <si>
    <t>COLEGIO ESTADUAL PROFESSORA ELISABETH CHAVES VELOSO</t>
  </si>
  <si>
    <t>COLEGIO ESTADUAL PROFESSORA MARILEINE DA SILVA</t>
  </si>
  <si>
    <t>COLEGIO ESTADUAL RENAN BALEEIRO</t>
  </si>
  <si>
    <t>ESCOLA VISCONDE DE ITAPARICA</t>
  </si>
  <si>
    <t>CENTRO DE APOIO PEDAGOGICO ESPECIALIZADO CATIA MARIA PAIM CRUZ</t>
  </si>
  <si>
    <t>CENTRO DE APOIO PEDAGOGICO ESPECIALIZADO DA BAHIA</t>
  </si>
  <si>
    <t>CENTRO DE APOIO PEDAGOGICO ESPECIALIZADO ALBERTO DE ASSIS</t>
  </si>
  <si>
    <t>CENTRO DE APOIO PEDAGOGICO ESPECIALIZADO PESTALOZZI</t>
  </si>
  <si>
    <t>COLEGIO ESTADUAL VITOR SOARES</t>
  </si>
  <si>
    <t>BELMONTE</t>
  </si>
  <si>
    <t>COLEGIO ESTADUAL POLIVALENTE DE BELMONTE</t>
  </si>
  <si>
    <t>EUNAPOLIS</t>
  </si>
  <si>
    <t>CENTRO TERRITORIAL DE EDUCACAO PROFISSIONAL DA COSTA DO DESCOBRIMENTO</t>
  </si>
  <si>
    <t>COLEGIO ESTADUAL BADEN POWELL</t>
  </si>
  <si>
    <t>COLEGIO ESTADUAL ELOYNA BARRADAS</t>
  </si>
  <si>
    <t>COMPLEXO INTEGRADO DE EDUCACAO BASICA PROFISSIONAL E TECNOLOGIA</t>
  </si>
  <si>
    <t>GUARATINGA</t>
  </si>
  <si>
    <t>COLEGIO ESTADUAL JESUS MOURA</t>
  </si>
  <si>
    <t>ITABELA</t>
  </si>
  <si>
    <t>ITAGIMIRIM</t>
  </si>
  <si>
    <t>COLEGIO ESTADUAL LOIDE ALCANTARA NEVES</t>
  </si>
  <si>
    <t>ITAPEBI</t>
  </si>
  <si>
    <t>COLEGIO ESTADUAL CLOVIS ADOLPHO STOLZE</t>
  </si>
  <si>
    <t>PORTO SEGURO</t>
  </si>
  <si>
    <t>COLEGIO ESTADUAL ARRAIAL D AJUDA - CEAA</t>
  </si>
  <si>
    <t>COLEGIO ESTADUAL DE PORTO SEGURO</t>
  </si>
  <si>
    <t>COLEGIO ESTADUAL DE TRANCOSO</t>
  </si>
  <si>
    <t>COLEGIO ESTADUAL DO CAMPO DOUTOR ERALDO TINOCO</t>
  </si>
  <si>
    <t>COMPLEXO INTEGRADO DE EDUC BASICA PROFIS E TECNOLOGICA DE PORTO SEGURO</t>
  </si>
  <si>
    <t>CENTRO ESTADUAL DE EDUCACAO PROFISSIONAL 2 DE JULHO</t>
  </si>
  <si>
    <t>SANTA CRUZ CABRALIA</t>
  </si>
  <si>
    <t>COLEGIO ESTADUAL PROFESSORA TEREZINHA SCARAMUSSA</t>
  </si>
  <si>
    <t>COLEGIO ESTADUAL INDIGENA COROA VERMELHA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</si>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</sst>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</font>
    <font>
      <sz val="8"/>
      <color rgb="FF000000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Calibri"/>
      <family val="2"/>
    </font>
    <font>
      <sz val="9"/>
      <color theme="1"/>
      <name val="Calibri"/>
      <family val="2"/>
    </font>
    <font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sz val="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CB5F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3" fillId="0" borderId="0" xfId="1" applyFont="1"/>
    <xf numFmtId="164" fontId="4" fillId="3" borderId="2" xfId="1" applyNumberFormat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3" fontId="4" fillId="3" borderId="2" xfId="1" applyNumberFormat="1" applyFont="1" applyFill="1" applyBorder="1" applyAlignment="1">
      <alignment horizontal="center" vertical="center" wrapText="1"/>
    </xf>
    <xf numFmtId="3" fontId="4" fillId="4" borderId="2" xfId="1" applyNumberFormat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43" fontId="5" fillId="5" borderId="2" xfId="2" applyFont="1" applyFill="1" applyBorder="1" applyAlignment="1">
      <alignment horizontal="center" vertical="center"/>
    </xf>
    <xf numFmtId="43" fontId="5" fillId="6" borderId="2" xfId="2" applyFont="1" applyFill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/>
    </xf>
    <xf numFmtId="0" fontId="6" fillId="0" borderId="2" xfId="1" applyFont="1" applyBorder="1" applyAlignment="1">
      <alignment horizontal="left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left" wrapText="1"/>
    </xf>
    <xf numFmtId="4" fontId="6" fillId="0" borderId="2" xfId="1" applyNumberFormat="1" applyFont="1" applyBorder="1"/>
    <xf numFmtId="43" fontId="0" fillId="0" borderId="2" xfId="2" applyFont="1" applyBorder="1"/>
    <xf numFmtId="0" fontId="1" fillId="0" borderId="0" xfId="1"/>
    <xf numFmtId="164" fontId="6" fillId="7" borderId="2" xfId="1" applyNumberFormat="1" applyFont="1" applyFill="1" applyBorder="1" applyAlignment="1">
      <alignment horizontal="center"/>
    </xf>
    <xf numFmtId="0" fontId="6" fillId="7" borderId="2" xfId="1" applyFont="1" applyFill="1" applyBorder="1" applyAlignment="1">
      <alignment horizontal="left"/>
    </xf>
    <xf numFmtId="0" fontId="6" fillId="7" borderId="2" xfId="1" applyFont="1" applyFill="1" applyBorder="1" applyAlignment="1">
      <alignment horizontal="center"/>
    </xf>
    <xf numFmtId="0" fontId="1" fillId="7" borderId="0" xfId="1" applyFill="1"/>
    <xf numFmtId="1" fontId="6" fillId="0" borderId="2" xfId="1" applyNumberFormat="1" applyFont="1" applyBorder="1" applyAlignment="1">
      <alignment horizontal="center"/>
    </xf>
    <xf numFmtId="4" fontId="6" fillId="0" borderId="2" xfId="1" applyNumberFormat="1" applyFont="1" applyBorder="1" applyAlignment="1">
      <alignment horizontal="right" wrapText="1"/>
    </xf>
    <xf numFmtId="0" fontId="7" fillId="0" borderId="0" xfId="1" applyFont="1"/>
    <xf numFmtId="164" fontId="8" fillId="0" borderId="2" xfId="1" applyNumberFormat="1" applyFont="1" applyBorder="1" applyAlignment="1">
      <alignment horizontal="center"/>
    </xf>
    <xf numFmtId="0" fontId="8" fillId="0" borderId="2" xfId="1" applyFont="1" applyBorder="1"/>
    <xf numFmtId="0" fontId="8" fillId="0" borderId="2" xfId="1" applyFont="1" applyBorder="1" applyAlignment="1">
      <alignment horizontal="center"/>
    </xf>
    <xf numFmtId="0" fontId="8" fillId="0" borderId="0" xfId="1" applyFont="1"/>
    <xf numFmtId="0" fontId="9" fillId="0" borderId="2" xfId="1" applyFont="1" applyBorder="1" applyAlignment="1">
      <alignment horizontal="center"/>
    </xf>
    <xf numFmtId="0" fontId="9" fillId="0" borderId="2" xfId="1" applyFont="1" applyBorder="1" applyAlignment="1">
      <alignment horizontal="left"/>
    </xf>
    <xf numFmtId="0" fontId="10" fillId="0" borderId="0" xfId="1" applyFont="1"/>
    <xf numFmtId="164" fontId="6" fillId="0" borderId="3" xfId="1" applyNumberFormat="1" applyFont="1" applyBorder="1" applyAlignment="1">
      <alignment horizontal="center"/>
    </xf>
    <xf numFmtId="0" fontId="6" fillId="0" borderId="3" xfId="1" applyFont="1" applyBorder="1" applyAlignment="1">
      <alignment horizontal="left"/>
    </xf>
    <xf numFmtId="0" fontId="6" fillId="0" borderId="3" xfId="1" applyFont="1" applyBorder="1" applyAlignment="1">
      <alignment horizontal="center"/>
    </xf>
    <xf numFmtId="4" fontId="6" fillId="0" borderId="3" xfId="1" applyNumberFormat="1" applyFont="1" applyBorder="1"/>
    <xf numFmtId="0" fontId="11" fillId="0" borderId="0" xfId="1" applyFont="1"/>
    <xf numFmtId="164" fontId="1" fillId="8" borderId="0" xfId="1" applyNumberFormat="1" applyFill="1"/>
    <xf numFmtId="0" fontId="1" fillId="8" borderId="0" xfId="1" applyFill="1"/>
    <xf numFmtId="4" fontId="1" fillId="8" borderId="0" xfId="1" applyNumberFormat="1" applyFill="1"/>
    <xf numFmtId="43" fontId="0" fillId="0" borderId="0" xfId="2" applyFont="1"/>
    <xf numFmtId="164" fontId="1" fillId="0" borderId="0" xfId="1" applyNumberFormat="1"/>
    <xf numFmtId="4" fontId="6" fillId="2" borderId="0" xfId="1" applyNumberFormat="1" applyFont="1" applyFill="1"/>
    <xf numFmtId="4" fontId="6" fillId="9" borderId="0" xfId="1" applyNumberFormat="1" applyFont="1" applyFill="1"/>
    <xf numFmtId="43" fontId="0" fillId="0" borderId="0" xfId="2" applyFont="1" applyBorder="1"/>
    <xf numFmtId="4" fontId="6" fillId="2" borderId="0" xfId="1" applyNumberFormat="1" applyFont="1" applyFill="1" applyAlignment="1">
      <alignment horizontal="right" wrapText="1"/>
    </xf>
    <xf numFmtId="4" fontId="6" fillId="10" borderId="0" xfId="1" applyNumberFormat="1" applyFont="1" applyFill="1" applyAlignment="1">
      <alignment horizontal="right" wrapText="1"/>
    </xf>
    <xf numFmtId="4" fontId="1" fillId="0" borderId="0" xfId="1" applyNumberFormat="1"/>
    <xf numFmtId="3" fontId="1" fillId="0" borderId="0" xfId="1" applyNumberFormat="1"/>
  </cellXfs>
  <cellStyles count="3">
    <cellStyle name="Normal" xfId="0" builtinId="0"/>
    <cellStyle name="Normal 2" xfId="1" xr:uid="{785FD6C6-7CC0-4CC0-AB4A-BD7A50DEFF01}"/>
    <cellStyle name="Vírgula 2" xfId="2" xr:uid="{F7698569-2535-4105-A48A-8DBF565EA56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1%20SEGUNDA%2001.09\dados%20nota%202023-2024-2025\2024%20CHAMADA%20PUBLIC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2023"/>
    </sheetNames>
    <sheetDataSet>
      <sheetData sheetId="0">
        <row r="3">
          <cell r="C3">
            <v>1111096</v>
          </cell>
          <cell r="D3" t="str">
            <v>CENTRO ESTADUAL DE EDUCACAO PROFISSIONAL DO CHOCOLATE NELSON SCHAUN</v>
          </cell>
          <cell r="E3">
            <v>30058</v>
          </cell>
          <cell r="F3">
            <v>90174</v>
          </cell>
          <cell r="G3">
            <v>30058</v>
          </cell>
          <cell r="H3">
            <v>210406</v>
          </cell>
        </row>
        <row r="4">
          <cell r="C4">
            <v>1111126</v>
          </cell>
          <cell r="D4" t="str">
            <v>COLEGIO ESTADUAL DO IGUAPE - TEMPO INTEGRAL</v>
          </cell>
          <cell r="E4">
            <v>8500</v>
          </cell>
          <cell r="F4">
            <v>25500</v>
          </cell>
          <cell r="G4">
            <v>8500</v>
          </cell>
          <cell r="H4">
            <v>59500</v>
          </cell>
        </row>
        <row r="5">
          <cell r="C5">
            <v>1111339</v>
          </cell>
          <cell r="D5" t="str">
            <v>CENTRO ESTADUAL DE EDUCACAO PROFISSIONAL EM GESTAO E TECNOLOGIA DA INFORMACAO ALVARO MELO VIEIRA</v>
          </cell>
          <cell r="E5">
            <v>16574</v>
          </cell>
          <cell r="F5">
            <v>49722</v>
          </cell>
          <cell r="G5">
            <v>16574</v>
          </cell>
          <cell r="H5">
            <v>116018</v>
          </cell>
        </row>
        <row r="6">
          <cell r="C6">
            <v>1111347</v>
          </cell>
          <cell r="D6" t="str">
            <v>COLEGIO ESTADUAL AURELINO LEAL - TEMPO INTEGRAL</v>
          </cell>
          <cell r="E6">
            <v>10963</v>
          </cell>
          <cell r="F6">
            <v>32889</v>
          </cell>
          <cell r="G6">
            <v>10963</v>
          </cell>
          <cell r="H6">
            <v>76741</v>
          </cell>
        </row>
        <row r="7">
          <cell r="C7">
            <v>1111436</v>
          </cell>
          <cell r="D7" t="str">
            <v>COLEGIO ESTADUAL DO CAMPO JORGE CALMON - DISTRITO DE OLIVENCA - TEMPO INTEGRAL</v>
          </cell>
          <cell r="E7">
            <v>3129</v>
          </cell>
          <cell r="F7">
            <v>9387</v>
          </cell>
          <cell r="G7">
            <v>3129</v>
          </cell>
          <cell r="H7">
            <v>21903</v>
          </cell>
        </row>
        <row r="8">
          <cell r="C8">
            <v>1111495</v>
          </cell>
          <cell r="D8" t="str">
            <v>COLEGIO ESTADUAL SENADOR LUIZ VIANA FILHO - TEMPO INTEGRAL</v>
          </cell>
          <cell r="E8">
            <v>4138</v>
          </cell>
          <cell r="F8">
            <v>12414</v>
          </cell>
          <cell r="G8">
            <v>4138</v>
          </cell>
          <cell r="H8">
            <v>28966</v>
          </cell>
        </row>
        <row r="9">
          <cell r="C9">
            <v>1111550</v>
          </cell>
          <cell r="D9" t="str">
            <v>COLEGIO ESTADUAL PROFESSORA MARIA OLIMPIA - TEMPO INTEGRAL</v>
          </cell>
          <cell r="E9">
            <v>6773</v>
          </cell>
          <cell r="F9">
            <v>20319</v>
          </cell>
          <cell r="G9">
            <v>6773</v>
          </cell>
          <cell r="H9">
            <v>47411</v>
          </cell>
        </row>
        <row r="10">
          <cell r="C10">
            <v>1111584</v>
          </cell>
          <cell r="D10" t="str">
            <v>COLEGIO ESTADUAL ENEDINA OLIVA - TEMPO INTEGRAL</v>
          </cell>
          <cell r="E10">
            <v>10444</v>
          </cell>
          <cell r="F10">
            <v>31332</v>
          </cell>
          <cell r="G10">
            <v>10444</v>
          </cell>
          <cell r="H10">
            <v>73108</v>
          </cell>
        </row>
        <row r="11">
          <cell r="C11">
            <v>1111738</v>
          </cell>
          <cell r="D11" t="str">
            <v>COLEGIO ESTADUAL PROFESSOR ADEUM HILARIO SAUER - TEMPO INTEGRAL</v>
          </cell>
          <cell r="E11">
            <v>15852</v>
          </cell>
          <cell r="F11">
            <v>47556</v>
          </cell>
          <cell r="G11">
            <v>15852</v>
          </cell>
          <cell r="H11">
            <v>110964</v>
          </cell>
        </row>
        <row r="12">
          <cell r="C12">
            <v>1111797</v>
          </cell>
          <cell r="D12" t="str">
            <v>COLEGIO ESTADUAL POLIVALENTE DE CAMACAN - TEMPO INTEGRAL</v>
          </cell>
          <cell r="E12">
            <v>10007</v>
          </cell>
          <cell r="F12">
            <v>30021</v>
          </cell>
          <cell r="G12">
            <v>10007</v>
          </cell>
          <cell r="H12">
            <v>70049</v>
          </cell>
        </row>
        <row r="13">
          <cell r="C13">
            <v>1111940</v>
          </cell>
          <cell r="D13" t="str">
            <v>COLEGIO ESTADUAL INACIO TOSTA FILHO</v>
          </cell>
          <cell r="E13">
            <v>11104</v>
          </cell>
          <cell r="F13">
            <v>33312</v>
          </cell>
          <cell r="G13">
            <v>11104</v>
          </cell>
          <cell r="H13">
            <v>77728</v>
          </cell>
        </row>
        <row r="14">
          <cell r="C14">
            <v>1112009</v>
          </cell>
          <cell r="D14" t="str">
            <v>COLEGIO ESTADUAL ADONIAS FILHO - TEMPO INTEGRAL</v>
          </cell>
          <cell r="E14">
            <v>11602</v>
          </cell>
          <cell r="F14">
            <v>34806</v>
          </cell>
          <cell r="G14">
            <v>11602</v>
          </cell>
          <cell r="H14">
            <v>81214</v>
          </cell>
        </row>
        <row r="15">
          <cell r="C15">
            <v>1112084</v>
          </cell>
          <cell r="D15" t="str">
            <v>COLEGIO ESTADUAL VALDELICE SOARES PINHEIRO - TEMPO INTEGRAL</v>
          </cell>
          <cell r="E15">
            <v>10378</v>
          </cell>
          <cell r="F15">
            <v>31134</v>
          </cell>
          <cell r="G15">
            <v>10378</v>
          </cell>
          <cell r="H15">
            <v>72646</v>
          </cell>
        </row>
        <row r="16">
          <cell r="C16">
            <v>1112092</v>
          </cell>
          <cell r="D16" t="str">
            <v>CENTRO ESTADUAL DE EDUCACAO PROFISSIONAL EM BIOTECNOLOGIA E SAUDE</v>
          </cell>
          <cell r="E16">
            <v>28313</v>
          </cell>
          <cell r="F16">
            <v>84939</v>
          </cell>
          <cell r="G16">
            <v>28313</v>
          </cell>
          <cell r="H16">
            <v>198191</v>
          </cell>
        </row>
        <row r="17">
          <cell r="C17">
            <v>1112149</v>
          </cell>
          <cell r="D17" t="str">
            <v>CENTRO INTEGRADO OSCAR MARINHO FALCAO - CIOMF - TEMPO INTEGRAL</v>
          </cell>
          <cell r="E17">
            <v>19948</v>
          </cell>
          <cell r="F17">
            <v>59844</v>
          </cell>
          <cell r="G17">
            <v>19948</v>
          </cell>
          <cell r="H17">
            <v>139636</v>
          </cell>
        </row>
        <row r="18">
          <cell r="C18">
            <v>1112211</v>
          </cell>
          <cell r="D18" t="str">
            <v>COLEGIO DA POLICIA MILITAR - CPM ANTONIO CARLOS MAGALHAES</v>
          </cell>
          <cell r="E18">
            <v>15092</v>
          </cell>
          <cell r="F18">
            <v>45276</v>
          </cell>
          <cell r="G18">
            <v>15092</v>
          </cell>
          <cell r="H18">
            <v>105644</v>
          </cell>
        </row>
        <row r="19">
          <cell r="C19">
            <v>1112262</v>
          </cell>
          <cell r="D19" t="str">
            <v>COLEGIO ESTADUAL CORDEIRO DE MIRANDA - TEMPO INTEGRAL</v>
          </cell>
          <cell r="E19">
            <v>4009</v>
          </cell>
          <cell r="F19">
            <v>12027</v>
          </cell>
          <cell r="G19">
            <v>4009</v>
          </cell>
          <cell r="H19">
            <v>28063</v>
          </cell>
        </row>
        <row r="20">
          <cell r="C20">
            <v>1112408</v>
          </cell>
          <cell r="D20" t="str">
            <v>COLEGIO POLIVALENTE DE ITAJUIPE - TEMPO INTEGRAL</v>
          </cell>
          <cell r="E20">
            <v>12206</v>
          </cell>
          <cell r="F20">
            <v>36618</v>
          </cell>
          <cell r="G20">
            <v>12206</v>
          </cell>
          <cell r="H20">
            <v>85442</v>
          </cell>
        </row>
        <row r="21">
          <cell r="C21">
            <v>1112491</v>
          </cell>
          <cell r="D21" t="str">
            <v>COLEGIO ESTADUAL LOMANTO JUNIOR - TEMPO INTEGRAL</v>
          </cell>
          <cell r="E21">
            <v>3537</v>
          </cell>
          <cell r="F21">
            <v>10611</v>
          </cell>
          <cell r="G21">
            <v>3537</v>
          </cell>
          <cell r="H21">
            <v>24759</v>
          </cell>
        </row>
        <row r="22">
          <cell r="C22">
            <v>1112602</v>
          </cell>
          <cell r="D22" t="str">
            <v>COLEGIO ESTADUAL ALCIDES DAVID</v>
          </cell>
          <cell r="E22">
            <v>4212</v>
          </cell>
          <cell r="F22">
            <v>12636</v>
          </cell>
          <cell r="G22">
            <v>4212</v>
          </cell>
          <cell r="H22">
            <v>29484</v>
          </cell>
        </row>
        <row r="23">
          <cell r="C23">
            <v>1112777</v>
          </cell>
          <cell r="D23" t="str">
            <v>COLEGIO ESTADUAL OCTACILIO MANOEL GOMES - TEMPO INTEGRAL</v>
          </cell>
          <cell r="E23">
            <v>13356</v>
          </cell>
          <cell r="F23">
            <v>40068</v>
          </cell>
          <cell r="G23">
            <v>13356</v>
          </cell>
          <cell r="H23">
            <v>93492</v>
          </cell>
        </row>
        <row r="24">
          <cell r="C24">
            <v>1139136</v>
          </cell>
          <cell r="D24" t="str">
            <v>COLEGIO ESTADUAL MENANDRO MINAHIM - TEMPO INTEGRAL</v>
          </cell>
          <cell r="E24">
            <v>12865</v>
          </cell>
          <cell r="F24">
            <v>38595</v>
          </cell>
          <cell r="G24">
            <v>12865</v>
          </cell>
          <cell r="H24">
            <v>90055</v>
          </cell>
        </row>
        <row r="25">
          <cell r="C25">
            <v>1158688</v>
          </cell>
          <cell r="D25" t="str">
            <v>COLÉGIO ESTADUAL DE TEMPO INTEGRAL DOM PAULO LOPES DE FARIA</v>
          </cell>
          <cell r="E25">
            <v>6659</v>
          </cell>
          <cell r="F25">
            <v>19977</v>
          </cell>
          <cell r="G25">
            <v>6659</v>
          </cell>
          <cell r="H25">
            <v>46613</v>
          </cell>
        </row>
        <row r="26">
          <cell r="C26">
            <v>1158947</v>
          </cell>
          <cell r="D26" t="str">
            <v>COLEGIO ESTADUAL DE TEMPO INTEGRAL FRED GEDEON</v>
          </cell>
          <cell r="E26">
            <v>5908</v>
          </cell>
          <cell r="F26">
            <v>17724</v>
          </cell>
          <cell r="G26">
            <v>5908</v>
          </cell>
          <cell r="H26">
            <v>41356</v>
          </cell>
        </row>
        <row r="27">
          <cell r="C27">
            <v>1159277</v>
          </cell>
          <cell r="D27" t="str">
            <v>COLEGIO ESTADUAL AMELIA AMADO - TEMPO INTEGRAL</v>
          </cell>
          <cell r="E27">
            <v>4629</v>
          </cell>
          <cell r="F27">
            <v>13887</v>
          </cell>
          <cell r="G27">
            <v>4629</v>
          </cell>
          <cell r="H27">
            <v>32403</v>
          </cell>
        </row>
        <row r="28">
          <cell r="C28">
            <v>1159587</v>
          </cell>
          <cell r="D28" t="str">
            <v>COLEGIO ESTADUAL CAROLINA SEVERIANO RIBEIRO - TEMPO INTEGRAL</v>
          </cell>
          <cell r="E28">
            <v>2303</v>
          </cell>
          <cell r="F28">
            <v>6909</v>
          </cell>
          <cell r="G28">
            <v>2303</v>
          </cell>
          <cell r="H28">
            <v>16121</v>
          </cell>
        </row>
        <row r="29">
          <cell r="C29">
            <v>1159617</v>
          </cell>
          <cell r="D29" t="str">
            <v>COLEGIO ESTADUAL ROMULO GALVAO - DISTRITO DE SAO JOAO DO PARAISO - TEMPO INTEGRAL</v>
          </cell>
          <cell r="E29">
            <v>6727</v>
          </cell>
          <cell r="F29">
            <v>20181</v>
          </cell>
          <cell r="G29">
            <v>6727</v>
          </cell>
          <cell r="H29">
            <v>47089</v>
          </cell>
        </row>
        <row r="30">
          <cell r="C30">
            <v>1159641</v>
          </cell>
          <cell r="D30" t="str">
            <v>COLÉGIO ESTADUAL DO CAMPO CLEMENTE MARIANI - TEMPO INTEGRAL</v>
          </cell>
          <cell r="E30">
            <v>2515</v>
          </cell>
          <cell r="F30">
            <v>7545</v>
          </cell>
          <cell r="G30">
            <v>2515</v>
          </cell>
          <cell r="H30">
            <v>17605</v>
          </cell>
        </row>
        <row r="31">
          <cell r="C31">
            <v>1159668</v>
          </cell>
          <cell r="D31" t="str">
            <v>CENTRO TERRITORIAL DE EDUCAÇÃO PROFISSIONAL DO LITORAL SUL - COMUNIDADE QUILOMBOLA</v>
          </cell>
          <cell r="E31">
            <v>5779</v>
          </cell>
          <cell r="F31">
            <v>17337</v>
          </cell>
          <cell r="G31">
            <v>5779</v>
          </cell>
          <cell r="H31">
            <v>40453</v>
          </cell>
        </row>
        <row r="32">
          <cell r="C32">
            <v>1159790</v>
          </cell>
          <cell r="D32" t="str">
            <v>COLEGIO ESTADUAL CARNEIRO RIBEIRO - TEMPO INTEGRAL</v>
          </cell>
          <cell r="E32">
            <v>12895</v>
          </cell>
          <cell r="F32">
            <v>38685</v>
          </cell>
          <cell r="G32">
            <v>12895</v>
          </cell>
          <cell r="H32">
            <v>90265</v>
          </cell>
        </row>
        <row r="33">
          <cell r="C33">
            <v>1159838</v>
          </cell>
          <cell r="D33" t="str">
            <v>COLÉGIO ESTADUAL DE TEMPO INTEGRAL PROF CARLOS ROBERTO ARLEO BARBOSA</v>
          </cell>
          <cell r="E33">
            <v>14294</v>
          </cell>
          <cell r="F33">
            <v>42882</v>
          </cell>
          <cell r="G33">
            <v>14294</v>
          </cell>
          <cell r="H33">
            <v>100058</v>
          </cell>
        </row>
        <row r="34">
          <cell r="C34">
            <v>1159919</v>
          </cell>
          <cell r="D34" t="str">
            <v>COLEGIO DA POLICIA MILITAR - CPM ROMULO GALVAO</v>
          </cell>
          <cell r="E34">
            <v>22001</v>
          </cell>
          <cell r="F34">
            <v>66003</v>
          </cell>
          <cell r="G34">
            <v>22001</v>
          </cell>
          <cell r="H34">
            <v>154007</v>
          </cell>
        </row>
        <row r="35">
          <cell r="C35">
            <v>1161093</v>
          </cell>
          <cell r="D35" t="str">
            <v>COLEGIO ESTADUAL BRAULIO XAVIER - TEMPO INTEGRAL</v>
          </cell>
          <cell r="E35">
            <v>6623</v>
          </cell>
          <cell r="F35">
            <v>19869</v>
          </cell>
          <cell r="G35">
            <v>6623</v>
          </cell>
          <cell r="H35">
            <v>46361</v>
          </cell>
        </row>
        <row r="36">
          <cell r="C36">
            <v>1169221</v>
          </cell>
          <cell r="D36" t="str">
            <v>COLEGIO ESTADUAL MOYSES BOHANA - TEMPO INTEGRAL</v>
          </cell>
          <cell r="E36">
            <v>13580</v>
          </cell>
          <cell r="F36">
            <v>40740</v>
          </cell>
          <cell r="G36">
            <v>13580</v>
          </cell>
          <cell r="H36">
            <v>95060</v>
          </cell>
        </row>
        <row r="37">
          <cell r="C37">
            <v>1170912</v>
          </cell>
          <cell r="D37" t="str">
            <v>COLEGIO ESTADUAL 13 DE JUNHO - TEMPO INTEGRAL</v>
          </cell>
          <cell r="E37">
            <v>4446</v>
          </cell>
          <cell r="F37">
            <v>13338</v>
          </cell>
          <cell r="G37">
            <v>4446</v>
          </cell>
          <cell r="H37">
            <v>31122</v>
          </cell>
        </row>
        <row r="38">
          <cell r="C38">
            <v>1176081</v>
          </cell>
          <cell r="D38" t="str">
            <v>COMPLEXO INTEGRADO DE EDUCAÇÃO BÁSICA, PROFISSIONAL E TECNOLÓGICA DE ITABUNA - TEMPO INTEGRAL</v>
          </cell>
          <cell r="E38">
            <v>21285</v>
          </cell>
          <cell r="F38">
            <v>63855</v>
          </cell>
          <cell r="G38">
            <v>21285</v>
          </cell>
          <cell r="H38">
            <v>148995</v>
          </cell>
        </row>
        <row r="39">
          <cell r="C39">
            <v>1176101</v>
          </cell>
          <cell r="D39" t="str">
            <v>CENTRO TERRITORIAL DE EDUCACAO PROFISSIONAL DO LITORAL SUL II - TEMPO INTEGRAL</v>
          </cell>
          <cell r="E39">
            <v>9571</v>
          </cell>
          <cell r="F39">
            <v>28713</v>
          </cell>
          <cell r="G39">
            <v>9571</v>
          </cell>
          <cell r="H39">
            <v>66997</v>
          </cell>
        </row>
        <row r="40">
          <cell r="C40">
            <v>1176103</v>
          </cell>
          <cell r="D40" t="str">
            <v>COLEGIO ESTADUAL DO CAJUEIRO - DISTRITO DE CAJUEIRO</v>
          </cell>
          <cell r="E40">
            <v>2218</v>
          </cell>
          <cell r="F40">
            <v>6654</v>
          </cell>
          <cell r="G40">
            <v>2218</v>
          </cell>
          <cell r="H40">
            <v>15526</v>
          </cell>
        </row>
        <row r="41">
          <cell r="C41">
            <v>1176394</v>
          </cell>
          <cell r="D41" t="str">
            <v>COLEGIO ESTADUAL ANISIO LOUREIRO - TEMPO INTEGRAL - DISTRITO DE SÃO JOÃO DO PANELINHA</v>
          </cell>
          <cell r="E41">
            <v>4009</v>
          </cell>
          <cell r="F41">
            <v>12027</v>
          </cell>
          <cell r="G41">
            <v>4009</v>
          </cell>
          <cell r="H41">
            <v>28063</v>
          </cell>
        </row>
        <row r="42">
          <cell r="C42">
            <v>1176424</v>
          </cell>
          <cell r="D42" t="str">
            <v>COLEGIO MODELO LUIS EDUARDO MAGALHAES - TEMPO INTEGRAL</v>
          </cell>
          <cell r="E42">
            <v>3537</v>
          </cell>
          <cell r="F42">
            <v>10611</v>
          </cell>
          <cell r="G42">
            <v>3537</v>
          </cell>
          <cell r="H42">
            <v>24759</v>
          </cell>
        </row>
        <row r="43">
          <cell r="C43">
            <v>1176675</v>
          </cell>
          <cell r="D43" t="str">
            <v>COLEGIO ESTADUAL PROFESSOR FABIO ARARIPE GOULART - TEMPO INTEGRAL</v>
          </cell>
          <cell r="E43">
            <v>6531</v>
          </cell>
          <cell r="F43">
            <v>19593</v>
          </cell>
          <cell r="G43">
            <v>6531</v>
          </cell>
          <cell r="H43">
            <v>45717</v>
          </cell>
        </row>
        <row r="44">
          <cell r="C44">
            <v>1177004</v>
          </cell>
          <cell r="D44" t="str">
            <v>COLEGIO ESTADUAL JORGE AMADO - TEMPO INTEGRAL</v>
          </cell>
          <cell r="E44">
            <v>5779</v>
          </cell>
          <cell r="F44">
            <v>17337</v>
          </cell>
          <cell r="G44">
            <v>5779</v>
          </cell>
          <cell r="H44">
            <v>40453</v>
          </cell>
        </row>
        <row r="45">
          <cell r="C45">
            <v>1177011</v>
          </cell>
          <cell r="D45" t="str">
            <v>COLEGIO ESTADUAL DA ALDEIA INDIGENA CARAMURU PARAGUACU - TEMPO INTEGRAL</v>
          </cell>
          <cell r="E45">
            <v>9371</v>
          </cell>
          <cell r="F45">
            <v>28113</v>
          </cell>
          <cell r="G45">
            <v>9371</v>
          </cell>
          <cell r="H45">
            <v>65597</v>
          </cell>
        </row>
        <row r="46">
          <cell r="C46">
            <v>1177077</v>
          </cell>
          <cell r="D46" t="str">
            <v>COLEGIO ESTADUAL GERSON DE SOUZA MELO PATAXO - TEMPO INTEGRAL</v>
          </cell>
          <cell r="E46">
            <v>5521</v>
          </cell>
          <cell r="F46">
            <v>16563</v>
          </cell>
          <cell r="G46">
            <v>5521</v>
          </cell>
          <cell r="H46">
            <v>38647</v>
          </cell>
        </row>
        <row r="47">
          <cell r="C47">
            <v>1177091</v>
          </cell>
          <cell r="D47" t="str">
            <v>COLEGIO MODELO LUIS EDUARDO MAGALHAES - TEMPO INTEGRAL</v>
          </cell>
          <cell r="E47">
            <v>15463</v>
          </cell>
          <cell r="F47">
            <v>46389</v>
          </cell>
          <cell r="G47">
            <v>15463</v>
          </cell>
          <cell r="H47">
            <v>108241</v>
          </cell>
        </row>
        <row r="48">
          <cell r="C48">
            <v>1178075</v>
          </cell>
          <cell r="D48" t="str">
            <v>COLEGIO ESTADUAL INDIGENA TUPINAMBA DE OLIVENCA</v>
          </cell>
          <cell r="E48">
            <v>8331</v>
          </cell>
          <cell r="F48">
            <v>24993</v>
          </cell>
          <cell r="G48">
            <v>8331</v>
          </cell>
          <cell r="H48">
            <v>58317</v>
          </cell>
        </row>
        <row r="49">
          <cell r="C49">
            <v>1178107</v>
          </cell>
          <cell r="D49" t="str">
            <v>COLEGIO MODELO LUIS EDUARDO MAGALHAES - TEMPO INTEGRAL</v>
          </cell>
          <cell r="E49">
            <v>17344</v>
          </cell>
          <cell r="F49">
            <v>52032</v>
          </cell>
          <cell r="G49">
            <v>17344</v>
          </cell>
          <cell r="H49">
            <v>121408</v>
          </cell>
        </row>
        <row r="50">
          <cell r="C50">
            <v>1178110</v>
          </cell>
          <cell r="D50" t="str">
            <v>COLEGIO ESTADUAL LUIS EDUARDO MAGALHAES - TEMPO INTEGRAL</v>
          </cell>
          <cell r="E50">
            <v>14181</v>
          </cell>
          <cell r="F50">
            <v>42543</v>
          </cell>
          <cell r="G50">
            <v>14181</v>
          </cell>
          <cell r="H50">
            <v>99267</v>
          </cell>
        </row>
        <row r="51">
          <cell r="C51">
            <v>1178112</v>
          </cell>
          <cell r="D51" t="str">
            <v>COLEGIO ESTADUAL ALMAKAZIR GALLY GALVAO - TEMPO INTEGRAL</v>
          </cell>
          <cell r="E51">
            <v>11755</v>
          </cell>
          <cell r="F51">
            <v>35265</v>
          </cell>
          <cell r="G51">
            <v>11755</v>
          </cell>
          <cell r="H51">
            <v>82285</v>
          </cell>
        </row>
        <row r="52">
          <cell r="C52">
            <v>1178142</v>
          </cell>
          <cell r="D52" t="str">
            <v>CENTRO ESTADUAL DE EDUCAÇÃO PROFISSIONAL DA FLORESTA DO CACAU E DO CHOCOLATE MILTON - TEMPO INTEGRAL</v>
          </cell>
          <cell r="E52">
            <v>7104</v>
          </cell>
          <cell r="F52">
            <v>21312</v>
          </cell>
          <cell r="G52">
            <v>7104</v>
          </cell>
          <cell r="H52">
            <v>49728</v>
          </cell>
        </row>
        <row r="53">
          <cell r="C53">
            <v>1178145</v>
          </cell>
          <cell r="D53" t="str">
            <v>COLEGIO ESTADUAL DE SALOBRINHO - TEMPO INTEGRAL - DISTRITO DE SALOBRINHO</v>
          </cell>
          <cell r="E53">
            <v>5222</v>
          </cell>
          <cell r="F53">
            <v>15666</v>
          </cell>
          <cell r="G53">
            <v>5222</v>
          </cell>
          <cell r="H53">
            <v>36554</v>
          </cell>
        </row>
        <row r="54">
          <cell r="C54">
            <v>1178751</v>
          </cell>
          <cell r="D54" t="str">
            <v>COLEGIO ESTADUAL DO CAMPO PROFESSORA LUCIA MARIA BATISTA DA SILVA</v>
          </cell>
          <cell r="E54">
            <v>6883</v>
          </cell>
          <cell r="F54">
            <v>20649</v>
          </cell>
          <cell r="G54">
            <v>6883</v>
          </cell>
          <cell r="H54">
            <v>48181</v>
          </cell>
        </row>
        <row r="55">
          <cell r="C55">
            <v>1179275</v>
          </cell>
          <cell r="D55" t="str">
            <v>COLEGIO ESTADUAL INDIGENA TUPINAMBA DE ACUIPE DE BAIXO</v>
          </cell>
          <cell r="E55">
            <v>5608</v>
          </cell>
          <cell r="F55">
            <v>16824</v>
          </cell>
          <cell r="G55">
            <v>5608</v>
          </cell>
          <cell r="H55">
            <v>39256</v>
          </cell>
        </row>
        <row r="56">
          <cell r="C56">
            <v>1179595</v>
          </cell>
          <cell r="D56" t="str">
            <v>COLEGIO ESTADUAL DO CAMPO DE SERRA GRANDE - DISTRITO DE SERRA GRANDE - TEMPO INTEGRAL</v>
          </cell>
          <cell r="E56">
            <v>3648</v>
          </cell>
          <cell r="F56">
            <v>10944</v>
          </cell>
          <cell r="G56">
            <v>3648</v>
          </cell>
          <cell r="H56">
            <v>25536</v>
          </cell>
        </row>
        <row r="57">
          <cell r="C57">
            <v>1179622</v>
          </cell>
          <cell r="D57" t="str">
            <v>ESCOLA ESTADUAL INDIGENA TUPINAMBA DE ABAETE</v>
          </cell>
          <cell r="E57">
            <v>3294</v>
          </cell>
          <cell r="F57">
            <v>9882</v>
          </cell>
          <cell r="G57">
            <v>3294</v>
          </cell>
          <cell r="H57">
            <v>23058</v>
          </cell>
        </row>
        <row r="58">
          <cell r="C58">
            <v>1179628</v>
          </cell>
          <cell r="D58" t="str">
            <v>COLEGIO ESTADUAL INDIGENA TUPINAMBA AMOTARA</v>
          </cell>
          <cell r="E58">
            <v>8177</v>
          </cell>
          <cell r="F58">
            <v>24531</v>
          </cell>
          <cell r="G58">
            <v>8177</v>
          </cell>
          <cell r="H58">
            <v>57239</v>
          </cell>
        </row>
        <row r="59">
          <cell r="C59">
            <v>1179678</v>
          </cell>
          <cell r="D59" t="str">
            <v>COLEGIO ESTADUAL ANTONIO EDUARDO RIBEIRO ROCHA - DISTRITO DE BARRA GRANDE - TEMPO INTEGRAL</v>
          </cell>
          <cell r="E59">
            <v>3739</v>
          </cell>
          <cell r="F59">
            <v>11217</v>
          </cell>
          <cell r="G59">
            <v>3739</v>
          </cell>
          <cell r="H59">
            <v>26173</v>
          </cell>
        </row>
        <row r="60">
          <cell r="C60">
            <v>1179701</v>
          </cell>
          <cell r="D60" t="str">
            <v>CENT REG DE ENS MED COM INTER TECNO. DO LIT. SUL - CEMIT LITORAL SUL</v>
          </cell>
          <cell r="E60">
            <v>7623</v>
          </cell>
          <cell r="F60">
            <v>22869</v>
          </cell>
          <cell r="G60">
            <v>7623</v>
          </cell>
          <cell r="H60">
            <v>53361</v>
          </cell>
        </row>
        <row r="61">
          <cell r="C61">
            <v>1105100</v>
          </cell>
          <cell r="D61" t="str">
            <v>COLÉGIO ESTADUAL DO CAMPO PROFESSOR JOSÉ WALDOMIRO SANTOS DA CONCEIÇÃO - DISTRITO DO RETIRO</v>
          </cell>
          <cell r="E61">
            <v>6914</v>
          </cell>
          <cell r="F61">
            <v>20742</v>
          </cell>
          <cell r="G61">
            <v>6914</v>
          </cell>
          <cell r="H61">
            <v>48398</v>
          </cell>
        </row>
        <row r="62">
          <cell r="C62">
            <v>1105169</v>
          </cell>
          <cell r="D62" t="str">
            <v>COLÉGIO ESTADUAL DOM PEDRO II - TEMPO INTEGRAL</v>
          </cell>
          <cell r="E62">
            <v>11503</v>
          </cell>
          <cell r="F62">
            <v>34509</v>
          </cell>
          <cell r="G62">
            <v>11503</v>
          </cell>
          <cell r="H62">
            <v>80521</v>
          </cell>
        </row>
        <row r="63">
          <cell r="C63">
            <v>1105266</v>
          </cell>
          <cell r="D63" t="str">
            <v>COLÉGIO ESTADUAL CONCEIÇÃO DO JACUÍPE</v>
          </cell>
          <cell r="E63">
            <v>20933</v>
          </cell>
          <cell r="F63">
            <v>62799</v>
          </cell>
          <cell r="G63">
            <v>20933</v>
          </cell>
          <cell r="H63">
            <v>146531</v>
          </cell>
        </row>
        <row r="64">
          <cell r="C64">
            <v>1105320</v>
          </cell>
          <cell r="D64" t="str">
            <v>COLÉGIO ESTADUAL DE ÁGUA FRIA - TEMPO INTEGRAL</v>
          </cell>
          <cell r="E64">
            <v>7746</v>
          </cell>
          <cell r="F64">
            <v>23238</v>
          </cell>
          <cell r="G64">
            <v>7746</v>
          </cell>
          <cell r="H64">
            <v>54222</v>
          </cell>
        </row>
        <row r="65">
          <cell r="C65">
            <v>1105436</v>
          </cell>
          <cell r="D65" t="str">
            <v>COLEGIO ESTADUAL DE TEMPO INTEGRAL AMELIA RODRIGUES</v>
          </cell>
          <cell r="E65">
            <v>9705</v>
          </cell>
          <cell r="F65">
            <v>29115</v>
          </cell>
          <cell r="G65">
            <v>9705</v>
          </cell>
          <cell r="H65">
            <v>67935</v>
          </cell>
        </row>
        <row r="66">
          <cell r="C66">
            <v>1105568</v>
          </cell>
          <cell r="D66" t="str">
            <v>COLEGIO ESTADUAL DE CONCEICAO DA FEIRA - CECF - TEMPO INTEGRAL</v>
          </cell>
          <cell r="E66">
            <v>16350</v>
          </cell>
          <cell r="F66">
            <v>49050</v>
          </cell>
          <cell r="G66">
            <v>16350</v>
          </cell>
          <cell r="H66">
            <v>114450</v>
          </cell>
        </row>
        <row r="67">
          <cell r="C67">
            <v>1105584</v>
          </cell>
          <cell r="D67" t="str">
            <v>COLÉGIO ESTADUAL ARTHUR VIEIRA DE OLIVEIRA - TEMPO INTEGRAL</v>
          </cell>
          <cell r="E67">
            <v>7178</v>
          </cell>
          <cell r="F67">
            <v>21534</v>
          </cell>
          <cell r="G67">
            <v>7178</v>
          </cell>
          <cell r="H67">
            <v>50246</v>
          </cell>
        </row>
        <row r="68">
          <cell r="C68">
            <v>1105754</v>
          </cell>
          <cell r="D68" t="str">
            <v>CENTRO INTEGRADO DE EDUCAÇÃO ASSIS CHATEAUBRIAND - TEMPO INTEGRAL</v>
          </cell>
          <cell r="E68">
            <v>46557</v>
          </cell>
          <cell r="F68">
            <v>139671</v>
          </cell>
          <cell r="G68">
            <v>46557</v>
          </cell>
          <cell r="H68">
            <v>325899</v>
          </cell>
        </row>
        <row r="69">
          <cell r="C69">
            <v>1105797</v>
          </cell>
          <cell r="D69" t="str">
            <v>CENTRO ESTADUAL DE EDUCAÇÃO PROFISSIONAL ÁUREO DE OLIVEIRA FILHO</v>
          </cell>
          <cell r="E69">
            <v>13905</v>
          </cell>
          <cell r="F69">
            <v>41715</v>
          </cell>
          <cell r="G69">
            <v>13905</v>
          </cell>
          <cell r="H69">
            <v>97335</v>
          </cell>
        </row>
        <row r="70">
          <cell r="C70">
            <v>1105878</v>
          </cell>
          <cell r="D70" t="str">
            <v>COLÉGIO DA POLÍCIA MILITAR CPM DIVA PORTELA</v>
          </cell>
          <cell r="E70">
            <v>15951</v>
          </cell>
          <cell r="F70">
            <v>47853</v>
          </cell>
          <cell r="G70">
            <v>15951</v>
          </cell>
          <cell r="H70">
            <v>111657</v>
          </cell>
        </row>
        <row r="71">
          <cell r="C71">
            <v>1105886</v>
          </cell>
          <cell r="D71" t="str">
            <v>COLÉGIO ESTADUAL DURVALINA CARNEIRO</v>
          </cell>
          <cell r="E71">
            <v>15620</v>
          </cell>
          <cell r="F71">
            <v>46860</v>
          </cell>
          <cell r="G71">
            <v>15620</v>
          </cell>
          <cell r="H71">
            <v>109340</v>
          </cell>
        </row>
        <row r="72">
          <cell r="C72">
            <v>1105916</v>
          </cell>
          <cell r="D72" t="str">
            <v>COLÉGIO ESTADUAL EDITH MACHADO BOAVENTURA - TEMPO INTEGRAL</v>
          </cell>
          <cell r="E72">
            <v>31301</v>
          </cell>
          <cell r="F72">
            <v>93903</v>
          </cell>
          <cell r="G72">
            <v>31301</v>
          </cell>
          <cell r="H72">
            <v>219107</v>
          </cell>
        </row>
        <row r="73">
          <cell r="C73">
            <v>1105932</v>
          </cell>
          <cell r="D73" t="str">
            <v>COLÉGIO ESTADUAL DO CAMPO EDIVALDO MACHADO BOAVENTURA - DISTRITO DE IPUAÇU</v>
          </cell>
          <cell r="E73">
            <v>3693</v>
          </cell>
          <cell r="F73">
            <v>11079</v>
          </cell>
          <cell r="G73">
            <v>3693</v>
          </cell>
          <cell r="H73">
            <v>25851</v>
          </cell>
        </row>
        <row r="74">
          <cell r="C74">
            <v>1105940</v>
          </cell>
          <cell r="D74" t="str">
            <v>COLÉGIO ESTADUAL ERNESTO CARNEIRO RIBEIRO</v>
          </cell>
          <cell r="E74">
            <v>13994</v>
          </cell>
          <cell r="F74">
            <v>41982</v>
          </cell>
          <cell r="G74">
            <v>13994</v>
          </cell>
          <cell r="H74">
            <v>97958</v>
          </cell>
        </row>
        <row r="75">
          <cell r="C75">
            <v>1105959</v>
          </cell>
          <cell r="D75" t="str">
            <v>INSTITUTO DE EDUCACAO DE TEMPO INTEGRAL GASTAO GUIMARAES</v>
          </cell>
          <cell r="E75">
            <v>31961</v>
          </cell>
          <cell r="F75">
            <v>95883</v>
          </cell>
          <cell r="G75">
            <v>31961</v>
          </cell>
          <cell r="H75">
            <v>223727</v>
          </cell>
        </row>
        <row r="76">
          <cell r="C76">
            <v>1105975</v>
          </cell>
          <cell r="D76" t="str">
            <v>CENTRO ESTADUAL DE EDUCAÇÃO PROFISSIONAL EM SAÚDE DO CENTRO BAIANO</v>
          </cell>
          <cell r="E76">
            <v>24948</v>
          </cell>
          <cell r="F76">
            <v>74844</v>
          </cell>
          <cell r="G76">
            <v>24948</v>
          </cell>
          <cell r="H76">
            <v>174636</v>
          </cell>
        </row>
        <row r="77">
          <cell r="C77">
            <v>1106084</v>
          </cell>
          <cell r="D77" t="str">
            <v>COLÉGIO GEORGINA SOARES NASCIMENTO</v>
          </cell>
          <cell r="E77">
            <v>17447</v>
          </cell>
          <cell r="F77">
            <v>52341</v>
          </cell>
          <cell r="G77">
            <v>17447</v>
          </cell>
          <cell r="H77">
            <v>122129</v>
          </cell>
        </row>
        <row r="78">
          <cell r="C78">
            <v>1106106</v>
          </cell>
          <cell r="D78" t="str">
            <v>COLÉGIO ESTADUAL DO CAMPO ITAN GUIMARÃES CERQUEIRA - POVOADO DE SANTA QUITÉRIA</v>
          </cell>
          <cell r="E78">
            <v>5854</v>
          </cell>
          <cell r="F78">
            <v>17562</v>
          </cell>
          <cell r="G78">
            <v>5854</v>
          </cell>
          <cell r="H78">
            <v>40978</v>
          </cell>
        </row>
        <row r="79">
          <cell r="C79">
            <v>1106211</v>
          </cell>
          <cell r="D79" t="str">
            <v>COLÉGIO ESTADUAL DO CAMPO PADRE HENRIQUE ALVES BORGES - DISTRITO DE HUMILDES</v>
          </cell>
          <cell r="E79">
            <v>14356</v>
          </cell>
          <cell r="F79">
            <v>43068</v>
          </cell>
          <cell r="G79">
            <v>14356</v>
          </cell>
          <cell r="H79">
            <v>100492</v>
          </cell>
        </row>
        <row r="80">
          <cell r="C80">
            <v>1106220</v>
          </cell>
          <cell r="D80" t="str">
            <v>COLEGIO ESTADUAL SANTO ANTONIO</v>
          </cell>
          <cell r="E80">
            <v>14393</v>
          </cell>
          <cell r="F80">
            <v>43179</v>
          </cell>
          <cell r="G80">
            <v>14393</v>
          </cell>
          <cell r="H80">
            <v>100751</v>
          </cell>
        </row>
        <row r="81">
          <cell r="C81">
            <v>1106238</v>
          </cell>
          <cell r="D81" t="str">
            <v>COLÉGIO ESTADUAL YEDA BARRADAS CARNEIRO - TEMPO INTEGRAL</v>
          </cell>
          <cell r="E81">
            <v>4687</v>
          </cell>
          <cell r="F81">
            <v>14061</v>
          </cell>
          <cell r="G81">
            <v>4687</v>
          </cell>
          <cell r="H81">
            <v>32809</v>
          </cell>
        </row>
        <row r="82">
          <cell r="C82">
            <v>1106270</v>
          </cell>
          <cell r="D82" t="str">
            <v>COLÉGIO ESTADUAL HILDA CARNEIRO</v>
          </cell>
          <cell r="E82">
            <v>9322</v>
          </cell>
          <cell r="F82">
            <v>27966</v>
          </cell>
          <cell r="G82">
            <v>9322</v>
          </cell>
          <cell r="H82">
            <v>65254</v>
          </cell>
        </row>
        <row r="83">
          <cell r="C83">
            <v>1106289</v>
          </cell>
          <cell r="D83" t="str">
            <v>COLÉGIO ESTADUAL ODORICO TAVARES</v>
          </cell>
          <cell r="E83">
            <v>17546</v>
          </cell>
          <cell r="F83">
            <v>52638</v>
          </cell>
          <cell r="G83">
            <v>17546</v>
          </cell>
          <cell r="H83">
            <v>122822</v>
          </cell>
        </row>
        <row r="84">
          <cell r="C84">
            <v>1106297</v>
          </cell>
          <cell r="D84" t="str">
            <v>COLÉGIO ESTADUAL IMACULADA CONCEIÇÃO</v>
          </cell>
          <cell r="E84">
            <v>13559</v>
          </cell>
          <cell r="F84">
            <v>40677</v>
          </cell>
          <cell r="G84">
            <v>13559</v>
          </cell>
          <cell r="H84">
            <v>94913</v>
          </cell>
        </row>
        <row r="85">
          <cell r="C85">
            <v>1106335</v>
          </cell>
          <cell r="D85" t="str">
            <v>COLEGIO ESTADUAL PROFESSORA CARMINDA MASCARENHAS VIEIRA</v>
          </cell>
          <cell r="E85">
            <v>9472</v>
          </cell>
          <cell r="F85">
            <v>28416</v>
          </cell>
          <cell r="G85">
            <v>9472</v>
          </cell>
          <cell r="H85">
            <v>66304</v>
          </cell>
        </row>
        <row r="86">
          <cell r="C86">
            <v>1106386</v>
          </cell>
          <cell r="D86" t="str">
            <v>COLEGIO ESTADUAL DE TEMPO INTEGRAL DE FEIRA DE SANTANA</v>
          </cell>
          <cell r="E86">
            <v>17742</v>
          </cell>
          <cell r="F86">
            <v>53226</v>
          </cell>
          <cell r="G86">
            <v>17742</v>
          </cell>
          <cell r="H86">
            <v>124194</v>
          </cell>
        </row>
        <row r="87">
          <cell r="C87">
            <v>1106394</v>
          </cell>
          <cell r="D87" t="str">
            <v>COLÉGIO ESTADUAL DO CAMPO JOÃO BAPTISTA CARNEIRO - DISTRITO DE IPUAÇU</v>
          </cell>
          <cell r="E87">
            <v>6381</v>
          </cell>
          <cell r="F87">
            <v>19143</v>
          </cell>
          <cell r="G87">
            <v>6381</v>
          </cell>
          <cell r="H87">
            <v>44667</v>
          </cell>
        </row>
        <row r="88">
          <cell r="C88">
            <v>1106467</v>
          </cell>
          <cell r="D88" t="str">
            <v>COLEGIO ESTADUAL JOSE FERREIRA PINTO - TEMPO INTEGRAL</v>
          </cell>
          <cell r="E88">
            <v>20239</v>
          </cell>
          <cell r="F88">
            <v>60717</v>
          </cell>
          <cell r="G88">
            <v>20239</v>
          </cell>
          <cell r="H88">
            <v>141673</v>
          </cell>
        </row>
        <row r="89">
          <cell r="C89">
            <v>1106491</v>
          </cell>
          <cell r="D89" t="str">
            <v>COLÉGIO ESTADUAL JUIZ JORGE FARIAS GÓES - TEMPO INTEGRAL</v>
          </cell>
          <cell r="E89">
            <v>7200</v>
          </cell>
          <cell r="F89">
            <v>21600</v>
          </cell>
          <cell r="G89">
            <v>7200</v>
          </cell>
          <cell r="H89">
            <v>50400</v>
          </cell>
        </row>
        <row r="90">
          <cell r="C90">
            <v>1106556</v>
          </cell>
          <cell r="D90" t="str">
            <v>COLÉGIO ESTADUAL ROTARY</v>
          </cell>
          <cell r="E90">
            <v>7457</v>
          </cell>
          <cell r="F90">
            <v>22371</v>
          </cell>
          <cell r="G90">
            <v>7457</v>
          </cell>
          <cell r="H90">
            <v>52199</v>
          </cell>
        </row>
        <row r="91">
          <cell r="C91">
            <v>1106564</v>
          </cell>
          <cell r="D91" t="str">
            <v>COLÉGIO ESTADUAL POLIVALENTE DE FEIRA DE SANTANA - TEMPO INTEGRAL</v>
          </cell>
          <cell r="E91">
            <v>16194</v>
          </cell>
          <cell r="F91">
            <v>48582</v>
          </cell>
          <cell r="G91">
            <v>16194</v>
          </cell>
          <cell r="H91">
            <v>113358</v>
          </cell>
        </row>
        <row r="92">
          <cell r="C92">
            <v>1106599</v>
          </cell>
          <cell r="D92" t="str">
            <v>COLÉGIO ESTADUAL IRMÃ ROSA APARECIDA</v>
          </cell>
          <cell r="E92">
            <v>6651</v>
          </cell>
          <cell r="F92">
            <v>19953</v>
          </cell>
          <cell r="G92">
            <v>6651</v>
          </cell>
          <cell r="H92">
            <v>46557</v>
          </cell>
        </row>
        <row r="93">
          <cell r="C93">
            <v>1106637</v>
          </cell>
          <cell r="D93" t="str">
            <v>COLEGIO ESTADUAL PROFESSORA TECLA MELLO</v>
          </cell>
          <cell r="E93">
            <v>8218</v>
          </cell>
          <cell r="F93">
            <v>24654</v>
          </cell>
          <cell r="G93">
            <v>8218</v>
          </cell>
          <cell r="H93">
            <v>57526</v>
          </cell>
        </row>
        <row r="94">
          <cell r="C94">
            <v>1106645</v>
          </cell>
          <cell r="D94" t="str">
            <v>COLÉGIO ESTADUAL DE TEMPO INTEGRAL CAROLINA MARIA DE JESUS</v>
          </cell>
          <cell r="E94">
            <v>26665</v>
          </cell>
          <cell r="F94">
            <v>79995</v>
          </cell>
          <cell r="G94">
            <v>26665</v>
          </cell>
          <cell r="H94">
            <v>186655</v>
          </cell>
        </row>
        <row r="95">
          <cell r="C95">
            <v>1106688</v>
          </cell>
          <cell r="D95" t="str">
            <v>COLÉGIO ESTADUAL PADRE VIEIRA</v>
          </cell>
          <cell r="E95">
            <v>4122</v>
          </cell>
          <cell r="F95">
            <v>12366</v>
          </cell>
          <cell r="G95">
            <v>4122</v>
          </cell>
          <cell r="H95">
            <v>28854</v>
          </cell>
        </row>
        <row r="96">
          <cell r="C96">
            <v>1106718</v>
          </cell>
          <cell r="D96" t="str">
            <v>COLÉGIO ESTADUAL DO CAMPO MARIA QUITÉRIA- DISTRITO DE MARIA QUITÉRIA</v>
          </cell>
          <cell r="E96">
            <v>20264</v>
          </cell>
          <cell r="F96">
            <v>60792</v>
          </cell>
          <cell r="G96">
            <v>20264</v>
          </cell>
          <cell r="H96">
            <v>141848</v>
          </cell>
        </row>
        <row r="97">
          <cell r="C97">
            <v>1106742</v>
          </cell>
          <cell r="D97" t="str">
            <v>COLÉGIO ESTADUAL GOVERNADOR LUIZ VIANA FILHO</v>
          </cell>
          <cell r="E97">
            <v>28537</v>
          </cell>
          <cell r="F97">
            <v>85611</v>
          </cell>
          <cell r="G97">
            <v>28537</v>
          </cell>
          <cell r="H97">
            <v>199759</v>
          </cell>
        </row>
        <row r="98">
          <cell r="C98">
            <v>1107129</v>
          </cell>
          <cell r="D98" t="str">
            <v>COLEGIO ESTADUAL JOAQUIM INACIO DE CARVALHO - TEMPO INTEGRAL</v>
          </cell>
          <cell r="E98">
            <v>19435</v>
          </cell>
          <cell r="F98">
            <v>58305</v>
          </cell>
          <cell r="G98">
            <v>19435</v>
          </cell>
          <cell r="H98">
            <v>136045</v>
          </cell>
        </row>
        <row r="99">
          <cell r="C99">
            <v>1107382</v>
          </cell>
          <cell r="D99" t="str">
            <v>COLÉGIO ESTADUAL PROFESSOR CARLOS VALADARES</v>
          </cell>
          <cell r="E99">
            <v>12371</v>
          </cell>
          <cell r="F99">
            <v>37113</v>
          </cell>
          <cell r="G99">
            <v>12371</v>
          </cell>
          <cell r="H99">
            <v>86597</v>
          </cell>
        </row>
        <row r="100">
          <cell r="C100">
            <v>1107404</v>
          </cell>
          <cell r="D100" t="str">
            <v>COLEGIO ESTADUAL SAO JOSE</v>
          </cell>
          <cell r="E100">
            <v>11503</v>
          </cell>
          <cell r="F100">
            <v>34509</v>
          </cell>
          <cell r="G100">
            <v>11503</v>
          </cell>
          <cell r="H100">
            <v>80521</v>
          </cell>
        </row>
        <row r="101">
          <cell r="C101">
            <v>1107420</v>
          </cell>
          <cell r="D101" t="str">
            <v>COLEGIO ESTADUAL JOSE ANTONIO DE ALMEIDA - TEMPO INTEGRAL</v>
          </cell>
          <cell r="E101">
            <v>7577</v>
          </cell>
          <cell r="F101">
            <v>22731</v>
          </cell>
          <cell r="G101">
            <v>7577</v>
          </cell>
          <cell r="H101">
            <v>53039</v>
          </cell>
        </row>
        <row r="102">
          <cell r="C102">
            <v>1107455</v>
          </cell>
          <cell r="D102" t="str">
            <v>COLÉGIO ESTADUAL DE TEMPO INTEGRAL PROFESSORA EDITE FERREIRA FONSECA</v>
          </cell>
          <cell r="E102">
            <v>11409</v>
          </cell>
          <cell r="F102">
            <v>34227</v>
          </cell>
          <cell r="G102">
            <v>11409</v>
          </cell>
          <cell r="H102">
            <v>79863</v>
          </cell>
        </row>
        <row r="103">
          <cell r="C103">
            <v>1107501</v>
          </cell>
          <cell r="D103" t="str">
            <v>COLEGIO ESTADUAL POLIVALENTE DE SANTO ESTEVAO - TEMPO INTEGRAL</v>
          </cell>
          <cell r="E103">
            <v>29834</v>
          </cell>
          <cell r="F103">
            <v>89502</v>
          </cell>
          <cell r="G103">
            <v>29834</v>
          </cell>
          <cell r="H103">
            <v>208838</v>
          </cell>
        </row>
        <row r="104">
          <cell r="C104">
            <v>1107536</v>
          </cell>
          <cell r="D104" t="str">
            <v>COLÉGIO POLIVALENTE DE SÃO GONÇALO DOS CAMPOS - TEMPO INTEGRAL</v>
          </cell>
          <cell r="E104">
            <v>19451</v>
          </cell>
          <cell r="F104">
            <v>58353</v>
          </cell>
          <cell r="G104">
            <v>19451</v>
          </cell>
          <cell r="H104">
            <v>136157</v>
          </cell>
        </row>
        <row r="105">
          <cell r="C105">
            <v>1107706</v>
          </cell>
          <cell r="D105" t="str">
            <v>COLÉGIO ESTADUAL NOVIS FILHO - TEMPO INTEGRAL</v>
          </cell>
          <cell r="E105">
            <v>7856</v>
          </cell>
          <cell r="F105">
            <v>23568</v>
          </cell>
          <cell r="G105">
            <v>7856</v>
          </cell>
          <cell r="H105">
            <v>54992</v>
          </cell>
        </row>
        <row r="106">
          <cell r="C106">
            <v>1142242</v>
          </cell>
          <cell r="D106" t="str">
            <v>COLEGIO ESTADUAL TEOTONIO VILELA - TEMPO INTEGRAL</v>
          </cell>
          <cell r="E106">
            <v>20979</v>
          </cell>
          <cell r="F106">
            <v>62937</v>
          </cell>
          <cell r="G106">
            <v>20979</v>
          </cell>
          <cell r="H106">
            <v>146853</v>
          </cell>
        </row>
        <row r="107">
          <cell r="C107">
            <v>1142994</v>
          </cell>
          <cell r="D107" t="str">
            <v>CENTRO DE ENSINO E CULTURA DOUTOR EDUARDO FRÓES DA MOTTA - TEMPO INTEGRAL</v>
          </cell>
          <cell r="E107">
            <v>5206</v>
          </cell>
          <cell r="F107">
            <v>15618</v>
          </cell>
          <cell r="G107">
            <v>5206</v>
          </cell>
          <cell r="H107">
            <v>36442</v>
          </cell>
        </row>
        <row r="108">
          <cell r="C108">
            <v>1160380</v>
          </cell>
          <cell r="D108" t="str">
            <v>COLEGIO ESTADUAL DE TEMPO INTEGRAL AUREO FILHO</v>
          </cell>
          <cell r="E108">
            <v>8246</v>
          </cell>
          <cell r="F108">
            <v>24738</v>
          </cell>
          <cell r="G108">
            <v>8246</v>
          </cell>
          <cell r="H108">
            <v>57722</v>
          </cell>
        </row>
        <row r="109">
          <cell r="C109">
            <v>1160607</v>
          </cell>
          <cell r="D109" t="str">
            <v>CENTRO EDUCACIONAL CENECISTA DO CAMPO CÔNEGO CUPERTINO DE LACERDA - DISTRITO BONFIM DE FEIRA</v>
          </cell>
          <cell r="E109">
            <v>5494</v>
          </cell>
          <cell r="F109">
            <v>16482</v>
          </cell>
          <cell r="G109">
            <v>5494</v>
          </cell>
          <cell r="H109">
            <v>38458</v>
          </cell>
        </row>
        <row r="110">
          <cell r="C110">
            <v>1163894</v>
          </cell>
          <cell r="D110" t="str">
            <v>CENTRO TERRITORIAL DE EDUCAÇÃO PROFISSIONAL DO PORTAL DO SERTÃO - DISTRITO DE MARIA QUITÉRIA</v>
          </cell>
          <cell r="E110">
            <v>7886</v>
          </cell>
          <cell r="F110">
            <v>23658</v>
          </cell>
          <cell r="G110">
            <v>7886</v>
          </cell>
          <cell r="H110">
            <v>55202</v>
          </cell>
        </row>
        <row r="111">
          <cell r="C111">
            <v>1176068</v>
          </cell>
          <cell r="D111" t="str">
            <v>COLÉGIO ESTADUAL LAZÁRO DOS SANTOS FERREIRA - TEMPO INTEGRAL</v>
          </cell>
          <cell r="E111">
            <v>11687</v>
          </cell>
          <cell r="F111">
            <v>35061</v>
          </cell>
          <cell r="G111">
            <v>11687</v>
          </cell>
          <cell r="H111">
            <v>81809</v>
          </cell>
        </row>
        <row r="112">
          <cell r="C112">
            <v>1176423</v>
          </cell>
          <cell r="D112" t="str">
            <v>COLEGIO MODELO LUIS EDUARDO MAGALHAES - TEMPO INTEGRAL</v>
          </cell>
          <cell r="E112">
            <v>29012</v>
          </cell>
          <cell r="F112">
            <v>87036</v>
          </cell>
          <cell r="G112">
            <v>29012</v>
          </cell>
          <cell r="H112">
            <v>203084</v>
          </cell>
        </row>
        <row r="113">
          <cell r="C113">
            <v>1176448</v>
          </cell>
          <cell r="D113" t="str">
            <v>COLÉGIO ESTADUAL HELENA ASSIS SUZART</v>
          </cell>
          <cell r="E113">
            <v>7577</v>
          </cell>
          <cell r="F113">
            <v>22731</v>
          </cell>
          <cell r="G113">
            <v>7577</v>
          </cell>
          <cell r="H113">
            <v>53039</v>
          </cell>
        </row>
        <row r="114">
          <cell r="C114">
            <v>1176449</v>
          </cell>
          <cell r="D114" t="str">
            <v>COLÉGIO ESTADUAL CARMEN ANDRADE LIMA</v>
          </cell>
          <cell r="E114">
            <v>15092</v>
          </cell>
          <cell r="F114">
            <v>45276</v>
          </cell>
          <cell r="G114">
            <v>15092</v>
          </cell>
          <cell r="H114">
            <v>105644</v>
          </cell>
        </row>
        <row r="115">
          <cell r="C115">
            <v>1178047</v>
          </cell>
          <cell r="D115" t="str">
            <v>COLÉGIO ESTADUAL TERRA NOVA</v>
          </cell>
          <cell r="E115">
            <v>9795</v>
          </cell>
          <cell r="F115">
            <v>29385</v>
          </cell>
          <cell r="G115">
            <v>9795</v>
          </cell>
          <cell r="H115">
            <v>68565</v>
          </cell>
        </row>
        <row r="116">
          <cell r="C116">
            <v>1178137</v>
          </cell>
          <cell r="D116" t="str">
            <v>COLÉGIO ESTADUAL DO CAMPO DE JAGUARA - DISTRITO DE JAGUARA</v>
          </cell>
          <cell r="E116">
            <v>2190</v>
          </cell>
          <cell r="F116">
            <v>6570</v>
          </cell>
          <cell r="G116">
            <v>2190</v>
          </cell>
          <cell r="H116">
            <v>15330</v>
          </cell>
        </row>
        <row r="117">
          <cell r="C117">
            <v>1178202</v>
          </cell>
          <cell r="D117" t="str">
            <v>COLÉGIO ESTADUAL ASSIS VALENTE</v>
          </cell>
          <cell r="E117">
            <v>4396</v>
          </cell>
          <cell r="F117">
            <v>13188</v>
          </cell>
          <cell r="G117">
            <v>4396</v>
          </cell>
          <cell r="H117">
            <v>30772</v>
          </cell>
        </row>
        <row r="118">
          <cell r="C118">
            <v>1178219</v>
          </cell>
          <cell r="D118" t="str">
            <v>COLÉGIO ESTADUAL DOUTOR JAIR SANTOS SILVA - TEMPO INTEGRAL</v>
          </cell>
          <cell r="E118">
            <v>7515</v>
          </cell>
          <cell r="F118">
            <v>22545</v>
          </cell>
          <cell r="G118">
            <v>7515</v>
          </cell>
          <cell r="H118">
            <v>52605</v>
          </cell>
        </row>
        <row r="119">
          <cell r="C119">
            <v>1179770</v>
          </cell>
          <cell r="D119" t="str">
            <v>COLÉGIO ESTADUAL DE TEMPO INTEGRAL GEORGINA DE MELO ERISMANN</v>
          </cell>
          <cell r="E119">
            <v>4696</v>
          </cell>
          <cell r="F119">
            <v>14088</v>
          </cell>
          <cell r="G119">
            <v>4696</v>
          </cell>
          <cell r="H119">
            <v>32872</v>
          </cell>
        </row>
        <row r="120">
          <cell r="C120">
            <v>1100159</v>
          </cell>
          <cell r="D120" t="str">
            <v>COLEGIO ESTADUAL ALBERTO SILVA</v>
          </cell>
          <cell r="E120">
            <v>21036</v>
          </cell>
          <cell r="F120">
            <v>63108</v>
          </cell>
          <cell r="G120">
            <v>21036</v>
          </cell>
          <cell r="H120">
            <v>147252</v>
          </cell>
        </row>
        <row r="121">
          <cell r="C121">
            <v>1100167</v>
          </cell>
          <cell r="D121" t="str">
            <v>COLEGIO ESTADUAL ABILIO CESAR BORGES - TEMPO INTEGRAL</v>
          </cell>
          <cell r="E121">
            <v>7104</v>
          </cell>
          <cell r="F121">
            <v>21312</v>
          </cell>
          <cell r="G121">
            <v>7104</v>
          </cell>
          <cell r="H121">
            <v>49728</v>
          </cell>
        </row>
        <row r="122">
          <cell r="C122">
            <v>1100221</v>
          </cell>
          <cell r="D122" t="str">
            <v>COLEGIO ESTADUAL ALBERTO VALENCA - TEMPO INTEGRAL</v>
          </cell>
          <cell r="E122">
            <v>11067</v>
          </cell>
          <cell r="F122">
            <v>33201</v>
          </cell>
          <cell r="G122">
            <v>11067</v>
          </cell>
          <cell r="H122">
            <v>77469</v>
          </cell>
        </row>
        <row r="123">
          <cell r="C123">
            <v>1100256</v>
          </cell>
          <cell r="D123" t="str">
            <v>COLEGIO ESTADUAL ALFREDO AGOSTINHO DE DEUS</v>
          </cell>
          <cell r="E123">
            <v>28509</v>
          </cell>
          <cell r="F123">
            <v>85527</v>
          </cell>
          <cell r="G123">
            <v>28509</v>
          </cell>
          <cell r="H123">
            <v>199563</v>
          </cell>
        </row>
        <row r="124">
          <cell r="C124">
            <v>1100337</v>
          </cell>
          <cell r="D124" t="str">
            <v>COLEGIO ESTADUAL DOUTOR AILTON PINTO DE ANDRADE</v>
          </cell>
          <cell r="E124">
            <v>10472</v>
          </cell>
          <cell r="F124">
            <v>31416</v>
          </cell>
          <cell r="G124">
            <v>10472</v>
          </cell>
          <cell r="H124">
            <v>73304</v>
          </cell>
        </row>
        <row r="125">
          <cell r="C125">
            <v>1100345</v>
          </cell>
          <cell r="D125" t="str">
            <v>COLEGIO ESTADUAL DA BAHIA CENTRAL</v>
          </cell>
          <cell r="E125">
            <v>17982</v>
          </cell>
          <cell r="F125">
            <v>53946</v>
          </cell>
          <cell r="G125">
            <v>17982</v>
          </cell>
          <cell r="H125">
            <v>125874</v>
          </cell>
        </row>
        <row r="126">
          <cell r="C126">
            <v>1100370</v>
          </cell>
          <cell r="D126" t="str">
            <v>COLEGIO ESTADUAL BARROS BARRETO - TEMPO INTEGRAL</v>
          </cell>
          <cell r="E126">
            <v>18478</v>
          </cell>
          <cell r="F126">
            <v>55434</v>
          </cell>
          <cell r="G126">
            <v>18478</v>
          </cell>
          <cell r="H126">
            <v>129346</v>
          </cell>
        </row>
        <row r="127">
          <cell r="C127">
            <v>1100388</v>
          </cell>
          <cell r="D127" t="str">
            <v>COLEGIO ESTADUAL ASSIS CHATEAUBRIAND</v>
          </cell>
          <cell r="E127">
            <v>14080</v>
          </cell>
          <cell r="F127">
            <v>42240</v>
          </cell>
          <cell r="G127">
            <v>14080</v>
          </cell>
          <cell r="H127">
            <v>98560</v>
          </cell>
        </row>
        <row r="128">
          <cell r="C128">
            <v>1100400</v>
          </cell>
          <cell r="D128" t="str">
            <v>COLEGIO ESTADUAL ALMIRANTE BARROSO</v>
          </cell>
          <cell r="E128">
            <v>37959</v>
          </cell>
          <cell r="F128">
            <v>113877</v>
          </cell>
          <cell r="G128">
            <v>37959</v>
          </cell>
          <cell r="H128">
            <v>265713</v>
          </cell>
        </row>
        <row r="129">
          <cell r="C129">
            <v>1100418</v>
          </cell>
          <cell r="D129" t="str">
            <v>COLÉGIO ESTADUAL ALFREDO MAGALHÃES - TEMPO INTEGRAL</v>
          </cell>
          <cell r="E129">
            <v>3500</v>
          </cell>
          <cell r="F129">
            <v>10500</v>
          </cell>
          <cell r="G129">
            <v>3500</v>
          </cell>
          <cell r="H129">
            <v>24500</v>
          </cell>
        </row>
        <row r="130">
          <cell r="C130">
            <v>1100426</v>
          </cell>
          <cell r="D130" t="str">
            <v>COLEGIO ESTADUAL MINISTRO ALIOMAR BALEEIRO</v>
          </cell>
          <cell r="E130">
            <v>18141</v>
          </cell>
          <cell r="F130">
            <v>54423</v>
          </cell>
          <cell r="G130">
            <v>18141</v>
          </cell>
          <cell r="H130">
            <v>126987</v>
          </cell>
        </row>
        <row r="131">
          <cell r="C131">
            <v>1100434</v>
          </cell>
          <cell r="D131" t="str">
            <v>COLEGIO ESTADUAL ALIPIO FRANCA</v>
          </cell>
          <cell r="E131">
            <v>18780</v>
          </cell>
          <cell r="F131">
            <v>56340</v>
          </cell>
          <cell r="G131">
            <v>18780</v>
          </cell>
          <cell r="H131">
            <v>131460</v>
          </cell>
        </row>
        <row r="132">
          <cell r="C132">
            <v>1100477</v>
          </cell>
          <cell r="D132" t="str">
            <v>COLEGIO ESTADUAL AMERICO SIMAS</v>
          </cell>
          <cell r="E132">
            <v>23678</v>
          </cell>
          <cell r="F132">
            <v>71034</v>
          </cell>
          <cell r="G132">
            <v>23678</v>
          </cell>
          <cell r="H132">
            <v>165746</v>
          </cell>
        </row>
        <row r="133">
          <cell r="C133">
            <v>1100485</v>
          </cell>
          <cell r="D133" t="str">
            <v>COLÉGIO ESTADUAL ANA BERNARDES</v>
          </cell>
          <cell r="E133">
            <v>20135</v>
          </cell>
          <cell r="F133">
            <v>60405</v>
          </cell>
          <cell r="G133">
            <v>20135</v>
          </cell>
          <cell r="H133">
            <v>140945</v>
          </cell>
        </row>
        <row r="134">
          <cell r="C134">
            <v>1100493</v>
          </cell>
          <cell r="D134" t="str">
            <v>COLÉGIO ESTADUAL DANIEL LISBOA</v>
          </cell>
          <cell r="E134">
            <v>11203</v>
          </cell>
          <cell r="F134">
            <v>33609</v>
          </cell>
          <cell r="G134">
            <v>11203</v>
          </cell>
          <cell r="H134">
            <v>78421</v>
          </cell>
        </row>
        <row r="135">
          <cell r="C135">
            <v>1100523</v>
          </cell>
          <cell r="D135" t="str">
            <v>COLÉGIO ESTADUAL DANTAS JUNIOR</v>
          </cell>
          <cell r="E135">
            <v>7313</v>
          </cell>
          <cell r="F135">
            <v>21939</v>
          </cell>
          <cell r="G135">
            <v>7313</v>
          </cell>
          <cell r="H135">
            <v>51191</v>
          </cell>
        </row>
        <row r="136">
          <cell r="C136">
            <v>1100540</v>
          </cell>
          <cell r="D136" t="str">
            <v>COLEGIO ESTADUAL ANFRISIA SANTIAGO - TEMPO INTEGRAL</v>
          </cell>
          <cell r="E136">
            <v>10917</v>
          </cell>
          <cell r="F136">
            <v>32751</v>
          </cell>
          <cell r="G136">
            <v>10917</v>
          </cell>
          <cell r="H136">
            <v>76419</v>
          </cell>
        </row>
        <row r="137">
          <cell r="C137">
            <v>1100558</v>
          </cell>
          <cell r="D137" t="str">
            <v>COLÉGIO ESTADUAL PROFESSOR DORIVAL PASSOS - TEMPO INTEGRAL</v>
          </cell>
          <cell r="E137">
            <v>2098</v>
          </cell>
          <cell r="F137">
            <v>6294</v>
          </cell>
          <cell r="G137">
            <v>2098</v>
          </cell>
          <cell r="H137">
            <v>14686</v>
          </cell>
        </row>
        <row r="138">
          <cell r="C138">
            <v>1100612</v>
          </cell>
          <cell r="D138" t="str">
            <v>COLÉGIO ESTADUAL ANTONIO CARLOS MAGALHÃES</v>
          </cell>
          <cell r="E138">
            <v>14702</v>
          </cell>
          <cell r="F138">
            <v>44106</v>
          </cell>
          <cell r="G138">
            <v>14702</v>
          </cell>
          <cell r="H138">
            <v>102914</v>
          </cell>
        </row>
        <row r="139">
          <cell r="C139">
            <v>1100655</v>
          </cell>
          <cell r="D139" t="str">
            <v>COLEGIO ESTADUAL DE ARATU</v>
          </cell>
          <cell r="E139">
            <v>15257</v>
          </cell>
          <cell r="F139">
            <v>45771</v>
          </cell>
          <cell r="G139">
            <v>15257</v>
          </cell>
          <cell r="H139">
            <v>106799</v>
          </cell>
        </row>
        <row r="140">
          <cell r="C140">
            <v>1100701</v>
          </cell>
          <cell r="D140" t="str">
            <v>COLEGIO ESTADUAL NORMA RIBEIRO - TEMPO INTEGRAL</v>
          </cell>
          <cell r="E140">
            <v>2672</v>
          </cell>
          <cell r="F140">
            <v>8016</v>
          </cell>
          <cell r="G140">
            <v>2672</v>
          </cell>
          <cell r="H140">
            <v>18704</v>
          </cell>
        </row>
        <row r="141">
          <cell r="C141">
            <v>1100736</v>
          </cell>
          <cell r="D141" t="str">
            <v>CENTRO ESTADUAL DE EDUCAÇÃO PROFISSIONAL EM SAÚDE ANÍSIO TEIXEIRA</v>
          </cell>
          <cell r="E141">
            <v>22129</v>
          </cell>
          <cell r="F141">
            <v>66387</v>
          </cell>
          <cell r="G141">
            <v>22129</v>
          </cell>
          <cell r="H141">
            <v>154903</v>
          </cell>
        </row>
        <row r="142">
          <cell r="C142">
            <v>1100809</v>
          </cell>
          <cell r="D142" t="str">
            <v>COLEGIO ESTADUAL BARTOLOMEU DE GUSMAO - TEMPO INTEGRAL</v>
          </cell>
          <cell r="E142">
            <v>20859</v>
          </cell>
          <cell r="F142">
            <v>62577</v>
          </cell>
          <cell r="G142">
            <v>20859</v>
          </cell>
          <cell r="H142">
            <v>146013</v>
          </cell>
        </row>
        <row r="143">
          <cell r="C143">
            <v>1100817</v>
          </cell>
          <cell r="D143" t="str">
            <v>COLÉGIO ESTADUAL GENERAL DIONISIO CERQUEIRA - TEMPO INTEGRAL</v>
          </cell>
          <cell r="E143">
            <v>3599</v>
          </cell>
          <cell r="F143">
            <v>10797</v>
          </cell>
          <cell r="G143">
            <v>3599</v>
          </cell>
          <cell r="H143">
            <v>25193</v>
          </cell>
        </row>
        <row r="144">
          <cell r="C144">
            <v>1100833</v>
          </cell>
          <cell r="D144" t="str">
            <v>COLEGIO ESTADUAL PROFESSOR EDSON CARNEIRO</v>
          </cell>
          <cell r="E144">
            <v>19163</v>
          </cell>
          <cell r="F144">
            <v>57489</v>
          </cell>
          <cell r="G144">
            <v>19163</v>
          </cell>
          <cell r="H144">
            <v>134141</v>
          </cell>
        </row>
        <row r="145">
          <cell r="C145">
            <v>1100868</v>
          </cell>
          <cell r="D145" t="str">
            <v>ESCOLA ESTADUAL DOM AVELAR BRANDÃO VILELA</v>
          </cell>
          <cell r="E145">
            <v>8970</v>
          </cell>
          <cell r="F145">
            <v>26910</v>
          </cell>
          <cell r="G145">
            <v>8970</v>
          </cell>
          <cell r="H145">
            <v>62790</v>
          </cell>
        </row>
        <row r="146">
          <cell r="C146">
            <v>1100884</v>
          </cell>
          <cell r="D146" t="str">
            <v>COLEGIO ESTADUAL PROFESSORA LEILA RUBENS FONSECA</v>
          </cell>
          <cell r="E146">
            <v>5260</v>
          </cell>
          <cell r="F146">
            <v>15780</v>
          </cell>
          <cell r="G146">
            <v>5260</v>
          </cell>
          <cell r="H146">
            <v>36820</v>
          </cell>
        </row>
        <row r="147">
          <cell r="C147">
            <v>1100914</v>
          </cell>
          <cell r="D147" t="str">
            <v>COLEGIO ESTADUAL EDSON TENORIO DE ALBUQUERQUE</v>
          </cell>
          <cell r="E147">
            <v>20960</v>
          </cell>
          <cell r="F147">
            <v>62880</v>
          </cell>
          <cell r="G147">
            <v>20960</v>
          </cell>
          <cell r="H147">
            <v>146720</v>
          </cell>
        </row>
        <row r="148">
          <cell r="C148">
            <v>1100930</v>
          </cell>
          <cell r="D148" t="str">
            <v>COLEGIO ESTADUAL DOUTOR BERLINDO MAMEDE DE OLIVEIRA</v>
          </cell>
          <cell r="E148">
            <v>6944</v>
          </cell>
          <cell r="F148">
            <v>20832</v>
          </cell>
          <cell r="G148">
            <v>6944</v>
          </cell>
          <cell r="H148">
            <v>48608</v>
          </cell>
        </row>
        <row r="149">
          <cell r="C149">
            <v>1100949</v>
          </cell>
          <cell r="D149" t="str">
            <v>COLÉGIO ESTADUAL DOIS DE JULHO</v>
          </cell>
          <cell r="E149">
            <v>19089</v>
          </cell>
          <cell r="F149">
            <v>57267</v>
          </cell>
          <cell r="G149">
            <v>19089</v>
          </cell>
          <cell r="H149">
            <v>133623</v>
          </cell>
        </row>
        <row r="150">
          <cell r="C150">
            <v>1100957</v>
          </cell>
          <cell r="D150" t="str">
            <v>COLEGIO ESTADUAL EDIVALDO BOAVENTURA</v>
          </cell>
          <cell r="E150">
            <v>7801</v>
          </cell>
          <cell r="F150">
            <v>23403</v>
          </cell>
          <cell r="G150">
            <v>7801</v>
          </cell>
          <cell r="H150">
            <v>54607</v>
          </cell>
        </row>
        <row r="151">
          <cell r="C151">
            <v>1100973</v>
          </cell>
          <cell r="D151" t="str">
            <v>COLÉGIO ESTADUAL DE TEMPO INTEGRAL ZUMBI DOS PALMARES</v>
          </cell>
          <cell r="E151">
            <v>18381</v>
          </cell>
          <cell r="F151">
            <v>55143</v>
          </cell>
          <cell r="G151">
            <v>18381</v>
          </cell>
          <cell r="H151">
            <v>128667</v>
          </cell>
        </row>
        <row r="152">
          <cell r="C152">
            <v>1100981</v>
          </cell>
          <cell r="D152" t="str">
            <v>COLÉGIO ESTADUAL DEMOCRATICO BERTHOLDO CIRILO DOS REIS</v>
          </cell>
          <cell r="E152">
            <v>24049</v>
          </cell>
          <cell r="F152">
            <v>72147</v>
          </cell>
          <cell r="G152">
            <v>24049</v>
          </cell>
          <cell r="H152">
            <v>168343</v>
          </cell>
        </row>
        <row r="153">
          <cell r="C153">
            <v>1101031</v>
          </cell>
          <cell r="D153" t="str">
            <v>COLEGIO ESTADUAL AZEVEDO FERNANDES</v>
          </cell>
          <cell r="E153">
            <v>9083</v>
          </cell>
          <cell r="F153">
            <v>27249</v>
          </cell>
          <cell r="G153">
            <v>9083</v>
          </cell>
          <cell r="H153">
            <v>63581</v>
          </cell>
        </row>
        <row r="154">
          <cell r="C154">
            <v>1101074</v>
          </cell>
          <cell r="D154" t="str">
            <v>COLÉGIO ESTADUAL BRIGADEIRO EDUARDO GOMES</v>
          </cell>
          <cell r="E154">
            <v>15154</v>
          </cell>
          <cell r="F154">
            <v>45462</v>
          </cell>
          <cell r="G154">
            <v>15154</v>
          </cell>
          <cell r="H154">
            <v>106078</v>
          </cell>
        </row>
        <row r="155">
          <cell r="C155">
            <v>1101090</v>
          </cell>
          <cell r="D155" t="str">
            <v>ESCOLA PROFESSORA CANDOLINA - CLASSE VII - TEMPO INTEGRAL</v>
          </cell>
          <cell r="E155">
            <v>5206</v>
          </cell>
          <cell r="F155">
            <v>15618</v>
          </cell>
          <cell r="G155">
            <v>5206</v>
          </cell>
          <cell r="H155">
            <v>36442</v>
          </cell>
        </row>
        <row r="156">
          <cell r="C156">
            <v>1101120</v>
          </cell>
          <cell r="D156" t="str">
            <v>COLEGIO ESTADUAL PROFESSORA ELISABETH CHAVES VELOSO</v>
          </cell>
          <cell r="E156">
            <v>14061</v>
          </cell>
          <cell r="F156">
            <v>42183</v>
          </cell>
          <cell r="G156">
            <v>14061</v>
          </cell>
          <cell r="H156">
            <v>98427</v>
          </cell>
        </row>
        <row r="157">
          <cell r="C157">
            <v>1101147</v>
          </cell>
          <cell r="D157" t="str">
            <v>COLÉGIO ESTADUAL ANTONIO BALBINO - TEMPO INTEGRAL</v>
          </cell>
          <cell r="E157">
            <v>16593</v>
          </cell>
          <cell r="F157">
            <v>49779</v>
          </cell>
          <cell r="G157">
            <v>16593</v>
          </cell>
          <cell r="H157">
            <v>116151</v>
          </cell>
        </row>
        <row r="158">
          <cell r="C158">
            <v>1101163</v>
          </cell>
          <cell r="D158" t="str">
            <v>CENTRO EDUCACIONAL EDGAR SANTOS - TEMPO INTEGRAL</v>
          </cell>
          <cell r="E158">
            <v>17494</v>
          </cell>
          <cell r="F158">
            <v>52482</v>
          </cell>
          <cell r="G158">
            <v>17494</v>
          </cell>
          <cell r="H158">
            <v>122458</v>
          </cell>
        </row>
        <row r="159">
          <cell r="C159">
            <v>1101309</v>
          </cell>
          <cell r="D159" t="str">
            <v>CENTRO EDUCACIONAL CARNEIRO RIBEIRO - CLASSE I</v>
          </cell>
          <cell r="E159">
            <v>10917</v>
          </cell>
          <cell r="F159">
            <v>32751</v>
          </cell>
          <cell r="G159">
            <v>10917</v>
          </cell>
          <cell r="H159">
            <v>76419</v>
          </cell>
        </row>
        <row r="160">
          <cell r="C160">
            <v>1101333</v>
          </cell>
          <cell r="D160" t="str">
            <v>COLÉGIO ESTADUAL LEDA JESUÍNO DOS SANTOS - TEMPO INTEGRAL</v>
          </cell>
          <cell r="E160">
            <v>3665</v>
          </cell>
          <cell r="F160">
            <v>10995</v>
          </cell>
          <cell r="G160">
            <v>3665</v>
          </cell>
          <cell r="H160">
            <v>25655</v>
          </cell>
        </row>
        <row r="161">
          <cell r="C161">
            <v>1101368</v>
          </cell>
          <cell r="D161" t="str">
            <v>CENTRO EDUCACIONAL CARNEIRO RIBEIRO - CLASSE II</v>
          </cell>
          <cell r="E161">
            <v>8172</v>
          </cell>
          <cell r="F161">
            <v>24516</v>
          </cell>
          <cell r="G161">
            <v>8172</v>
          </cell>
          <cell r="H161">
            <v>57204</v>
          </cell>
        </row>
        <row r="162">
          <cell r="C162">
            <v>1101376</v>
          </cell>
          <cell r="D162" t="str">
            <v>COLEGIO ESTADUAL DO STIEP CARLOS MARIGHELLA - TEMPO INTEGRAL</v>
          </cell>
          <cell r="E162">
            <v>10369</v>
          </cell>
          <cell r="F162">
            <v>31107</v>
          </cell>
          <cell r="G162">
            <v>10369</v>
          </cell>
          <cell r="H162">
            <v>72583</v>
          </cell>
        </row>
        <row r="163">
          <cell r="C163">
            <v>1101430</v>
          </cell>
          <cell r="D163" t="str">
            <v>CENTRO EDUCACIONAL CARNEIRO RIBEIRO - CLASSE III</v>
          </cell>
          <cell r="E163">
            <v>12586</v>
          </cell>
          <cell r="F163">
            <v>37758</v>
          </cell>
          <cell r="G163">
            <v>12586</v>
          </cell>
          <cell r="H163">
            <v>88102</v>
          </cell>
        </row>
        <row r="164">
          <cell r="C164">
            <v>1101449</v>
          </cell>
          <cell r="D164" t="str">
            <v>COLÉGIO ESTADUAL ERALDO TINOCO</v>
          </cell>
          <cell r="E164">
            <v>22853</v>
          </cell>
          <cell r="F164">
            <v>68559</v>
          </cell>
          <cell r="G164">
            <v>22853</v>
          </cell>
          <cell r="H164">
            <v>159971</v>
          </cell>
        </row>
        <row r="165">
          <cell r="C165">
            <v>1101490</v>
          </cell>
          <cell r="D165" t="str">
            <v>CENTRO EDUCACIONAL CARNEIRO RIBEIRO - CLASSE IV</v>
          </cell>
          <cell r="E165">
            <v>13559</v>
          </cell>
          <cell r="F165">
            <v>40677</v>
          </cell>
          <cell r="G165">
            <v>13559</v>
          </cell>
          <cell r="H165">
            <v>94913</v>
          </cell>
        </row>
        <row r="166">
          <cell r="C166">
            <v>1101520</v>
          </cell>
          <cell r="D166" t="str">
            <v>COLÉGIO ESTADUAL SANTA RITA DE CASSIA</v>
          </cell>
          <cell r="E166">
            <v>14432</v>
          </cell>
          <cell r="F166">
            <v>43296</v>
          </cell>
          <cell r="G166">
            <v>14432</v>
          </cell>
          <cell r="H166">
            <v>101024</v>
          </cell>
        </row>
        <row r="167">
          <cell r="C167">
            <v>1101546</v>
          </cell>
          <cell r="D167" t="str">
            <v>ESCOLA ESTADUAL CASTRO ALVES</v>
          </cell>
          <cell r="E167">
            <v>7187</v>
          </cell>
          <cell r="F167">
            <v>21561</v>
          </cell>
          <cell r="G167">
            <v>7187</v>
          </cell>
          <cell r="H167">
            <v>50309</v>
          </cell>
        </row>
        <row r="168">
          <cell r="C168">
            <v>1101619</v>
          </cell>
          <cell r="D168" t="str">
            <v>COLEGIO ESTADUAL PROFESSORA GEORGINA RAMOS DA SILVA</v>
          </cell>
          <cell r="E168">
            <v>7457</v>
          </cell>
          <cell r="F168">
            <v>22371</v>
          </cell>
          <cell r="G168">
            <v>7457</v>
          </cell>
          <cell r="H168">
            <v>52199</v>
          </cell>
        </row>
        <row r="169">
          <cell r="C169">
            <v>1101651</v>
          </cell>
          <cell r="D169" t="str">
            <v>COLEGIO ESTADUAL ALBERTO SANTOS DUMONT</v>
          </cell>
          <cell r="E169">
            <v>13506</v>
          </cell>
          <cell r="F169">
            <v>40518</v>
          </cell>
          <cell r="G169">
            <v>13506</v>
          </cell>
          <cell r="H169">
            <v>94542</v>
          </cell>
        </row>
        <row r="170">
          <cell r="C170">
            <v>1101759</v>
          </cell>
          <cell r="D170" t="str">
            <v>ESCOLA ESTADUAL PIERRE VERGER</v>
          </cell>
          <cell r="E170">
            <v>8450</v>
          </cell>
          <cell r="F170">
            <v>25350</v>
          </cell>
          <cell r="G170">
            <v>8450</v>
          </cell>
          <cell r="H170">
            <v>59150</v>
          </cell>
        </row>
        <row r="171">
          <cell r="C171">
            <v>1101791</v>
          </cell>
          <cell r="D171" t="str">
            <v>ESCOLA DONA JENNY GOMES</v>
          </cell>
          <cell r="E171">
            <v>9172</v>
          </cell>
          <cell r="F171">
            <v>27516</v>
          </cell>
          <cell r="G171">
            <v>9172</v>
          </cell>
          <cell r="H171">
            <v>64204</v>
          </cell>
        </row>
        <row r="172">
          <cell r="C172">
            <v>1101856</v>
          </cell>
          <cell r="D172" t="str">
            <v>COLÉGIO ESTADUAL DUQUE DE CAXIAS</v>
          </cell>
          <cell r="E172">
            <v>44887</v>
          </cell>
          <cell r="F172">
            <v>134661</v>
          </cell>
          <cell r="G172">
            <v>44887</v>
          </cell>
          <cell r="H172">
            <v>314209</v>
          </cell>
        </row>
        <row r="173">
          <cell r="C173">
            <v>1101872</v>
          </cell>
          <cell r="D173" t="str">
            <v>COLÉGIO ESTADUAL GOES CALMON</v>
          </cell>
          <cell r="E173">
            <v>12242</v>
          </cell>
          <cell r="F173">
            <v>36726</v>
          </cell>
          <cell r="G173">
            <v>12242</v>
          </cell>
          <cell r="H173">
            <v>85694</v>
          </cell>
        </row>
        <row r="174">
          <cell r="C174">
            <v>1101899</v>
          </cell>
          <cell r="D174" t="str">
            <v>COLEGIO ESTADUAL GOVERNADOR LOMANTO JUNIOR - TEMPO INTEGRAL</v>
          </cell>
          <cell r="E174">
            <v>8571</v>
          </cell>
          <cell r="F174">
            <v>25713</v>
          </cell>
          <cell r="G174">
            <v>8571</v>
          </cell>
          <cell r="H174">
            <v>59997</v>
          </cell>
        </row>
        <row r="175">
          <cell r="C175">
            <v>1101937</v>
          </cell>
          <cell r="D175" t="str">
            <v>COLEGIO ESTADUAL CESARE CASALI - TEMPO INTEGRAL</v>
          </cell>
          <cell r="E175">
            <v>6531</v>
          </cell>
          <cell r="F175">
            <v>19593</v>
          </cell>
          <cell r="G175">
            <v>6531</v>
          </cell>
          <cell r="H175">
            <v>45717</v>
          </cell>
        </row>
        <row r="176">
          <cell r="C176">
            <v>1101953</v>
          </cell>
          <cell r="D176" t="str">
            <v>COLEGIO ESTADUAL JOAO CARIBE</v>
          </cell>
          <cell r="E176">
            <v>9368</v>
          </cell>
          <cell r="F176">
            <v>28104</v>
          </cell>
          <cell r="G176">
            <v>9368</v>
          </cell>
          <cell r="H176">
            <v>65576</v>
          </cell>
        </row>
        <row r="177">
          <cell r="C177">
            <v>1101961</v>
          </cell>
          <cell r="D177" t="str">
            <v>COLEGIO ESTADUAL GONCALO MUNIZ</v>
          </cell>
          <cell r="E177">
            <v>14200</v>
          </cell>
          <cell r="F177">
            <v>42600</v>
          </cell>
          <cell r="G177">
            <v>14200</v>
          </cell>
          <cell r="H177">
            <v>99400</v>
          </cell>
        </row>
        <row r="178">
          <cell r="C178">
            <v>1101988</v>
          </cell>
          <cell r="D178" t="str">
            <v>COLÉGIO ESTADUAL JOÃO DAS BOTAS</v>
          </cell>
          <cell r="E178">
            <v>9083</v>
          </cell>
          <cell r="F178">
            <v>27249</v>
          </cell>
          <cell r="G178">
            <v>9083</v>
          </cell>
          <cell r="H178">
            <v>63581</v>
          </cell>
        </row>
        <row r="179">
          <cell r="C179">
            <v>1102011</v>
          </cell>
          <cell r="D179" t="str">
            <v>COLÉGIO ESTADUAL CIDADE DE CURITIBA</v>
          </cell>
          <cell r="E179">
            <v>11985</v>
          </cell>
          <cell r="F179">
            <v>35955</v>
          </cell>
          <cell r="G179">
            <v>11985</v>
          </cell>
          <cell r="H179">
            <v>83895</v>
          </cell>
        </row>
        <row r="180">
          <cell r="C180">
            <v>1102046</v>
          </cell>
          <cell r="D180" t="str">
            <v>COLÉGIO DA POLÍCIA MILITAR - CPM JOÃO FLORÊNCIO GOMES</v>
          </cell>
          <cell r="E180">
            <v>12362</v>
          </cell>
          <cell r="F180">
            <v>37086</v>
          </cell>
          <cell r="G180">
            <v>12362</v>
          </cell>
          <cell r="H180">
            <v>86534</v>
          </cell>
        </row>
        <row r="181">
          <cell r="C181">
            <v>1102097</v>
          </cell>
          <cell r="D181" t="str">
            <v>COLÉGIO ESTADUAL COSME DE FARIAS</v>
          </cell>
          <cell r="E181">
            <v>20979</v>
          </cell>
          <cell r="F181">
            <v>62937</v>
          </cell>
          <cell r="G181">
            <v>20979</v>
          </cell>
          <cell r="H181">
            <v>146853</v>
          </cell>
        </row>
        <row r="182">
          <cell r="C182">
            <v>1102151</v>
          </cell>
          <cell r="D182" t="str">
            <v>COLÉGIO ESTADUAL CLERISTON ANDRADE</v>
          </cell>
          <cell r="E182">
            <v>26656</v>
          </cell>
          <cell r="F182">
            <v>79968</v>
          </cell>
          <cell r="G182">
            <v>26656</v>
          </cell>
          <cell r="H182">
            <v>186592</v>
          </cell>
        </row>
        <row r="183">
          <cell r="C183">
            <v>1102160</v>
          </cell>
          <cell r="D183" t="str">
            <v>COLÉGIO ESTADUAL DOUTOR JOÃO PEDRO DOS SANTOS</v>
          </cell>
          <cell r="E183">
            <v>15175</v>
          </cell>
          <cell r="F183">
            <v>45525</v>
          </cell>
          <cell r="G183">
            <v>15175</v>
          </cell>
          <cell r="H183">
            <v>106225</v>
          </cell>
        </row>
        <row r="184">
          <cell r="C184">
            <v>1102186</v>
          </cell>
          <cell r="D184" t="str">
            <v>CENTRO EST. DE ED PROFISSIONAL EM SAÚDE E TECNOLOGIA DA INFORMAÇÃO CARLOS CORREA DE MENEZES SANTANA</v>
          </cell>
          <cell r="E184">
            <v>13634</v>
          </cell>
          <cell r="F184">
            <v>40902</v>
          </cell>
          <cell r="G184">
            <v>13634</v>
          </cell>
          <cell r="H184">
            <v>95438</v>
          </cell>
        </row>
        <row r="185">
          <cell r="C185">
            <v>1102216</v>
          </cell>
          <cell r="D185" t="str">
            <v>COLÉGIO ESTADUAL PROFESSOR CARLOS SANT ANNA - TEMPO INTEGRAL</v>
          </cell>
          <cell r="E185">
            <v>5085</v>
          </cell>
          <cell r="F185">
            <v>15255</v>
          </cell>
          <cell r="G185">
            <v>5085</v>
          </cell>
          <cell r="H185">
            <v>35595</v>
          </cell>
        </row>
        <row r="186">
          <cell r="C186">
            <v>1102232</v>
          </cell>
          <cell r="D186" t="str">
            <v>COLÉGIO ESTADUAL PRESIDENTE COSTA E SILVA</v>
          </cell>
          <cell r="E186">
            <v>34242</v>
          </cell>
          <cell r="F186">
            <v>102726</v>
          </cell>
          <cell r="G186">
            <v>34242</v>
          </cell>
          <cell r="H186">
            <v>239694</v>
          </cell>
        </row>
        <row r="187">
          <cell r="C187">
            <v>1102259</v>
          </cell>
          <cell r="D187" t="str">
            <v>COLEGIO ESTADUAL JOSE DE FREITAS MASCARENHAS</v>
          </cell>
          <cell r="E187">
            <v>35151</v>
          </cell>
          <cell r="F187">
            <v>105453</v>
          </cell>
          <cell r="G187">
            <v>35151</v>
          </cell>
          <cell r="H187">
            <v>246057</v>
          </cell>
        </row>
        <row r="188">
          <cell r="C188">
            <v>1102348</v>
          </cell>
          <cell r="D188" t="str">
            <v>COLEGIO ESTADUAL PADRE JOSE VASCONCELOS</v>
          </cell>
          <cell r="E188">
            <v>14415</v>
          </cell>
          <cell r="F188">
            <v>43245</v>
          </cell>
          <cell r="G188">
            <v>14415</v>
          </cell>
          <cell r="H188">
            <v>100905</v>
          </cell>
        </row>
        <row r="189">
          <cell r="C189">
            <v>1102364</v>
          </cell>
          <cell r="D189" t="str">
            <v>COLÉGIO ESTADUAL JOSIAS DE ALMEIDA MELO</v>
          </cell>
          <cell r="E189">
            <v>8478</v>
          </cell>
          <cell r="F189">
            <v>25434</v>
          </cell>
          <cell r="G189">
            <v>8478</v>
          </cell>
          <cell r="H189">
            <v>59346</v>
          </cell>
        </row>
        <row r="190">
          <cell r="C190">
            <v>1102372</v>
          </cell>
          <cell r="D190" t="str">
            <v>COLEGIO ESTADUAL ARTUR DE SALES</v>
          </cell>
          <cell r="E190">
            <v>20663</v>
          </cell>
          <cell r="F190">
            <v>61989</v>
          </cell>
          <cell r="G190">
            <v>20663</v>
          </cell>
          <cell r="H190">
            <v>144641</v>
          </cell>
        </row>
        <row r="191">
          <cell r="C191">
            <v>1102402</v>
          </cell>
          <cell r="D191" t="str">
            <v>COLEGIO ESTADUAL DESEMBARGADOR JULIO VIRGINIO DE SANTANA - TEMPO INTEGRAL</v>
          </cell>
          <cell r="E191">
            <v>29531</v>
          </cell>
          <cell r="F191">
            <v>88593</v>
          </cell>
          <cell r="G191">
            <v>29531</v>
          </cell>
          <cell r="H191">
            <v>206717</v>
          </cell>
        </row>
        <row r="192">
          <cell r="C192">
            <v>1102410</v>
          </cell>
          <cell r="D192" t="str">
            <v>COLEGIO ESTADUAL JURACY MAGALHAES JUNIOR-DISTRITO DE CACHA PREGOS</v>
          </cell>
          <cell r="E192">
            <v>4184</v>
          </cell>
          <cell r="F192">
            <v>12552</v>
          </cell>
          <cell r="G192">
            <v>4184</v>
          </cell>
          <cell r="H192">
            <v>29288</v>
          </cell>
        </row>
        <row r="193">
          <cell r="C193">
            <v>1102445</v>
          </cell>
          <cell r="D193" t="str">
            <v>COLÉGIO ESTADUAL KLEBER PACHECO - TEMPO INTEGRAL</v>
          </cell>
          <cell r="E193">
            <v>15988</v>
          </cell>
          <cell r="F193">
            <v>47964</v>
          </cell>
          <cell r="G193">
            <v>15988</v>
          </cell>
          <cell r="H193">
            <v>111916</v>
          </cell>
        </row>
        <row r="194">
          <cell r="C194">
            <v>1102453</v>
          </cell>
          <cell r="D194" t="str">
            <v>COLEGIO ESTADUAL DEMOCRATICO JUTAHY MAGALHAES</v>
          </cell>
          <cell r="E194">
            <v>14831</v>
          </cell>
          <cell r="F194">
            <v>44493</v>
          </cell>
          <cell r="G194">
            <v>14831</v>
          </cell>
          <cell r="H194">
            <v>103817</v>
          </cell>
        </row>
        <row r="195">
          <cell r="C195">
            <v>1102470</v>
          </cell>
          <cell r="D195" t="str">
            <v>COLÉGIO ESTADUAL DE TEMPO INTEGRAL DE PORTAO</v>
          </cell>
          <cell r="E195">
            <v>15973</v>
          </cell>
          <cell r="F195">
            <v>47919</v>
          </cell>
          <cell r="G195">
            <v>15973</v>
          </cell>
          <cell r="H195">
            <v>111811</v>
          </cell>
        </row>
        <row r="196">
          <cell r="C196">
            <v>1102534</v>
          </cell>
          <cell r="D196" t="str">
            <v>COLEGIO ESTADUAL DEPUTADO LUIS EDUARDO MAGALHAES</v>
          </cell>
          <cell r="E196">
            <v>19068</v>
          </cell>
          <cell r="F196">
            <v>57204</v>
          </cell>
          <cell r="G196">
            <v>19068</v>
          </cell>
          <cell r="H196">
            <v>133476</v>
          </cell>
        </row>
        <row r="197">
          <cell r="C197">
            <v>1102542</v>
          </cell>
          <cell r="D197" t="str">
            <v>COLÉGIO ESTADUAL LUÍS ROGÉRIO DE SOUZA</v>
          </cell>
          <cell r="E197">
            <v>7985</v>
          </cell>
          <cell r="F197">
            <v>23955</v>
          </cell>
          <cell r="G197">
            <v>7985</v>
          </cell>
          <cell r="H197">
            <v>55895</v>
          </cell>
        </row>
        <row r="198">
          <cell r="C198">
            <v>1102550</v>
          </cell>
          <cell r="D198" t="str">
            <v>CENTRO ESTADUAL DE EDUCACAO PROFISSIONAL EM LOGISTICA E TRANSPORTE LUIZ PINTO DE CARVALHO</v>
          </cell>
          <cell r="E198">
            <v>21880</v>
          </cell>
          <cell r="F198">
            <v>65640</v>
          </cell>
          <cell r="G198">
            <v>21880</v>
          </cell>
          <cell r="H198">
            <v>153160</v>
          </cell>
        </row>
        <row r="199">
          <cell r="C199">
            <v>1102640</v>
          </cell>
          <cell r="D199" t="str">
            <v>COLEGIO ESTADUAL MONSENHOR MANOEL BARBOSA</v>
          </cell>
          <cell r="E199">
            <v>16696</v>
          </cell>
          <cell r="F199">
            <v>50088</v>
          </cell>
          <cell r="G199">
            <v>16696</v>
          </cell>
          <cell r="H199">
            <v>116872</v>
          </cell>
        </row>
        <row r="200">
          <cell r="C200">
            <v>1102666</v>
          </cell>
          <cell r="D200" t="str">
            <v>COLÉGIO ESTADUAL MANOEL DEVOTO</v>
          </cell>
          <cell r="E200">
            <v>28622</v>
          </cell>
          <cell r="F200">
            <v>85866</v>
          </cell>
          <cell r="G200">
            <v>28622</v>
          </cell>
          <cell r="H200">
            <v>200354</v>
          </cell>
        </row>
        <row r="201">
          <cell r="C201">
            <v>1102704</v>
          </cell>
          <cell r="D201" t="str">
            <v>COLEGIO ESTADUAL MARCILIO DIAS - TEMPO INTEGRAL</v>
          </cell>
          <cell r="E201">
            <v>6058</v>
          </cell>
          <cell r="F201">
            <v>18174</v>
          </cell>
          <cell r="G201">
            <v>6058</v>
          </cell>
          <cell r="H201">
            <v>42406</v>
          </cell>
        </row>
        <row r="202">
          <cell r="C202">
            <v>1102836</v>
          </cell>
          <cell r="D202" t="str">
            <v>ESCOLA ESTADUAL MARIA ROMANA CALMON</v>
          </cell>
          <cell r="E202">
            <v>8712</v>
          </cell>
          <cell r="F202">
            <v>26136</v>
          </cell>
          <cell r="G202">
            <v>8712</v>
          </cell>
          <cell r="H202">
            <v>60984</v>
          </cell>
        </row>
        <row r="203">
          <cell r="C203">
            <v>1102844</v>
          </cell>
          <cell r="D203" t="str">
            <v>COLEGIO ESTADUAL MARIO AUGUSTO TEIXEIRA DE FREITAS - TEMPO INTEGRAL</v>
          </cell>
          <cell r="E203">
            <v>17583</v>
          </cell>
          <cell r="F203">
            <v>52749</v>
          </cell>
          <cell r="G203">
            <v>17583</v>
          </cell>
          <cell r="H203">
            <v>123081</v>
          </cell>
        </row>
        <row r="204">
          <cell r="C204">
            <v>1102852</v>
          </cell>
          <cell r="D204" t="str">
            <v>COLÉGIO ESTADUAL MARQUÊS DE MARICÁ - TEMPO INTEGRAL</v>
          </cell>
          <cell r="E204">
            <v>2393</v>
          </cell>
          <cell r="F204">
            <v>7179</v>
          </cell>
          <cell r="G204">
            <v>2393</v>
          </cell>
          <cell r="H204">
            <v>16751</v>
          </cell>
        </row>
        <row r="205">
          <cell r="C205">
            <v>1102879</v>
          </cell>
          <cell r="D205" t="str">
            <v>COLÉGIO ESTADUAL LUIZ VIANA - TEMPO INTEGRAL</v>
          </cell>
          <cell r="E205">
            <v>30316</v>
          </cell>
          <cell r="F205">
            <v>90948</v>
          </cell>
          <cell r="G205">
            <v>30316</v>
          </cell>
          <cell r="H205">
            <v>212212</v>
          </cell>
        </row>
        <row r="206">
          <cell r="C206">
            <v>1102909</v>
          </cell>
          <cell r="D206" t="str">
            <v>ESCOLA ESTADUAL DEPUTADO NAOMAR ALCANTARA - TEMPO INTEGRAL</v>
          </cell>
          <cell r="E206">
            <v>4184</v>
          </cell>
          <cell r="F206">
            <v>12552</v>
          </cell>
          <cell r="G206">
            <v>4184</v>
          </cell>
          <cell r="H206">
            <v>29288</v>
          </cell>
        </row>
        <row r="207">
          <cell r="C207">
            <v>1102917</v>
          </cell>
          <cell r="D207" t="str">
            <v>ESCOLA ESTADUAL PROFESSORA NATALIA VINHAES - TEMPO INTEGRAL</v>
          </cell>
          <cell r="E207">
            <v>3693</v>
          </cell>
          <cell r="F207">
            <v>11079</v>
          </cell>
          <cell r="G207">
            <v>3693</v>
          </cell>
          <cell r="H207">
            <v>25851</v>
          </cell>
        </row>
        <row r="208">
          <cell r="C208">
            <v>1102925</v>
          </cell>
          <cell r="D208" t="str">
            <v>COLEGIO ESTADUAL PROFESSOR NELSON BARROS</v>
          </cell>
          <cell r="E208">
            <v>16687</v>
          </cell>
          <cell r="F208">
            <v>50061</v>
          </cell>
          <cell r="G208">
            <v>16687</v>
          </cell>
          <cell r="H208">
            <v>116809</v>
          </cell>
        </row>
        <row r="209">
          <cell r="C209">
            <v>1102941</v>
          </cell>
          <cell r="D209" t="str">
            <v>CENTRO ESTADUAL DE EDUCACAO PROFISSIONAL EM CONTROLE E PROCESSOS INDUSTRIAIS NEWTON SUCUPIRA</v>
          </cell>
          <cell r="E209">
            <v>18568</v>
          </cell>
          <cell r="F209">
            <v>55704</v>
          </cell>
          <cell r="G209">
            <v>18568</v>
          </cell>
          <cell r="H209">
            <v>129976</v>
          </cell>
        </row>
        <row r="210">
          <cell r="C210">
            <v>1102976</v>
          </cell>
          <cell r="D210" t="str">
            <v>COLÉGIO ESTADUAL EURICLES DE MATOS - TEMPO INTEGRAL</v>
          </cell>
          <cell r="E210">
            <v>16546</v>
          </cell>
          <cell r="F210">
            <v>49638</v>
          </cell>
          <cell r="G210">
            <v>16546</v>
          </cell>
          <cell r="H210">
            <v>115822</v>
          </cell>
        </row>
        <row r="211">
          <cell r="C211">
            <v>1102984</v>
          </cell>
          <cell r="D211" t="str">
            <v>COLEGIO ESTADUAL MARIO COSTA NETO</v>
          </cell>
          <cell r="E211">
            <v>8172</v>
          </cell>
          <cell r="F211">
            <v>24516</v>
          </cell>
          <cell r="G211">
            <v>8172</v>
          </cell>
          <cell r="H211">
            <v>57204</v>
          </cell>
        </row>
        <row r="212">
          <cell r="C212">
            <v>1102992</v>
          </cell>
          <cell r="D212" t="str">
            <v>COLÉGIO ESTADUAL EVARISTO DA VEIGA - TEMPO INTEGRAL</v>
          </cell>
          <cell r="E212">
            <v>6381</v>
          </cell>
          <cell r="F212">
            <v>19143</v>
          </cell>
          <cell r="G212">
            <v>6381</v>
          </cell>
          <cell r="H212">
            <v>44667</v>
          </cell>
        </row>
        <row r="213">
          <cell r="C213">
            <v>1103000</v>
          </cell>
          <cell r="D213" t="str">
            <v>COLEGIO ESTADUAL REITOR MIGUEL CALMON</v>
          </cell>
          <cell r="E213">
            <v>20217</v>
          </cell>
          <cell r="F213">
            <v>60651</v>
          </cell>
          <cell r="G213">
            <v>20217</v>
          </cell>
          <cell r="H213">
            <v>141519</v>
          </cell>
        </row>
        <row r="214">
          <cell r="C214">
            <v>1103085</v>
          </cell>
          <cell r="D214" t="str">
            <v>COLEGIO ESTADUAL VISCONDE DE MAUA</v>
          </cell>
          <cell r="E214">
            <v>8970</v>
          </cell>
          <cell r="F214">
            <v>26910</v>
          </cell>
          <cell r="G214">
            <v>8970</v>
          </cell>
          <cell r="H214">
            <v>62790</v>
          </cell>
        </row>
        <row r="215">
          <cell r="C215">
            <v>1103107</v>
          </cell>
          <cell r="D215" t="str">
            <v>COLEGIO ESTADUAL MARECHAL MASCARENHAS DE MORAIS</v>
          </cell>
          <cell r="E215">
            <v>11761</v>
          </cell>
          <cell r="F215">
            <v>35283</v>
          </cell>
          <cell r="G215">
            <v>11761</v>
          </cell>
          <cell r="H215">
            <v>82327</v>
          </cell>
        </row>
        <row r="216">
          <cell r="C216">
            <v>1103174</v>
          </cell>
          <cell r="D216" t="str">
            <v>COLÉGIO ESTADUAL FREDERICO COSTA</v>
          </cell>
          <cell r="E216">
            <v>7614</v>
          </cell>
          <cell r="F216">
            <v>22842</v>
          </cell>
          <cell r="G216">
            <v>7614</v>
          </cell>
          <cell r="H216">
            <v>53298</v>
          </cell>
        </row>
        <row r="217">
          <cell r="C217">
            <v>1103212</v>
          </cell>
          <cell r="D217" t="str">
            <v>COLÉGIO ESTADUAL SARA VIOLETA DE MELLO KERTESZ</v>
          </cell>
          <cell r="E217">
            <v>21730</v>
          </cell>
          <cell r="F217">
            <v>65190</v>
          </cell>
          <cell r="G217">
            <v>21730</v>
          </cell>
          <cell r="H217">
            <v>152110</v>
          </cell>
        </row>
        <row r="218">
          <cell r="C218">
            <v>1103220</v>
          </cell>
          <cell r="D218" t="str">
            <v>COLÉGIO ESTADUAL HELENA CELESTINO MAGALHÃES - TEMPO INTEGRAL</v>
          </cell>
          <cell r="E218">
            <v>6178</v>
          </cell>
          <cell r="F218">
            <v>18534</v>
          </cell>
          <cell r="G218">
            <v>6178</v>
          </cell>
          <cell r="H218">
            <v>43246</v>
          </cell>
        </row>
        <row r="219">
          <cell r="C219">
            <v>1103239</v>
          </cell>
          <cell r="D219" t="str">
            <v>COLEGIO ESTADUAL SATIRO DIAS</v>
          </cell>
          <cell r="E219">
            <v>18344</v>
          </cell>
          <cell r="F219">
            <v>55032</v>
          </cell>
          <cell r="G219">
            <v>18344</v>
          </cell>
          <cell r="H219">
            <v>128408</v>
          </cell>
        </row>
        <row r="220">
          <cell r="C220">
            <v>1103301</v>
          </cell>
          <cell r="D220" t="str">
            <v>COLÉGIO ESTADUAL RAFAEL OLIVEIRA</v>
          </cell>
          <cell r="E220">
            <v>10565</v>
          </cell>
          <cell r="F220">
            <v>31695</v>
          </cell>
          <cell r="G220">
            <v>10565</v>
          </cell>
          <cell r="H220">
            <v>73955</v>
          </cell>
        </row>
        <row r="221">
          <cell r="C221">
            <v>1103336</v>
          </cell>
          <cell r="D221" t="str">
            <v>COLEGIO ESTADUAL RAPHAEL SERRAVALLE</v>
          </cell>
          <cell r="E221">
            <v>22466</v>
          </cell>
          <cell r="F221">
            <v>67398</v>
          </cell>
          <cell r="G221">
            <v>22466</v>
          </cell>
          <cell r="H221">
            <v>157262</v>
          </cell>
        </row>
        <row r="222">
          <cell r="C222">
            <v>1103344</v>
          </cell>
          <cell r="D222" t="str">
            <v>COLÉGIO ESTADUAL RAYMUNDO DE ALMEIDA GOUVEIA</v>
          </cell>
          <cell r="E222">
            <v>28223</v>
          </cell>
          <cell r="F222">
            <v>84669</v>
          </cell>
          <cell r="G222">
            <v>28223</v>
          </cell>
          <cell r="H222">
            <v>197561</v>
          </cell>
        </row>
        <row r="223">
          <cell r="C223">
            <v>1103387</v>
          </cell>
          <cell r="D223" t="str">
            <v>COLEGIO ESTADUAL SENHOR DO BONFIM - TEMPO INTEGRAL</v>
          </cell>
          <cell r="E223">
            <v>12188</v>
          </cell>
          <cell r="F223">
            <v>36564</v>
          </cell>
          <cell r="G223">
            <v>12188</v>
          </cell>
          <cell r="H223">
            <v>85316</v>
          </cell>
        </row>
        <row r="224">
          <cell r="C224">
            <v>1103395</v>
          </cell>
          <cell r="D224" t="str">
            <v>COLEGIO ESTADUAL REGINA SIMOES</v>
          </cell>
          <cell r="E224">
            <v>10991</v>
          </cell>
          <cell r="F224">
            <v>32973</v>
          </cell>
          <cell r="G224">
            <v>10991</v>
          </cell>
          <cell r="H224">
            <v>76937</v>
          </cell>
        </row>
        <row r="225">
          <cell r="C225">
            <v>1103417</v>
          </cell>
          <cell r="D225" t="str">
            <v>COLÉGIO ESTADUAL RENAN BALEEIRO</v>
          </cell>
          <cell r="E225">
            <v>14154</v>
          </cell>
          <cell r="F225">
            <v>42462</v>
          </cell>
          <cell r="G225">
            <v>14154</v>
          </cell>
          <cell r="H225">
            <v>99078</v>
          </cell>
        </row>
        <row r="226">
          <cell r="C226">
            <v>1103492</v>
          </cell>
          <cell r="D226" t="str">
            <v>ESCOLA VISCONDE DE ITAPARICA</v>
          </cell>
          <cell r="E226">
            <v>12485</v>
          </cell>
          <cell r="F226">
            <v>37455</v>
          </cell>
          <cell r="G226">
            <v>12485</v>
          </cell>
          <cell r="H226">
            <v>87395</v>
          </cell>
        </row>
        <row r="227">
          <cell r="C227">
            <v>1103506</v>
          </cell>
          <cell r="D227" t="str">
            <v>ESCOLA PROFESSOR ROBERTO SANTOS</v>
          </cell>
          <cell r="E227">
            <v>7856</v>
          </cell>
          <cell r="F227">
            <v>23568</v>
          </cell>
          <cell r="G227">
            <v>7856</v>
          </cell>
          <cell r="H227">
            <v>54992</v>
          </cell>
        </row>
        <row r="228">
          <cell r="C228">
            <v>1103514</v>
          </cell>
          <cell r="D228" t="str">
            <v>CENTRO ESTADUAL DE EDUCACAO PROFISSIONAL EM GESTAO SEVERINO VIEIRA</v>
          </cell>
          <cell r="E228">
            <v>23166</v>
          </cell>
          <cell r="F228">
            <v>69498</v>
          </cell>
          <cell r="G228">
            <v>23166</v>
          </cell>
          <cell r="H228">
            <v>162162</v>
          </cell>
        </row>
        <row r="229">
          <cell r="C229">
            <v>1103557</v>
          </cell>
          <cell r="D229" t="str">
            <v>ESCOLA ESTADUAL OCRIDALINA MADUREIRA</v>
          </cell>
          <cell r="E229">
            <v>8276</v>
          </cell>
          <cell r="F229">
            <v>24828</v>
          </cell>
          <cell r="G229">
            <v>8276</v>
          </cell>
          <cell r="H229">
            <v>57932</v>
          </cell>
        </row>
        <row r="230">
          <cell r="C230">
            <v>1103565</v>
          </cell>
          <cell r="D230" t="str">
            <v>COLEGIO ESTADUAL PADRE PALMEIRA</v>
          </cell>
          <cell r="E230">
            <v>12708</v>
          </cell>
          <cell r="F230">
            <v>38124</v>
          </cell>
          <cell r="G230">
            <v>12708</v>
          </cell>
          <cell r="H230">
            <v>88956</v>
          </cell>
        </row>
        <row r="231">
          <cell r="C231">
            <v>1103654</v>
          </cell>
          <cell r="D231" t="str">
            <v>COLÉGIO ESTADUAL TEREZA HELENA MATA PIRES</v>
          </cell>
          <cell r="E231">
            <v>10028</v>
          </cell>
          <cell r="F231">
            <v>30084</v>
          </cell>
          <cell r="G231">
            <v>10028</v>
          </cell>
          <cell r="H231">
            <v>70196</v>
          </cell>
        </row>
        <row r="232">
          <cell r="C232">
            <v>1103662</v>
          </cell>
          <cell r="D232" t="str">
            <v>COLEGIO ESTADUAL PEDRO CALMON - TEMPO INTEGRAL</v>
          </cell>
          <cell r="E232">
            <v>10092</v>
          </cell>
          <cell r="F232">
            <v>30276</v>
          </cell>
          <cell r="G232">
            <v>10092</v>
          </cell>
          <cell r="H232">
            <v>70644</v>
          </cell>
        </row>
        <row r="233">
          <cell r="C233">
            <v>1103719</v>
          </cell>
          <cell r="D233" t="str">
            <v>COLEGIO ESTADUAL OURO NEGRO</v>
          </cell>
          <cell r="E233">
            <v>12039</v>
          </cell>
          <cell r="F233">
            <v>36117</v>
          </cell>
          <cell r="G233">
            <v>12039</v>
          </cell>
          <cell r="H233">
            <v>84273</v>
          </cell>
        </row>
        <row r="234">
          <cell r="C234">
            <v>1103751</v>
          </cell>
          <cell r="D234" t="str">
            <v>COLEGIO ESTADUAL URSULA CATHARINO</v>
          </cell>
          <cell r="E234">
            <v>10565</v>
          </cell>
          <cell r="F234">
            <v>31695</v>
          </cell>
          <cell r="G234">
            <v>10565</v>
          </cell>
          <cell r="H234">
            <v>73955</v>
          </cell>
        </row>
        <row r="235">
          <cell r="C235">
            <v>1103778</v>
          </cell>
          <cell r="D235" t="str">
            <v>CENTRO ESTADUAL DE EDUCACAO PROFISSIONAL FORMACAO E EVENTOS ISAIAS ALVES</v>
          </cell>
          <cell r="E235">
            <v>27395</v>
          </cell>
          <cell r="F235">
            <v>82185</v>
          </cell>
          <cell r="G235">
            <v>27395</v>
          </cell>
          <cell r="H235">
            <v>191765</v>
          </cell>
        </row>
        <row r="236">
          <cell r="C236">
            <v>1103786</v>
          </cell>
          <cell r="D236" t="str">
            <v>COLEGIO ESTADUAL GOVERNADOR ROBERTO SANTOS</v>
          </cell>
          <cell r="E236">
            <v>34950</v>
          </cell>
          <cell r="F236">
            <v>104850</v>
          </cell>
          <cell r="G236">
            <v>34950</v>
          </cell>
          <cell r="H236">
            <v>244650</v>
          </cell>
        </row>
        <row r="237">
          <cell r="C237">
            <v>1103816</v>
          </cell>
          <cell r="D237" t="str">
            <v>COLÉGIO ESTADUAL DEPUTADO ROGÉRIO RÊGO - TEMPO INTEGRAL</v>
          </cell>
          <cell r="E237">
            <v>8653</v>
          </cell>
          <cell r="F237">
            <v>25959</v>
          </cell>
          <cell r="G237">
            <v>8653</v>
          </cell>
          <cell r="H237">
            <v>60571</v>
          </cell>
        </row>
        <row r="238">
          <cell r="C238">
            <v>1103859</v>
          </cell>
          <cell r="D238" t="str">
            <v>COLEGIO ESTADUAL ROTARY</v>
          </cell>
          <cell r="E238">
            <v>45797</v>
          </cell>
          <cell r="F238">
            <v>137391</v>
          </cell>
          <cell r="G238">
            <v>45797</v>
          </cell>
          <cell r="H238">
            <v>320579</v>
          </cell>
        </row>
        <row r="239">
          <cell r="C239">
            <v>1103905</v>
          </cell>
          <cell r="D239" t="str">
            <v>COLEGIO ESTADUAL RUBEN DARIO</v>
          </cell>
          <cell r="E239">
            <v>19292</v>
          </cell>
          <cell r="F239">
            <v>57876</v>
          </cell>
          <cell r="G239">
            <v>19292</v>
          </cell>
          <cell r="H239">
            <v>135044</v>
          </cell>
        </row>
        <row r="240">
          <cell r="C240">
            <v>1103972</v>
          </cell>
          <cell r="D240" t="str">
            <v>COLEGIO ESTADUAL RUTH PACHECO</v>
          </cell>
          <cell r="E240">
            <v>19886</v>
          </cell>
          <cell r="F240">
            <v>59658</v>
          </cell>
          <cell r="G240">
            <v>19886</v>
          </cell>
          <cell r="H240">
            <v>139202</v>
          </cell>
        </row>
        <row r="241">
          <cell r="C241">
            <v>1104022</v>
          </cell>
          <cell r="D241" t="str">
            <v>ESCOLA ESTADUAL TEODORO SAMPAIO</v>
          </cell>
          <cell r="E241">
            <v>13032</v>
          </cell>
          <cell r="F241">
            <v>39096</v>
          </cell>
          <cell r="G241">
            <v>13032</v>
          </cell>
          <cell r="H241">
            <v>91224</v>
          </cell>
        </row>
        <row r="242">
          <cell r="C242">
            <v>1104057</v>
          </cell>
          <cell r="D242" t="str">
            <v>COLEGIO ESTADUAL PINTO DE AGUIAR - TEMPO INTEGRAL</v>
          </cell>
          <cell r="E242">
            <v>5883</v>
          </cell>
          <cell r="F242">
            <v>17649</v>
          </cell>
          <cell r="G242">
            <v>5883</v>
          </cell>
          <cell r="H242">
            <v>41181</v>
          </cell>
        </row>
        <row r="243">
          <cell r="C243">
            <v>1104103</v>
          </cell>
          <cell r="D243" t="str">
            <v>COLÉGIO ESTADUAL NOSSA SENHORA DE FATIMA - DERBA</v>
          </cell>
          <cell r="E243">
            <v>8079</v>
          </cell>
          <cell r="F243">
            <v>24237</v>
          </cell>
          <cell r="G243">
            <v>8079</v>
          </cell>
          <cell r="H243">
            <v>56553</v>
          </cell>
        </row>
        <row r="244">
          <cell r="C244">
            <v>1104111</v>
          </cell>
          <cell r="D244" t="str">
            <v>COLEGIO ESTADUAL NOSSA SENHORA DE FATIMA</v>
          </cell>
          <cell r="E244">
            <v>10369</v>
          </cell>
          <cell r="F244">
            <v>31107</v>
          </cell>
          <cell r="G244">
            <v>10369</v>
          </cell>
          <cell r="H244">
            <v>72583</v>
          </cell>
        </row>
        <row r="245">
          <cell r="C245">
            <v>1104219</v>
          </cell>
          <cell r="D245" t="str">
            <v>COLÉGIO ESTADUAL PRINCESA IZABEL</v>
          </cell>
          <cell r="E245">
            <v>4844</v>
          </cell>
          <cell r="F245">
            <v>14532</v>
          </cell>
          <cell r="G245">
            <v>4844</v>
          </cell>
          <cell r="H245">
            <v>33908</v>
          </cell>
        </row>
        <row r="246">
          <cell r="C246">
            <v>1104243</v>
          </cell>
          <cell r="D246" t="str">
            <v>COLEGIO ESTADUAL VERA LUX</v>
          </cell>
          <cell r="E246">
            <v>20239</v>
          </cell>
          <cell r="F246">
            <v>60717</v>
          </cell>
          <cell r="G246">
            <v>20239</v>
          </cell>
          <cell r="H246">
            <v>141673</v>
          </cell>
        </row>
        <row r="247">
          <cell r="C247">
            <v>1104260</v>
          </cell>
          <cell r="D247" t="str">
            <v>COLEGIO ESTADUAL CONSELHEIRO VICENTE PACHECO DE OLIVEIRA - TEMPO INTEGRAL</v>
          </cell>
          <cell r="E247">
            <v>6914</v>
          </cell>
          <cell r="F247">
            <v>20742</v>
          </cell>
          <cell r="G247">
            <v>6914</v>
          </cell>
          <cell r="H247">
            <v>48398</v>
          </cell>
        </row>
        <row r="248">
          <cell r="C248">
            <v>1104340</v>
          </cell>
          <cell r="D248" t="str">
            <v>COLÉGIO ESTADUAL VITOR SOARES</v>
          </cell>
          <cell r="E248">
            <v>17095</v>
          </cell>
          <cell r="F248">
            <v>51285</v>
          </cell>
          <cell r="G248">
            <v>17095</v>
          </cell>
          <cell r="H248">
            <v>119665</v>
          </cell>
        </row>
        <row r="249">
          <cell r="C249">
            <v>1104367</v>
          </cell>
          <cell r="D249" t="str">
            <v>CENTRO DE CAPACITACAO DE PROFISSIONAIS DA EDUCACAO E DE ATEND WILSON LINS CAS BA</v>
          </cell>
          <cell r="E249">
            <v>1654</v>
          </cell>
          <cell r="F249">
            <v>4962</v>
          </cell>
          <cell r="G249">
            <v>1654</v>
          </cell>
          <cell r="H249">
            <v>11578</v>
          </cell>
        </row>
        <row r="250">
          <cell r="C250">
            <v>1104375</v>
          </cell>
          <cell r="D250" t="str">
            <v>ESCOLA ESTADUAL PROFESSORA ARMANDINA MARQUES</v>
          </cell>
          <cell r="E250">
            <v>11475</v>
          </cell>
          <cell r="F250">
            <v>34425</v>
          </cell>
          <cell r="G250">
            <v>11475</v>
          </cell>
          <cell r="H250">
            <v>80325</v>
          </cell>
        </row>
        <row r="251">
          <cell r="C251">
            <v>1104413</v>
          </cell>
          <cell r="D251" t="str">
            <v>COLEGIO ESTADUAL HENRIQUETA MARTINS CATHARINO</v>
          </cell>
          <cell r="E251">
            <v>9693</v>
          </cell>
          <cell r="F251">
            <v>29079</v>
          </cell>
          <cell r="G251">
            <v>9693</v>
          </cell>
          <cell r="H251">
            <v>67851</v>
          </cell>
        </row>
        <row r="252">
          <cell r="C252">
            <v>1104537</v>
          </cell>
          <cell r="D252" t="str">
            <v>COLÉGIO ESTADUAL SOLANGE HORTELIO FRANCO - TEMPO INTEGRAL</v>
          </cell>
          <cell r="E252">
            <v>12421</v>
          </cell>
          <cell r="F252">
            <v>37263</v>
          </cell>
          <cell r="G252">
            <v>12421</v>
          </cell>
          <cell r="H252">
            <v>86947</v>
          </cell>
        </row>
        <row r="253">
          <cell r="C253">
            <v>1104570</v>
          </cell>
          <cell r="D253" t="str">
            <v>COLÉGIO ESTADUAL DEPUTADO HENRIQUE BRITO - TEMPO INTEGRAL</v>
          </cell>
          <cell r="E253">
            <v>2543</v>
          </cell>
          <cell r="F253">
            <v>7629</v>
          </cell>
          <cell r="G253">
            <v>2543</v>
          </cell>
          <cell r="H253">
            <v>17801</v>
          </cell>
        </row>
        <row r="254">
          <cell r="C254">
            <v>1104588</v>
          </cell>
          <cell r="D254" t="str">
            <v>COLÉGIO ESTADUAL EDVALDO BRANDAO CORREIA - TEMPO INTEGRAL</v>
          </cell>
          <cell r="E254">
            <v>25132</v>
          </cell>
          <cell r="F254">
            <v>75396</v>
          </cell>
          <cell r="G254">
            <v>25132</v>
          </cell>
          <cell r="H254">
            <v>175924</v>
          </cell>
        </row>
        <row r="255">
          <cell r="C255">
            <v>1104596</v>
          </cell>
          <cell r="D255" t="str">
            <v>COLEGIO ESTADUAL NELSON MANDELA - TEMPO INTEGRAL</v>
          </cell>
          <cell r="E255">
            <v>30607</v>
          </cell>
          <cell r="F255">
            <v>91821</v>
          </cell>
          <cell r="G255">
            <v>30607</v>
          </cell>
          <cell r="H255">
            <v>214249</v>
          </cell>
        </row>
        <row r="256">
          <cell r="C256">
            <v>1104600</v>
          </cell>
          <cell r="D256" t="str">
            <v>COLEGIO ESTADUAL DE TEMPO INTEGRAL PROF PEDRO PAULO MARQUES E MARQUES</v>
          </cell>
          <cell r="E256">
            <v>18967</v>
          </cell>
          <cell r="F256">
            <v>56901</v>
          </cell>
          <cell r="G256">
            <v>18967</v>
          </cell>
          <cell r="H256">
            <v>132769</v>
          </cell>
        </row>
        <row r="257">
          <cell r="C257">
            <v>1104626</v>
          </cell>
          <cell r="D257" t="str">
            <v>COLÉGIO ESTADUAL PAULO AMÉRICO DE OLIVEIRA</v>
          </cell>
          <cell r="E257">
            <v>14951</v>
          </cell>
          <cell r="F257">
            <v>44853</v>
          </cell>
          <cell r="G257">
            <v>14951</v>
          </cell>
          <cell r="H257">
            <v>104657</v>
          </cell>
        </row>
        <row r="258">
          <cell r="C258">
            <v>1104642</v>
          </cell>
          <cell r="D258" t="str">
            <v>COLEGIO ESTADUAL DESEMBARGADOR PEDRO RIBEIRO</v>
          </cell>
          <cell r="E258">
            <v>21668</v>
          </cell>
          <cell r="F258">
            <v>65004</v>
          </cell>
          <cell r="G258">
            <v>21668</v>
          </cell>
          <cell r="H258">
            <v>151676</v>
          </cell>
        </row>
        <row r="259">
          <cell r="C259">
            <v>1104650</v>
          </cell>
          <cell r="D259" t="str">
            <v>COLÉGIO DA POLÍCIA MILITAR - UNIDADE I CPM DENDEZEIROS - TEMPO INTEGRAL</v>
          </cell>
          <cell r="E259">
            <v>25366</v>
          </cell>
          <cell r="F259">
            <v>76098</v>
          </cell>
          <cell r="G259">
            <v>25366</v>
          </cell>
          <cell r="H259">
            <v>177562</v>
          </cell>
        </row>
        <row r="260">
          <cell r="C260">
            <v>1104669</v>
          </cell>
          <cell r="D260" t="str">
            <v>COLEGIO ESTADUAL POLIVALENTE DE CANDEIAS</v>
          </cell>
          <cell r="E260">
            <v>14120</v>
          </cell>
          <cell r="F260">
            <v>42360</v>
          </cell>
          <cell r="G260">
            <v>14120</v>
          </cell>
          <cell r="H260">
            <v>98840</v>
          </cell>
        </row>
        <row r="261">
          <cell r="C261">
            <v>1104677</v>
          </cell>
          <cell r="D261" t="str">
            <v>COLÉGIO ESTADUAL POLIVALENTE SAN DIEGO</v>
          </cell>
          <cell r="E261">
            <v>11761</v>
          </cell>
          <cell r="F261">
            <v>35283</v>
          </cell>
          <cell r="G261">
            <v>11761</v>
          </cell>
          <cell r="H261">
            <v>82327</v>
          </cell>
        </row>
        <row r="262">
          <cell r="C262">
            <v>1104693</v>
          </cell>
          <cell r="D262" t="str">
            <v>CENTRO ESTADUAL DE EDUCAÇÃO, INOVAÇÃO E FORMAÇÃO DA BAHIA - CEEIFOR - MÃE STELLA - TEMPO INTEGRAL</v>
          </cell>
          <cell r="E262">
            <v>6801</v>
          </cell>
          <cell r="F262">
            <v>20403</v>
          </cell>
          <cell r="G262">
            <v>6801</v>
          </cell>
          <cell r="H262">
            <v>47607</v>
          </cell>
        </row>
        <row r="263">
          <cell r="C263">
            <v>1104707</v>
          </cell>
          <cell r="D263" t="str">
            <v>COLEGIO ESTADUAL POLIVALENTE DE CAMACARI</v>
          </cell>
          <cell r="E263">
            <v>25597</v>
          </cell>
          <cell r="F263">
            <v>76791</v>
          </cell>
          <cell r="G263">
            <v>25597</v>
          </cell>
          <cell r="H263">
            <v>179179</v>
          </cell>
        </row>
        <row r="264">
          <cell r="C264">
            <v>1104715</v>
          </cell>
          <cell r="D264" t="str">
            <v>ESCOLA ESTADUAL PRESCILIANO SILVA</v>
          </cell>
          <cell r="E264">
            <v>15064</v>
          </cell>
          <cell r="F264">
            <v>45192</v>
          </cell>
          <cell r="G264">
            <v>15064</v>
          </cell>
          <cell r="H264">
            <v>105448</v>
          </cell>
        </row>
        <row r="265">
          <cell r="C265">
            <v>1104723</v>
          </cell>
          <cell r="D265" t="str">
            <v>COLEGIO ESTADUAL POLIVALENTE DE ARATU</v>
          </cell>
          <cell r="E265">
            <v>11623</v>
          </cell>
          <cell r="F265">
            <v>34869</v>
          </cell>
          <cell r="G265">
            <v>11623</v>
          </cell>
          <cell r="H265">
            <v>81361</v>
          </cell>
        </row>
        <row r="266">
          <cell r="C266">
            <v>1104731</v>
          </cell>
          <cell r="D266" t="str">
            <v>COLÉGIO ESTADUAL POLIVALENTE DE AMARALINA</v>
          </cell>
          <cell r="E266">
            <v>12371</v>
          </cell>
          <cell r="F266">
            <v>37113</v>
          </cell>
          <cell r="G266">
            <v>12371</v>
          </cell>
          <cell r="H266">
            <v>86597</v>
          </cell>
        </row>
        <row r="267">
          <cell r="C267">
            <v>1104820</v>
          </cell>
          <cell r="D267" t="str">
            <v>COLÉGIO ESTADUAL TEREZA CONCEICAO MENEZES</v>
          </cell>
          <cell r="E267">
            <v>14365</v>
          </cell>
          <cell r="F267">
            <v>43095</v>
          </cell>
          <cell r="G267">
            <v>14365</v>
          </cell>
          <cell r="H267">
            <v>100555</v>
          </cell>
        </row>
        <row r="268">
          <cell r="C268">
            <v>1104863</v>
          </cell>
          <cell r="D268" t="str">
            <v>COLEGIO ESTADUAL LUIZ VIANA FILHO</v>
          </cell>
          <cell r="E268">
            <v>12801</v>
          </cell>
          <cell r="F268">
            <v>38403</v>
          </cell>
          <cell r="G268">
            <v>12801</v>
          </cell>
          <cell r="H268">
            <v>89607</v>
          </cell>
        </row>
        <row r="269">
          <cell r="C269">
            <v>1104880</v>
          </cell>
          <cell r="D269" t="str">
            <v>COLÉGIO ESTADUAL LUIZ FERNANDO MACEDO COSTA - TEMPO INTEGRAL</v>
          </cell>
          <cell r="E269">
            <v>7449</v>
          </cell>
          <cell r="F269">
            <v>22347</v>
          </cell>
          <cell r="G269">
            <v>7449</v>
          </cell>
          <cell r="H269">
            <v>52143</v>
          </cell>
        </row>
        <row r="270">
          <cell r="C270">
            <v>1104898</v>
          </cell>
          <cell r="D270" t="str">
            <v>COLÉGIO ESTADUAL LUIZ JOSE DE OLIVEIRA</v>
          </cell>
          <cell r="E270">
            <v>12558</v>
          </cell>
          <cell r="F270">
            <v>37674</v>
          </cell>
          <cell r="G270">
            <v>12558</v>
          </cell>
          <cell r="H270">
            <v>87906</v>
          </cell>
        </row>
        <row r="271">
          <cell r="C271">
            <v>1104928</v>
          </cell>
          <cell r="D271" t="str">
            <v>COLEGIO ESTADUAL DOUTOR LUIZ VIANA FILHO</v>
          </cell>
          <cell r="E271">
            <v>4651</v>
          </cell>
          <cell r="F271">
            <v>13953</v>
          </cell>
          <cell r="G271">
            <v>4651</v>
          </cell>
          <cell r="H271">
            <v>32557</v>
          </cell>
        </row>
        <row r="272">
          <cell r="C272">
            <v>1104936</v>
          </cell>
          <cell r="D272" t="str">
            <v>CENTRO ESTADUAL DE EDUCACAO PROFISSIONAL EM GESTAO NEGOCIOS E TURISMO LUIZ NAVARRO DE BRITO</v>
          </cell>
          <cell r="E272">
            <v>17157</v>
          </cell>
          <cell r="F272">
            <v>51471</v>
          </cell>
          <cell r="G272">
            <v>17157</v>
          </cell>
          <cell r="H272">
            <v>120099</v>
          </cell>
        </row>
        <row r="273">
          <cell r="C273">
            <v>1110081</v>
          </cell>
          <cell r="D273" t="str">
            <v>COLEGIO ESTADUAL FRANCISCO PEREIRA FRANCO</v>
          </cell>
          <cell r="E273">
            <v>11623</v>
          </cell>
          <cell r="F273">
            <v>34869</v>
          </cell>
          <cell r="G273">
            <v>11623</v>
          </cell>
          <cell r="H273">
            <v>81361</v>
          </cell>
        </row>
        <row r="274">
          <cell r="C274">
            <v>1134134</v>
          </cell>
          <cell r="D274" t="str">
            <v>COLÉGIO ESTADUAL BRÁULIO SAMPAIO</v>
          </cell>
          <cell r="E274">
            <v>12837</v>
          </cell>
          <cell r="F274">
            <v>38511</v>
          </cell>
          <cell r="G274">
            <v>12837</v>
          </cell>
          <cell r="H274">
            <v>89859</v>
          </cell>
        </row>
        <row r="275">
          <cell r="C275">
            <v>1134177</v>
          </cell>
          <cell r="D275" t="str">
            <v>COLÉGIO ESTADUAL GETÚLIO VARGAS</v>
          </cell>
          <cell r="E275">
            <v>10369</v>
          </cell>
          <cell r="F275">
            <v>31107</v>
          </cell>
          <cell r="G275">
            <v>10369</v>
          </cell>
          <cell r="H275">
            <v>72583</v>
          </cell>
        </row>
        <row r="276">
          <cell r="C276">
            <v>1134851</v>
          </cell>
          <cell r="D276" t="str">
            <v>COLEGIO ESTADUAL MARTINHO SALLES BRASIL - TEMPO INTEGRAL</v>
          </cell>
          <cell r="E276">
            <v>18810</v>
          </cell>
          <cell r="F276">
            <v>56430</v>
          </cell>
          <cell r="G276">
            <v>18810</v>
          </cell>
          <cell r="H276">
            <v>131670</v>
          </cell>
        </row>
        <row r="277">
          <cell r="C277">
            <v>1135190</v>
          </cell>
          <cell r="D277" t="str">
            <v>COLEGIO POLIVALENTE MONSENHOR LUIZ FERREIRA DE BRITO</v>
          </cell>
          <cell r="E277">
            <v>12641</v>
          </cell>
          <cell r="F277">
            <v>37923</v>
          </cell>
          <cell r="G277">
            <v>12641</v>
          </cell>
          <cell r="H277">
            <v>88487</v>
          </cell>
        </row>
        <row r="278">
          <cell r="C278">
            <v>1136072</v>
          </cell>
          <cell r="D278" t="str">
            <v>COLEGIO ESTADUAL VALE DOS LAGOS</v>
          </cell>
          <cell r="E278">
            <v>23985</v>
          </cell>
          <cell r="F278">
            <v>71955</v>
          </cell>
          <cell r="G278">
            <v>23985</v>
          </cell>
          <cell r="H278">
            <v>167895</v>
          </cell>
        </row>
        <row r="279">
          <cell r="C279">
            <v>1136498</v>
          </cell>
          <cell r="D279" t="str">
            <v>COLEGIO ESTADUAL GOVERNADOR OTAVIO MANGABEIRA</v>
          </cell>
          <cell r="E279">
            <v>9795</v>
          </cell>
          <cell r="F279">
            <v>29385</v>
          </cell>
          <cell r="G279">
            <v>9795</v>
          </cell>
          <cell r="H279">
            <v>68565</v>
          </cell>
        </row>
        <row r="280">
          <cell r="C280">
            <v>1141939</v>
          </cell>
          <cell r="D280" t="str">
            <v>COLEGIO ESTADUAL HEITOR VILLA LOBOS</v>
          </cell>
          <cell r="E280">
            <v>19420</v>
          </cell>
          <cell r="F280">
            <v>58260</v>
          </cell>
          <cell r="G280">
            <v>19420</v>
          </cell>
          <cell r="H280">
            <v>135940</v>
          </cell>
        </row>
        <row r="281">
          <cell r="C281">
            <v>1141998</v>
          </cell>
          <cell r="D281" t="str">
            <v>ESCOLA ESTADUAL RAUL SA</v>
          </cell>
          <cell r="E281">
            <v>13086</v>
          </cell>
          <cell r="F281">
            <v>39258</v>
          </cell>
          <cell r="G281">
            <v>13086</v>
          </cell>
          <cell r="H281">
            <v>91602</v>
          </cell>
        </row>
        <row r="282">
          <cell r="C282">
            <v>1142463</v>
          </cell>
          <cell r="D282" t="str">
            <v>COLÉGIO ESTADUAL BATISTA NEVES - TEMPO INTEGRAL</v>
          </cell>
          <cell r="E282">
            <v>9098</v>
          </cell>
          <cell r="F282">
            <v>27294</v>
          </cell>
          <cell r="G282">
            <v>9098</v>
          </cell>
          <cell r="H282">
            <v>63686</v>
          </cell>
        </row>
        <row r="283">
          <cell r="C283">
            <v>1144520</v>
          </cell>
          <cell r="D283" t="str">
            <v>CENTRO EDUCACIONAL SANTO ANTONIO</v>
          </cell>
          <cell r="E283">
            <v>8172</v>
          </cell>
          <cell r="F283">
            <v>24516</v>
          </cell>
          <cell r="G283">
            <v>8172</v>
          </cell>
          <cell r="H283">
            <v>57204</v>
          </cell>
        </row>
        <row r="284">
          <cell r="C284">
            <v>1145829</v>
          </cell>
          <cell r="D284" t="str">
            <v>COLÉGIO ESTADUAL BENTO GONÇALVES</v>
          </cell>
          <cell r="E284">
            <v>12421</v>
          </cell>
          <cell r="F284">
            <v>37263</v>
          </cell>
          <cell r="G284">
            <v>12421</v>
          </cell>
          <cell r="H284">
            <v>86947</v>
          </cell>
        </row>
        <row r="285">
          <cell r="C285">
            <v>1146094</v>
          </cell>
          <cell r="D285" t="str">
            <v>COLEGIO ESTADUAL PROFESSOR ROMULO ALMEIDA - TEMPO INTEGRAL</v>
          </cell>
          <cell r="E285">
            <v>13994</v>
          </cell>
          <cell r="F285">
            <v>41982</v>
          </cell>
          <cell r="G285">
            <v>13994</v>
          </cell>
          <cell r="H285">
            <v>97958</v>
          </cell>
        </row>
        <row r="286">
          <cell r="C286">
            <v>1146140</v>
          </cell>
          <cell r="D286" t="str">
            <v>COLEGIO ESTADUAL MONTEIRO LOBATO</v>
          </cell>
          <cell r="E286">
            <v>18780</v>
          </cell>
          <cell r="F286">
            <v>56340</v>
          </cell>
          <cell r="G286">
            <v>18780</v>
          </cell>
          <cell r="H286">
            <v>131460</v>
          </cell>
        </row>
        <row r="287">
          <cell r="C287">
            <v>1163924</v>
          </cell>
          <cell r="D287" t="str">
            <v>COLEGIO ESTADUAL DONA MORA GUIMARAES</v>
          </cell>
          <cell r="E287">
            <v>20804</v>
          </cell>
          <cell r="F287">
            <v>62412</v>
          </cell>
          <cell r="G287">
            <v>20804</v>
          </cell>
          <cell r="H287">
            <v>145628</v>
          </cell>
        </row>
        <row r="288">
          <cell r="C288">
            <v>1163967</v>
          </cell>
          <cell r="D288" t="str">
            <v>COLÉGIO ESTADUAL DINAH GONÇALVES - TEMPO INTEGRAL</v>
          </cell>
          <cell r="E288">
            <v>8571</v>
          </cell>
          <cell r="F288">
            <v>25713</v>
          </cell>
          <cell r="G288">
            <v>8571</v>
          </cell>
          <cell r="H288">
            <v>59997</v>
          </cell>
        </row>
        <row r="289">
          <cell r="C289">
            <v>1166354</v>
          </cell>
          <cell r="D289" t="str">
            <v>COLÉGIO ESTADUAL PADRE JOÃO MONTEZ</v>
          </cell>
          <cell r="E289">
            <v>15432</v>
          </cell>
          <cell r="F289">
            <v>46296</v>
          </cell>
          <cell r="G289">
            <v>15432</v>
          </cell>
          <cell r="H289">
            <v>108024</v>
          </cell>
        </row>
        <row r="290">
          <cell r="C290">
            <v>1168837</v>
          </cell>
          <cell r="D290" t="str">
            <v>COLEGIO ESTADUAL YPIRANGA - TEMPO INTEGRAL</v>
          </cell>
          <cell r="E290">
            <v>1942</v>
          </cell>
          <cell r="F290">
            <v>5826</v>
          </cell>
          <cell r="G290">
            <v>1942</v>
          </cell>
          <cell r="H290">
            <v>13594</v>
          </cell>
        </row>
        <row r="291">
          <cell r="C291">
            <v>1172320</v>
          </cell>
          <cell r="D291" t="str">
            <v>COLÉGIO ESTADUAL MESTRE MOA DO KATENDE - TEMPO INTEGRAL</v>
          </cell>
          <cell r="E291">
            <v>3712</v>
          </cell>
          <cell r="F291">
            <v>11136</v>
          </cell>
          <cell r="G291">
            <v>3712</v>
          </cell>
          <cell r="H291">
            <v>25984</v>
          </cell>
        </row>
        <row r="292">
          <cell r="C292">
            <v>1173946</v>
          </cell>
          <cell r="D292" t="str">
            <v>COLEGIO ESTADUAL DEPUTADO MANOEL NOVAES - TEMPO INTEGRAL</v>
          </cell>
          <cell r="E292">
            <v>21684</v>
          </cell>
          <cell r="F292">
            <v>65052</v>
          </cell>
          <cell r="G292">
            <v>21684</v>
          </cell>
          <cell r="H292">
            <v>151788</v>
          </cell>
        </row>
        <row r="293">
          <cell r="C293">
            <v>1174713</v>
          </cell>
          <cell r="D293" t="str">
            <v>COLEGIO ESTADUAL DE APLICACAO ANISIO TEIXEIRA</v>
          </cell>
          <cell r="E293">
            <v>19042</v>
          </cell>
          <cell r="F293">
            <v>57126</v>
          </cell>
          <cell r="G293">
            <v>19042</v>
          </cell>
          <cell r="H293">
            <v>133294</v>
          </cell>
        </row>
        <row r="294">
          <cell r="C294">
            <v>1174721</v>
          </cell>
          <cell r="D294" t="str">
            <v>COLEGIO ESTADUAL PROFESSOR NOGUEIRA PASSOS - TEMPO INTEGRAL</v>
          </cell>
          <cell r="E294">
            <v>3785</v>
          </cell>
          <cell r="F294">
            <v>11355</v>
          </cell>
          <cell r="G294">
            <v>3785</v>
          </cell>
          <cell r="H294">
            <v>26495</v>
          </cell>
        </row>
        <row r="295">
          <cell r="C295">
            <v>1174772</v>
          </cell>
          <cell r="D295" t="str">
            <v>COLEGIO ESTADUAL PROFESSORA MARIA ANITA</v>
          </cell>
          <cell r="E295">
            <v>16288</v>
          </cell>
          <cell r="F295">
            <v>48864</v>
          </cell>
          <cell r="G295">
            <v>16288</v>
          </cell>
          <cell r="H295">
            <v>114016</v>
          </cell>
        </row>
        <row r="296">
          <cell r="C296">
            <v>1175280</v>
          </cell>
          <cell r="D296" t="str">
            <v>COLEGIO ESTADUAL HELENA MAGALHAES</v>
          </cell>
          <cell r="E296">
            <v>16086</v>
          </cell>
          <cell r="F296">
            <v>48258</v>
          </cell>
          <cell r="G296">
            <v>16086</v>
          </cell>
          <cell r="H296">
            <v>112602</v>
          </cell>
        </row>
        <row r="297">
          <cell r="C297">
            <v>1176071</v>
          </cell>
          <cell r="D297" t="str">
            <v>COLÉGIO ESTADUAL PROFESSORA MARILEINE DA SILVA</v>
          </cell>
          <cell r="E297">
            <v>14764</v>
          </cell>
          <cell r="F297">
            <v>44292</v>
          </cell>
          <cell r="G297">
            <v>14764</v>
          </cell>
          <cell r="H297">
            <v>103348</v>
          </cell>
        </row>
        <row r="298">
          <cell r="C298">
            <v>1176072</v>
          </cell>
          <cell r="D298" t="str">
            <v>CENTRO ESTADUAL DE EDUCACAO PROFISSIONAL EM SERVICOS E PROCESSOS INDUSTRIAIS IRMA DULCE</v>
          </cell>
          <cell r="E298">
            <v>13783</v>
          </cell>
          <cell r="F298">
            <v>41349</v>
          </cell>
          <cell r="G298">
            <v>13783</v>
          </cell>
          <cell r="H298">
            <v>96481</v>
          </cell>
        </row>
        <row r="299">
          <cell r="C299">
            <v>1176073</v>
          </cell>
          <cell r="D299" t="str">
            <v>COLÉGIO ESTADUAL ALAOR COUTINHO - TEMPO INTEGRAL</v>
          </cell>
          <cell r="E299">
            <v>14889</v>
          </cell>
          <cell r="F299">
            <v>44667</v>
          </cell>
          <cell r="G299">
            <v>14889</v>
          </cell>
          <cell r="H299">
            <v>104223</v>
          </cell>
        </row>
        <row r="300">
          <cell r="C300">
            <v>1176074</v>
          </cell>
          <cell r="D300" t="str">
            <v>ESCOLA ESTADUAL PROFESSORA MARIINHA TAVARES - TEMPO INTEGRAL</v>
          </cell>
          <cell r="E300">
            <v>12633</v>
          </cell>
          <cell r="F300">
            <v>37899</v>
          </cell>
          <cell r="G300">
            <v>12633</v>
          </cell>
          <cell r="H300">
            <v>88431</v>
          </cell>
        </row>
        <row r="301">
          <cell r="C301">
            <v>1176079</v>
          </cell>
          <cell r="D301" t="str">
            <v>COLÉGIO ESTADUAL CELIA MATA PIRES</v>
          </cell>
          <cell r="E301">
            <v>5620</v>
          </cell>
          <cell r="F301">
            <v>16860</v>
          </cell>
          <cell r="G301">
            <v>5620</v>
          </cell>
          <cell r="H301">
            <v>39340</v>
          </cell>
        </row>
        <row r="302">
          <cell r="C302">
            <v>1176080</v>
          </cell>
          <cell r="D302" t="str">
            <v>COLEGIO DA POLICIA MILITAR - CPM DONA LEONOR CALMON</v>
          </cell>
          <cell r="E302">
            <v>11565</v>
          </cell>
          <cell r="F302">
            <v>34695</v>
          </cell>
          <cell r="G302">
            <v>11565</v>
          </cell>
          <cell r="H302">
            <v>80955</v>
          </cell>
        </row>
        <row r="303">
          <cell r="C303">
            <v>1176094</v>
          </cell>
          <cell r="D303" t="str">
            <v>COLEGIO ESTADUAL DAVID MENDES PEREIRA</v>
          </cell>
          <cell r="E303">
            <v>26718</v>
          </cell>
          <cell r="F303">
            <v>80154</v>
          </cell>
          <cell r="G303">
            <v>26718</v>
          </cell>
          <cell r="H303">
            <v>187026</v>
          </cell>
        </row>
        <row r="304">
          <cell r="C304">
            <v>1176095</v>
          </cell>
          <cell r="D304" t="str">
            <v>COLEGIO ESTADUAL PROFESSOR CARLOS ALBERTO CERQUEIRA</v>
          </cell>
          <cell r="E304">
            <v>16055</v>
          </cell>
          <cell r="F304">
            <v>48165</v>
          </cell>
          <cell r="G304">
            <v>16055</v>
          </cell>
          <cell r="H304">
            <v>112385</v>
          </cell>
        </row>
        <row r="305">
          <cell r="C305">
            <v>1176096</v>
          </cell>
          <cell r="D305" t="str">
            <v>COLEGIO ESTADUAL EDUARDO BAHIANA</v>
          </cell>
          <cell r="E305">
            <v>29531</v>
          </cell>
          <cell r="F305">
            <v>88593</v>
          </cell>
          <cell r="G305">
            <v>29531</v>
          </cell>
          <cell r="H305">
            <v>206717</v>
          </cell>
        </row>
        <row r="306">
          <cell r="C306">
            <v>1176109</v>
          </cell>
          <cell r="D306" t="str">
            <v>COLEGIO ESTADUAL PROFESSOR CARLOS BARROS</v>
          </cell>
          <cell r="E306">
            <v>17447</v>
          </cell>
          <cell r="F306">
            <v>52341</v>
          </cell>
          <cell r="G306">
            <v>17447</v>
          </cell>
          <cell r="H306">
            <v>122129</v>
          </cell>
        </row>
        <row r="307">
          <cell r="C307">
            <v>1176189</v>
          </cell>
          <cell r="D307" t="str">
            <v>COLEGIO PROFESSOR GEORGE FRAGOSO MODESTO</v>
          </cell>
          <cell r="E307">
            <v>18095</v>
          </cell>
          <cell r="F307">
            <v>54285</v>
          </cell>
          <cell r="G307">
            <v>18095</v>
          </cell>
          <cell r="H307">
            <v>126665</v>
          </cell>
        </row>
        <row r="308">
          <cell r="C308">
            <v>1176202</v>
          </cell>
          <cell r="D308" t="str">
            <v>ESCOLA ESTADUAL LEA LEAL - TEMPO INTEGRAL</v>
          </cell>
          <cell r="E308">
            <v>3739</v>
          </cell>
          <cell r="F308">
            <v>11217</v>
          </cell>
          <cell r="G308">
            <v>3739</v>
          </cell>
          <cell r="H308">
            <v>26173</v>
          </cell>
        </row>
        <row r="309">
          <cell r="C309">
            <v>1176205</v>
          </cell>
          <cell r="D309" t="str">
            <v>COLEGIO ESTADUAL FRANCISCO DA CONCEICAO MENEZES</v>
          </cell>
          <cell r="E309">
            <v>8599</v>
          </cell>
          <cell r="F309">
            <v>25797</v>
          </cell>
          <cell r="G309">
            <v>8599</v>
          </cell>
          <cell r="H309">
            <v>60193</v>
          </cell>
        </row>
        <row r="310">
          <cell r="C310">
            <v>1176206</v>
          </cell>
          <cell r="D310" t="str">
            <v>COLEGIO ESTADUAL DALVA MATOS - TEMPO INTEGRAL</v>
          </cell>
          <cell r="E310">
            <v>4712</v>
          </cell>
          <cell r="F310">
            <v>14136</v>
          </cell>
          <cell r="G310">
            <v>4712</v>
          </cell>
          <cell r="H310">
            <v>32984</v>
          </cell>
        </row>
        <row r="311">
          <cell r="C311">
            <v>1176210</v>
          </cell>
          <cell r="D311" t="str">
            <v>COLÉGIO ESTADUAL RAYMUNDO MATTA</v>
          </cell>
          <cell r="E311">
            <v>8276</v>
          </cell>
          <cell r="F311">
            <v>24828</v>
          </cell>
          <cell r="G311">
            <v>8276</v>
          </cell>
          <cell r="H311">
            <v>57932</v>
          </cell>
        </row>
        <row r="312">
          <cell r="C312">
            <v>1176364</v>
          </cell>
          <cell r="D312" t="str">
            <v>COLEGIO ESTADUAL HERMANO GOUVEIA NETO</v>
          </cell>
          <cell r="E312">
            <v>27516</v>
          </cell>
          <cell r="F312">
            <v>82548</v>
          </cell>
          <cell r="G312">
            <v>27516</v>
          </cell>
          <cell r="H312">
            <v>192612</v>
          </cell>
        </row>
        <row r="313">
          <cell r="C313">
            <v>1176377</v>
          </cell>
          <cell r="D313" t="str">
            <v>COLEGIO ESTADUAL THALES DE AZEVEDO</v>
          </cell>
          <cell r="E313">
            <v>23596</v>
          </cell>
          <cell r="F313">
            <v>70788</v>
          </cell>
          <cell r="G313">
            <v>23596</v>
          </cell>
          <cell r="H313">
            <v>165172</v>
          </cell>
        </row>
        <row r="314">
          <cell r="C314">
            <v>1176387</v>
          </cell>
          <cell r="D314" t="str">
            <v>COLEGIO ESTADUAL OLIVEIRA BRITO - TEMPO INTEGRAL</v>
          </cell>
          <cell r="E314">
            <v>9415</v>
          </cell>
          <cell r="F314">
            <v>28245</v>
          </cell>
          <cell r="G314">
            <v>9415</v>
          </cell>
          <cell r="H314">
            <v>65905</v>
          </cell>
        </row>
        <row r="315">
          <cell r="C315">
            <v>1176389</v>
          </cell>
          <cell r="D315" t="str">
            <v>COLÉGIO DA POLICIA MILITAR - UNIDADE II CPM LOBATO</v>
          </cell>
          <cell r="E315">
            <v>17251</v>
          </cell>
          <cell r="F315">
            <v>51753</v>
          </cell>
          <cell r="G315">
            <v>17251</v>
          </cell>
          <cell r="H315">
            <v>120757</v>
          </cell>
        </row>
        <row r="316">
          <cell r="C316">
            <v>1176390</v>
          </cell>
          <cell r="D316" t="str">
            <v>ESCOLA ESTADUAL ANÍSIO TEIXEIRA - CLASSE VI - TEMPO INTEGRAL</v>
          </cell>
          <cell r="E316">
            <v>8126</v>
          </cell>
          <cell r="F316">
            <v>24378</v>
          </cell>
          <cell r="G316">
            <v>8126</v>
          </cell>
          <cell r="H316">
            <v>56882</v>
          </cell>
        </row>
        <row r="317">
          <cell r="C317">
            <v>1176391</v>
          </cell>
          <cell r="D317" t="str">
            <v>COLEGIO DA POLICIA MILITAR - CPM LUIZ TARQUINIO</v>
          </cell>
          <cell r="E317">
            <v>13356</v>
          </cell>
          <cell r="F317">
            <v>40068</v>
          </cell>
          <cell r="G317">
            <v>13356</v>
          </cell>
          <cell r="H317">
            <v>93492</v>
          </cell>
        </row>
        <row r="318">
          <cell r="C318">
            <v>1176392</v>
          </cell>
          <cell r="D318" t="str">
            <v>ESCOLA ESTADUAL SEVERINO VIEIRA - TEMPO INTEGRAL</v>
          </cell>
          <cell r="E318">
            <v>6449</v>
          </cell>
          <cell r="F318">
            <v>19347</v>
          </cell>
          <cell r="G318">
            <v>6449</v>
          </cell>
          <cell r="H318">
            <v>45143</v>
          </cell>
        </row>
        <row r="319">
          <cell r="C319">
            <v>1176408</v>
          </cell>
          <cell r="D319" t="str">
            <v>COLEGIO ESTADUAL DO CAMPO ANNA JUNQUEIRA AYRES TOURINHO - TEMPO INTEGRAL - DISTRITO DE MATARIPE</v>
          </cell>
          <cell r="E319">
            <v>6651</v>
          </cell>
          <cell r="F319">
            <v>19953</v>
          </cell>
          <cell r="G319">
            <v>6651</v>
          </cell>
          <cell r="H319">
            <v>46557</v>
          </cell>
        </row>
        <row r="320">
          <cell r="C320">
            <v>1176410</v>
          </cell>
          <cell r="D320" t="str">
            <v>COLEGIO DA POLICIA MILITAR - CPM FRANCISCO PEDRO DE OLIVEIRA</v>
          </cell>
          <cell r="E320">
            <v>11715</v>
          </cell>
          <cell r="F320">
            <v>35145</v>
          </cell>
          <cell r="G320">
            <v>11715</v>
          </cell>
          <cell r="H320">
            <v>82005</v>
          </cell>
        </row>
        <row r="321">
          <cell r="C321">
            <v>1176422</v>
          </cell>
          <cell r="D321" t="str">
            <v>COLÉGIO MODELO LUIS EDUARDO MAGALHÃES</v>
          </cell>
          <cell r="E321">
            <v>19675</v>
          </cell>
          <cell r="F321">
            <v>59025</v>
          </cell>
          <cell r="G321">
            <v>19675</v>
          </cell>
          <cell r="H321">
            <v>137725</v>
          </cell>
        </row>
        <row r="322">
          <cell r="C322">
            <v>1176445</v>
          </cell>
          <cell r="D322" t="str">
            <v>COLEGIO ESTADUAL JOSE AUGUSTO TOURINHO DANTAS</v>
          </cell>
          <cell r="E322">
            <v>20135</v>
          </cell>
          <cell r="F322">
            <v>60405</v>
          </cell>
          <cell r="G322">
            <v>20135</v>
          </cell>
          <cell r="H322">
            <v>140945</v>
          </cell>
        </row>
        <row r="323">
          <cell r="C323">
            <v>1176446</v>
          </cell>
          <cell r="D323" t="str">
            <v>COLEGIO ESTADUAL LINDEMBERGUE CARDOSO</v>
          </cell>
          <cell r="E323">
            <v>4786</v>
          </cell>
          <cell r="F323">
            <v>14358</v>
          </cell>
          <cell r="G323">
            <v>4786</v>
          </cell>
          <cell r="H323">
            <v>33502</v>
          </cell>
        </row>
        <row r="324">
          <cell r="C324">
            <v>1176461</v>
          </cell>
          <cell r="D324" t="str">
            <v>COLÉGIO ESTADUAL LUIS EDUARDO MAGALHÃES - TEMPO INTEGRAL</v>
          </cell>
          <cell r="E324">
            <v>10194</v>
          </cell>
          <cell r="F324">
            <v>30582</v>
          </cell>
          <cell r="G324">
            <v>10194</v>
          </cell>
          <cell r="H324">
            <v>71358</v>
          </cell>
        </row>
        <row r="325">
          <cell r="C325">
            <v>1176610</v>
          </cell>
          <cell r="D325" t="str">
            <v>COLEGIO ESTADUAL SETE DE SETEMBRO</v>
          </cell>
          <cell r="E325">
            <v>10678</v>
          </cell>
          <cell r="F325">
            <v>32034</v>
          </cell>
          <cell r="G325">
            <v>10678</v>
          </cell>
          <cell r="H325">
            <v>74746</v>
          </cell>
        </row>
        <row r="326">
          <cell r="C326">
            <v>1176611</v>
          </cell>
          <cell r="D326" t="str">
            <v>CENTRO TERRITORIAL DE EDUCACAO PROFISSIONAL DA REGIAO METROPOLITANA</v>
          </cell>
          <cell r="E326">
            <v>15378</v>
          </cell>
          <cell r="F326">
            <v>46134</v>
          </cell>
          <cell r="G326">
            <v>15378</v>
          </cell>
          <cell r="H326">
            <v>107646</v>
          </cell>
        </row>
        <row r="327">
          <cell r="C327">
            <v>1176660</v>
          </cell>
          <cell r="D327" t="str">
            <v>COLÉGIO ESTADUAL PROFESSORA NOEMIA REGO - TEMPO INTEGRAL</v>
          </cell>
          <cell r="E327">
            <v>30254</v>
          </cell>
          <cell r="F327">
            <v>90762</v>
          </cell>
          <cell r="G327">
            <v>30254</v>
          </cell>
          <cell r="H327">
            <v>211778</v>
          </cell>
        </row>
        <row r="328">
          <cell r="C328">
            <v>1176661</v>
          </cell>
          <cell r="D328" t="str">
            <v>COLEGIO ESTADUAL PROFESSOR JOSE BARRETO DE ARAUJO BASTOS - TEMPO INTEGRAL</v>
          </cell>
          <cell r="E328">
            <v>8970</v>
          </cell>
          <cell r="F328">
            <v>26910</v>
          </cell>
          <cell r="G328">
            <v>8970</v>
          </cell>
          <cell r="H328">
            <v>62790</v>
          </cell>
        </row>
        <row r="329">
          <cell r="C329">
            <v>1176720</v>
          </cell>
          <cell r="D329" t="str">
            <v>COLÉGIO ESTADUAL PROFESSOR ARISTIDES DE SOUZA OLIVEIRA</v>
          </cell>
          <cell r="E329">
            <v>6449</v>
          </cell>
          <cell r="F329">
            <v>19347</v>
          </cell>
          <cell r="G329">
            <v>6449</v>
          </cell>
          <cell r="H329">
            <v>45143</v>
          </cell>
        </row>
        <row r="330">
          <cell r="C330">
            <v>1176760</v>
          </cell>
          <cell r="D330" t="str">
            <v>COLÉGIO ESTADUAL VILA CANÁRIA - TEMPO INTEGRAL</v>
          </cell>
          <cell r="E330">
            <v>31005</v>
          </cell>
          <cell r="F330">
            <v>93015</v>
          </cell>
          <cell r="G330">
            <v>31005</v>
          </cell>
          <cell r="H330">
            <v>217035</v>
          </cell>
        </row>
        <row r="331">
          <cell r="C331">
            <v>1176765</v>
          </cell>
          <cell r="D331" t="str">
            <v>COLEGIO ESTADUAL PROFESSORA MARIA ODETTE PITHON RAYNAL</v>
          </cell>
          <cell r="E331">
            <v>13402</v>
          </cell>
          <cell r="F331">
            <v>40206</v>
          </cell>
          <cell r="G331">
            <v>13402</v>
          </cell>
          <cell r="H331">
            <v>93814</v>
          </cell>
        </row>
        <row r="332">
          <cell r="C332">
            <v>1176795</v>
          </cell>
          <cell r="D332" t="str">
            <v>COLEGIO ESTADUAL DE PRAIA GRANDE</v>
          </cell>
          <cell r="E332">
            <v>22258</v>
          </cell>
          <cell r="F332">
            <v>66774</v>
          </cell>
          <cell r="G332">
            <v>22258</v>
          </cell>
          <cell r="H332">
            <v>155806</v>
          </cell>
        </row>
        <row r="333">
          <cell r="C333">
            <v>1176800</v>
          </cell>
          <cell r="D333" t="str">
            <v>ESCOLA ESTADUAL PROFESSOR GERMANO MACHADO NETO</v>
          </cell>
          <cell r="E333">
            <v>6132</v>
          </cell>
          <cell r="F333">
            <v>18396</v>
          </cell>
          <cell r="G333">
            <v>6132</v>
          </cell>
          <cell r="H333">
            <v>42924</v>
          </cell>
        </row>
        <row r="334">
          <cell r="C334">
            <v>1176810</v>
          </cell>
          <cell r="D334" t="str">
            <v>COLEGIO ESTADUAL PROFESSORA MARIA BERNADETE BRANDAO</v>
          </cell>
          <cell r="E334">
            <v>25423</v>
          </cell>
          <cell r="F334">
            <v>76269</v>
          </cell>
          <cell r="G334">
            <v>25423</v>
          </cell>
          <cell r="H334">
            <v>177961</v>
          </cell>
        </row>
        <row r="335">
          <cell r="C335">
            <v>1176880</v>
          </cell>
          <cell r="D335" t="str">
            <v>COLÉGIO ESTADUAL PROFESSORA MARIA DE LOURDES PARADA FRANCH</v>
          </cell>
          <cell r="E335">
            <v>22706</v>
          </cell>
          <cell r="F335">
            <v>68118</v>
          </cell>
          <cell r="G335">
            <v>22706</v>
          </cell>
          <cell r="H335">
            <v>158942</v>
          </cell>
        </row>
        <row r="336">
          <cell r="C336">
            <v>1176915</v>
          </cell>
          <cell r="D336" t="str">
            <v>COLEGIO ESTADUAL DEPUTADO LUIS EDUARDO MAGALHAES</v>
          </cell>
          <cell r="E336">
            <v>11736</v>
          </cell>
          <cell r="F336">
            <v>35208</v>
          </cell>
          <cell r="G336">
            <v>11736</v>
          </cell>
          <cell r="H336">
            <v>82152</v>
          </cell>
        </row>
        <row r="337">
          <cell r="C337">
            <v>1177009</v>
          </cell>
          <cell r="D337" t="str">
            <v>COLEGIO ESTADUAL MANOEL DE JESUS</v>
          </cell>
          <cell r="E337">
            <v>12662</v>
          </cell>
          <cell r="F337">
            <v>37986</v>
          </cell>
          <cell r="G337">
            <v>12662</v>
          </cell>
          <cell r="H337">
            <v>88634</v>
          </cell>
        </row>
        <row r="338">
          <cell r="C338">
            <v>1177090</v>
          </cell>
          <cell r="D338" t="str">
            <v>COLEGIO MODELO LUIS EDUARDO MAGALHAES</v>
          </cell>
          <cell r="E338">
            <v>30503</v>
          </cell>
          <cell r="F338">
            <v>91509</v>
          </cell>
          <cell r="G338">
            <v>30503</v>
          </cell>
          <cell r="H338">
            <v>213521</v>
          </cell>
        </row>
        <row r="339">
          <cell r="C339">
            <v>1177094</v>
          </cell>
          <cell r="D339" t="str">
            <v>COLEGIO ESTADUAL DE PLATAFORMA</v>
          </cell>
          <cell r="E339">
            <v>6531</v>
          </cell>
          <cell r="F339">
            <v>19593</v>
          </cell>
          <cell r="G339">
            <v>6531</v>
          </cell>
          <cell r="H339">
            <v>45717</v>
          </cell>
        </row>
        <row r="340">
          <cell r="C340">
            <v>1177099</v>
          </cell>
          <cell r="D340" t="str">
            <v>COLEGIO ESTADUAL CIDADE DE CANDEIAS</v>
          </cell>
          <cell r="E340">
            <v>10991</v>
          </cell>
          <cell r="F340">
            <v>32973</v>
          </cell>
          <cell r="G340">
            <v>10991</v>
          </cell>
          <cell r="H340">
            <v>76937</v>
          </cell>
        </row>
        <row r="341">
          <cell r="C341">
            <v>1178035</v>
          </cell>
          <cell r="D341" t="str">
            <v>COLEGIO ESTADUAL PROFESSOR EDILSON SOUTO FREIRE</v>
          </cell>
          <cell r="E341">
            <v>22880</v>
          </cell>
          <cell r="F341">
            <v>68640</v>
          </cell>
          <cell r="G341">
            <v>22880</v>
          </cell>
          <cell r="H341">
            <v>160160</v>
          </cell>
        </row>
        <row r="342">
          <cell r="C342">
            <v>1178076</v>
          </cell>
          <cell r="D342" t="str">
            <v>COLEGIO ESTADUAL SATELITE</v>
          </cell>
          <cell r="E342">
            <v>7126</v>
          </cell>
          <cell r="F342">
            <v>21378</v>
          </cell>
          <cell r="G342">
            <v>7126</v>
          </cell>
          <cell r="H342">
            <v>49882</v>
          </cell>
        </row>
        <row r="343">
          <cell r="C343">
            <v>1178138</v>
          </cell>
          <cell r="D343" t="str">
            <v>COLEGIO ESTADUAL MESTRE PAULO DOS ANJOS</v>
          </cell>
          <cell r="E343">
            <v>20887</v>
          </cell>
          <cell r="F343">
            <v>62661</v>
          </cell>
          <cell r="G343">
            <v>20887</v>
          </cell>
          <cell r="H343">
            <v>146209</v>
          </cell>
        </row>
        <row r="344">
          <cell r="C344">
            <v>1178157</v>
          </cell>
          <cell r="D344" t="str">
            <v>COLEGIO ESTADUAL ANA CRISTINA PRAZERES MATA PIRES</v>
          </cell>
          <cell r="E344">
            <v>13061</v>
          </cell>
          <cell r="F344">
            <v>39183</v>
          </cell>
          <cell r="G344">
            <v>13061</v>
          </cell>
          <cell r="H344">
            <v>91427</v>
          </cell>
        </row>
        <row r="345">
          <cell r="C345">
            <v>1178175</v>
          </cell>
          <cell r="D345" t="str">
            <v>CENTRO ESTADUAL DE EDUCACAO PROFISSIONAL EM MUSICA</v>
          </cell>
          <cell r="E345">
            <v>3589</v>
          </cell>
          <cell r="F345">
            <v>10767</v>
          </cell>
          <cell r="G345">
            <v>3589</v>
          </cell>
          <cell r="H345">
            <v>25123</v>
          </cell>
        </row>
        <row r="346">
          <cell r="C346">
            <v>1178323</v>
          </cell>
          <cell r="D346" t="str">
            <v>CENTRO ESTADUAL DE EDUCAÇÃO PROFISSIONAL EMPREENDE BAHIA</v>
          </cell>
          <cell r="E346">
            <v>24596</v>
          </cell>
          <cell r="F346">
            <v>73788</v>
          </cell>
          <cell r="G346">
            <v>24596</v>
          </cell>
          <cell r="H346">
            <v>172172</v>
          </cell>
        </row>
        <row r="347">
          <cell r="C347">
            <v>1178325</v>
          </cell>
          <cell r="D347" t="str">
            <v>COLÉGIO ESTADUAL DE TEMPO INTEGRAL SÃO DANIEL COMBONI</v>
          </cell>
          <cell r="E347">
            <v>13801</v>
          </cell>
          <cell r="F347">
            <v>41403</v>
          </cell>
          <cell r="G347">
            <v>13801</v>
          </cell>
          <cell r="H347">
            <v>96607</v>
          </cell>
        </row>
        <row r="348">
          <cell r="C348">
            <v>1178399</v>
          </cell>
          <cell r="D348" t="str">
            <v>COLEGIO ESTADUAL DE MONTE GORDO</v>
          </cell>
          <cell r="E348">
            <v>13634</v>
          </cell>
          <cell r="F348">
            <v>40902</v>
          </cell>
          <cell r="G348">
            <v>13634</v>
          </cell>
          <cell r="H348">
            <v>95438</v>
          </cell>
        </row>
        <row r="349">
          <cell r="C349">
            <v>1178400</v>
          </cell>
          <cell r="D349" t="str">
            <v>COLÉGIO ESTADUAL DE VILA DE ABRANTES</v>
          </cell>
          <cell r="E349">
            <v>29523</v>
          </cell>
          <cell r="F349">
            <v>88569</v>
          </cell>
          <cell r="G349">
            <v>29523</v>
          </cell>
          <cell r="H349">
            <v>206661</v>
          </cell>
        </row>
        <row r="350">
          <cell r="C350">
            <v>1178420</v>
          </cell>
          <cell r="D350" t="str">
            <v>COLEGIO ESTADUAL PROFESSORA NADIR ARAUJO COPQUE - TEMPO INTEGRAL</v>
          </cell>
          <cell r="E350">
            <v>15276</v>
          </cell>
          <cell r="F350">
            <v>45828</v>
          </cell>
          <cell r="G350">
            <v>15276</v>
          </cell>
          <cell r="H350">
            <v>106932</v>
          </cell>
        </row>
        <row r="351">
          <cell r="C351">
            <v>1178430</v>
          </cell>
          <cell r="D351" t="str">
            <v>CENTRO ESTADUAL DE EDUCACAO PROFISSIONAL DO OCEANO</v>
          </cell>
          <cell r="E351">
            <v>5733</v>
          </cell>
          <cell r="F351">
            <v>17199</v>
          </cell>
          <cell r="G351">
            <v>5733</v>
          </cell>
          <cell r="H351">
            <v>40131</v>
          </cell>
        </row>
        <row r="352">
          <cell r="C352">
            <v>1178431</v>
          </cell>
          <cell r="D352" t="str">
            <v>CENTRO ESTADUAL DE EDUCACAO PROFISSIONAL EM TECNOLOGIA INFORMACAO E COMUNICACAO</v>
          </cell>
          <cell r="E352">
            <v>10436</v>
          </cell>
          <cell r="F352">
            <v>31308</v>
          </cell>
          <cell r="G352">
            <v>10436</v>
          </cell>
          <cell r="H352">
            <v>73052</v>
          </cell>
        </row>
        <row r="353">
          <cell r="C353">
            <v>1178445</v>
          </cell>
          <cell r="D353" t="str">
            <v>COLEGIO ESTADUAL DE BARRA DO POJUCA - TEMPO INTEGRAL</v>
          </cell>
          <cell r="E353">
            <v>12761</v>
          </cell>
          <cell r="F353">
            <v>38283</v>
          </cell>
          <cell r="G353">
            <v>12761</v>
          </cell>
          <cell r="H353">
            <v>89327</v>
          </cell>
        </row>
        <row r="354">
          <cell r="C354">
            <v>1179484</v>
          </cell>
          <cell r="D354" t="str">
            <v>COLEGIO ESTADUAL DO PHOC</v>
          </cell>
          <cell r="E354">
            <v>4982</v>
          </cell>
          <cell r="F354">
            <v>14946</v>
          </cell>
          <cell r="G354">
            <v>4982</v>
          </cell>
          <cell r="H354">
            <v>34874</v>
          </cell>
        </row>
        <row r="355">
          <cell r="C355">
            <v>1179485</v>
          </cell>
          <cell r="D355" t="str">
            <v>COLEGIO ESTADUAL DE NOVA ESPERANCA</v>
          </cell>
          <cell r="E355">
            <v>7976</v>
          </cell>
          <cell r="F355">
            <v>23928</v>
          </cell>
          <cell r="G355">
            <v>7976</v>
          </cell>
          <cell r="H355">
            <v>55832</v>
          </cell>
        </row>
        <row r="356">
          <cell r="C356">
            <v>1179594</v>
          </cell>
          <cell r="D356" t="str">
            <v>COLEGIO ESTADUAL ANGIOLINA TEIXEIRA DE SOUZA</v>
          </cell>
          <cell r="E356">
            <v>4982</v>
          </cell>
          <cell r="F356">
            <v>14946</v>
          </cell>
          <cell r="G356">
            <v>4982</v>
          </cell>
          <cell r="H356">
            <v>34874</v>
          </cell>
        </row>
        <row r="357">
          <cell r="C357">
            <v>1179670</v>
          </cell>
          <cell r="D357" t="str">
            <v>CENTRO TERRITO. DE EDUC. PROFIS. DE DIAS D AVILA-CETEP DE DIAS D AVILA</v>
          </cell>
          <cell r="E357">
            <v>19130</v>
          </cell>
          <cell r="F357">
            <v>57390</v>
          </cell>
          <cell r="G357">
            <v>19130</v>
          </cell>
          <cell r="H357">
            <v>133910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4A62-2866-4144-AC2B-83F30FF89BD4}">
  <sheetPr codeName="Planilha9"/>
  <dimension ref="A1:J1050"/>
  <sheetViews>
    <sheetView showGridLines="0" tabSelected="1" view="pageBreakPreview" zoomScaleNormal="85" zoomScaleSheetLayoutView="100" workbookViewId="0">
      <pane ySplit="2" topLeftCell="A3" activePane="bottomLeft" state="frozen"/>
      <selection activeCell="F168" sqref="F168:F1044"/>
      <selection pane="bottomLeft" activeCell="F168" sqref="F168:F1044"/>
    </sheetView>
  </sheetViews>
  <sheetFormatPr defaultColWidth="8.88671875" defaultRowHeight="18" customHeight="1" x14ac:dyDescent="0.3"/>
  <cols>
    <col min="1" max="1" width="6.5546875" style="41" customWidth="1"/>
    <col min="2" max="2" width="15.88671875" style="17" customWidth="1"/>
    <col min="3" max="3" width="11.44140625" style="17" customWidth="1"/>
    <col min="4" max="4" width="84.109375" style="17" bestFit="1" customWidth="1"/>
    <col min="5" max="5" width="11.33203125" style="17" customWidth="1"/>
    <col min="6" max="6" width="10.5546875" style="17" customWidth="1"/>
    <col min="7" max="7" width="14.5546875" style="17" customWidth="1"/>
    <col min="8" max="8" width="13.88671875" style="17" customWidth="1"/>
    <col min="9" max="9" width="11.109375" style="40" hidden="1" customWidth="1"/>
    <col min="10" max="10" width="12.109375" style="17" hidden="1" customWidth="1"/>
    <col min="11" max="16384" width="8.88671875" style="17"/>
  </cols>
  <sheetData>
    <row r="1" spans="1:10" s="3" customFormat="1" ht="26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3" customFormat="1" ht="30.75" customHeight="1" x14ac:dyDescent="0.2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6" t="s">
        <v>7</v>
      </c>
      <c r="H2" s="8" t="s">
        <v>6</v>
      </c>
      <c r="I2" s="9" t="s">
        <v>8</v>
      </c>
      <c r="J2" s="10" t="s">
        <v>9</v>
      </c>
    </row>
    <row r="3" spans="1:10" ht="18" customHeight="1" x14ac:dyDescent="0.3">
      <c r="A3" s="11">
        <v>1</v>
      </c>
      <c r="B3" s="12" t="s">
        <v>10</v>
      </c>
      <c r="C3" s="13">
        <v>1125747</v>
      </c>
      <c r="D3" s="14" t="s">
        <v>11</v>
      </c>
      <c r="E3" s="15">
        <v>6820.4</v>
      </c>
      <c r="F3" s="15">
        <f>E3*10</f>
        <v>68204</v>
      </c>
      <c r="G3" s="15">
        <v>29803.600000000002</v>
      </c>
      <c r="H3" s="15">
        <f>G3*10</f>
        <v>298036</v>
      </c>
      <c r="I3" s="16" t="str">
        <f>IFERROR(VLOOKUP($C3,[1]dados_2023!$C$3:$H$357,4,0),"-")</f>
        <v>-</v>
      </c>
      <c r="J3" s="16" t="str">
        <f>IFERROR(VLOOKUP($C3,[1]dados_2023!$C$3:$H$357,6,0),"-")</f>
        <v>-</v>
      </c>
    </row>
    <row r="4" spans="1:10" ht="18" customHeight="1" x14ac:dyDescent="0.3">
      <c r="A4" s="11">
        <v>1</v>
      </c>
      <c r="B4" s="12" t="s">
        <v>12</v>
      </c>
      <c r="C4" s="13">
        <v>1125925</v>
      </c>
      <c r="D4" s="14" t="s">
        <v>13</v>
      </c>
      <c r="E4" s="15">
        <v>4626.3999999999996</v>
      </c>
      <c r="F4" s="15">
        <f t="shared" ref="F4:F67" si="0">E4*10</f>
        <v>46264</v>
      </c>
      <c r="G4" s="15">
        <v>20243.2</v>
      </c>
      <c r="H4" s="15">
        <f t="shared" ref="H4:H67" si="1">G4*10</f>
        <v>202432</v>
      </c>
      <c r="I4" s="16" t="str">
        <f>IFERROR(VLOOKUP($C4,[1]dados_2023!$C$3:$H$357,4,0),"-")</f>
        <v>-</v>
      </c>
      <c r="J4" s="16" t="str">
        <f>IFERROR(VLOOKUP($C4,[1]dados_2023!$C$3:$H$357,6,0),"-")</f>
        <v>-</v>
      </c>
    </row>
    <row r="5" spans="1:10" ht="18" customHeight="1" x14ac:dyDescent="0.3">
      <c r="A5" s="11">
        <v>1</v>
      </c>
      <c r="B5" s="12" t="s">
        <v>14</v>
      </c>
      <c r="C5" s="13">
        <v>1126212</v>
      </c>
      <c r="D5" s="14" t="s">
        <v>15</v>
      </c>
      <c r="E5" s="15">
        <v>4998.8</v>
      </c>
      <c r="F5" s="15">
        <f t="shared" si="0"/>
        <v>49988</v>
      </c>
      <c r="G5" s="15">
        <v>21684.000000000004</v>
      </c>
      <c r="H5" s="15">
        <f t="shared" si="1"/>
        <v>216840.00000000003</v>
      </c>
      <c r="I5" s="16" t="str">
        <f>IFERROR(VLOOKUP($C5,[1]dados_2023!$C$3:$H$357,4,0),"-")</f>
        <v>-</v>
      </c>
      <c r="J5" s="16" t="str">
        <f>IFERROR(VLOOKUP($C5,[1]dados_2023!$C$3:$H$357,6,0),"-")</f>
        <v>-</v>
      </c>
    </row>
    <row r="6" spans="1:10" ht="18" customHeight="1" x14ac:dyDescent="0.3">
      <c r="A6" s="11">
        <v>1</v>
      </c>
      <c r="B6" s="12" t="s">
        <v>16</v>
      </c>
      <c r="C6" s="13">
        <v>1126247</v>
      </c>
      <c r="D6" s="14" t="s">
        <v>17</v>
      </c>
      <c r="E6" s="15">
        <v>11375.000000000002</v>
      </c>
      <c r="F6" s="15">
        <f t="shared" si="0"/>
        <v>113750.00000000001</v>
      </c>
      <c r="G6" s="15">
        <v>40604.400000000001</v>
      </c>
      <c r="H6" s="15">
        <f t="shared" si="1"/>
        <v>406044</v>
      </c>
      <c r="I6" s="16" t="str">
        <f>IFERROR(VLOOKUP($C6,[1]dados_2023!$C$3:$H$357,4,0),"-")</f>
        <v>-</v>
      </c>
      <c r="J6" s="16" t="str">
        <f>IFERROR(VLOOKUP($C6,[1]dados_2023!$C$3:$H$357,6,0),"-")</f>
        <v>-</v>
      </c>
    </row>
    <row r="7" spans="1:10" ht="18" customHeight="1" x14ac:dyDescent="0.3">
      <c r="A7" s="11">
        <v>1</v>
      </c>
      <c r="B7" s="12" t="s">
        <v>18</v>
      </c>
      <c r="C7" s="13">
        <v>1137583</v>
      </c>
      <c r="D7" s="14" t="s">
        <v>19</v>
      </c>
      <c r="E7" s="15">
        <v>2941</v>
      </c>
      <c r="F7" s="15">
        <f t="shared" si="0"/>
        <v>29410</v>
      </c>
      <c r="G7" s="15">
        <v>13055.2</v>
      </c>
      <c r="H7" s="15">
        <f t="shared" si="1"/>
        <v>130552</v>
      </c>
      <c r="I7" s="16" t="str">
        <f>IFERROR(VLOOKUP($C7,[1]dados_2023!$C$3:$H$357,4,0),"-")</f>
        <v>-</v>
      </c>
      <c r="J7" s="16" t="str">
        <f>IFERROR(VLOOKUP($C7,[1]dados_2023!$C$3:$H$357,6,0),"-")</f>
        <v>-</v>
      </c>
    </row>
    <row r="8" spans="1:10" ht="18" customHeight="1" x14ac:dyDescent="0.3">
      <c r="A8" s="11">
        <v>1</v>
      </c>
      <c r="B8" s="12" t="s">
        <v>18</v>
      </c>
      <c r="C8" s="13">
        <v>1163100</v>
      </c>
      <c r="D8" s="14" t="s">
        <v>20</v>
      </c>
      <c r="E8" s="15">
        <v>11467.6</v>
      </c>
      <c r="F8" s="15">
        <f t="shared" si="0"/>
        <v>114676</v>
      </c>
      <c r="G8" s="15">
        <v>40418.800000000003</v>
      </c>
      <c r="H8" s="15">
        <f t="shared" si="1"/>
        <v>404188</v>
      </c>
      <c r="I8" s="16" t="str">
        <f>IFERROR(VLOOKUP($C8,[1]dados_2023!$C$3:$H$357,4,0),"-")</f>
        <v>-</v>
      </c>
      <c r="J8" s="16" t="str">
        <f>IFERROR(VLOOKUP($C8,[1]dados_2023!$C$3:$H$357,6,0),"-")</f>
        <v>-</v>
      </c>
    </row>
    <row r="9" spans="1:10" ht="18" customHeight="1" x14ac:dyDescent="0.3">
      <c r="A9" s="11">
        <v>1</v>
      </c>
      <c r="B9" s="12" t="s">
        <v>21</v>
      </c>
      <c r="C9" s="13">
        <v>1163088</v>
      </c>
      <c r="D9" s="14" t="s">
        <v>22</v>
      </c>
      <c r="E9" s="15">
        <v>10848.400000000001</v>
      </c>
      <c r="F9" s="15">
        <f t="shared" si="0"/>
        <v>108484.00000000001</v>
      </c>
      <c r="G9" s="15">
        <v>36405.600000000006</v>
      </c>
      <c r="H9" s="15">
        <f t="shared" si="1"/>
        <v>364056.00000000006</v>
      </c>
      <c r="I9" s="16" t="str">
        <f>IFERROR(VLOOKUP($C9,[1]dados_2023!$C$3:$H$357,4,0),"-")</f>
        <v>-</v>
      </c>
      <c r="J9" s="16" t="str">
        <f>IFERROR(VLOOKUP($C9,[1]dados_2023!$C$3:$H$357,6,0),"-")</f>
        <v>-</v>
      </c>
    </row>
    <row r="10" spans="1:10" ht="18" customHeight="1" x14ac:dyDescent="0.3">
      <c r="A10" s="11">
        <v>1</v>
      </c>
      <c r="B10" s="12" t="s">
        <v>23</v>
      </c>
      <c r="C10" s="13">
        <v>1125887</v>
      </c>
      <c r="D10" s="14" t="s">
        <v>24</v>
      </c>
      <c r="E10" s="15">
        <v>7424.4</v>
      </c>
      <c r="F10" s="15">
        <f t="shared" si="0"/>
        <v>74244</v>
      </c>
      <c r="G10" s="15">
        <v>23218.799999999999</v>
      </c>
      <c r="H10" s="15">
        <f t="shared" si="1"/>
        <v>232188</v>
      </c>
      <c r="I10" s="16" t="str">
        <f>IFERROR(VLOOKUP($C10,[1]dados_2023!$C$3:$H$357,4,0),"-")</f>
        <v>-</v>
      </c>
      <c r="J10" s="16" t="str">
        <f>IFERROR(VLOOKUP($C10,[1]dados_2023!$C$3:$H$357,6,0),"-")</f>
        <v>-</v>
      </c>
    </row>
    <row r="11" spans="1:10" ht="18" customHeight="1" x14ac:dyDescent="0.3">
      <c r="A11" s="11">
        <v>1</v>
      </c>
      <c r="B11" s="12" t="s">
        <v>25</v>
      </c>
      <c r="C11" s="13">
        <v>1126050</v>
      </c>
      <c r="D11" s="14" t="s">
        <v>26</v>
      </c>
      <c r="E11" s="15">
        <v>3148</v>
      </c>
      <c r="F11" s="15">
        <f t="shared" si="0"/>
        <v>31480</v>
      </c>
      <c r="G11" s="15">
        <v>11880</v>
      </c>
      <c r="H11" s="15">
        <f t="shared" si="1"/>
        <v>118800</v>
      </c>
      <c r="I11" s="16" t="str">
        <f>IFERROR(VLOOKUP($C11,[1]dados_2023!$C$3:$H$357,4,0),"-")</f>
        <v>-</v>
      </c>
      <c r="J11" s="16" t="str">
        <f>IFERROR(VLOOKUP($C11,[1]dados_2023!$C$3:$H$357,6,0),"-")</f>
        <v>-</v>
      </c>
    </row>
    <row r="12" spans="1:10" ht="18" customHeight="1" x14ac:dyDescent="0.3">
      <c r="A12" s="11">
        <v>1</v>
      </c>
      <c r="B12" s="12" t="s">
        <v>25</v>
      </c>
      <c r="C12" s="13">
        <v>1125968</v>
      </c>
      <c r="D12" s="14" t="s">
        <v>27</v>
      </c>
      <c r="E12" s="15">
        <v>6684.4000000000005</v>
      </c>
      <c r="F12" s="15">
        <f t="shared" si="0"/>
        <v>66844</v>
      </c>
      <c r="G12" s="15">
        <v>23001.599999999999</v>
      </c>
      <c r="H12" s="15">
        <f t="shared" si="1"/>
        <v>230016</v>
      </c>
      <c r="I12" s="16" t="str">
        <f>IFERROR(VLOOKUP($C12,[1]dados_2023!$C$3:$H$357,4,0),"-")</f>
        <v>-</v>
      </c>
      <c r="J12" s="16" t="str">
        <f>IFERROR(VLOOKUP($C12,[1]dados_2023!$C$3:$H$357,6,0),"-")</f>
        <v>-</v>
      </c>
    </row>
    <row r="13" spans="1:10" ht="18" customHeight="1" x14ac:dyDescent="0.3">
      <c r="A13" s="11">
        <v>1</v>
      </c>
      <c r="B13" s="12" t="s">
        <v>28</v>
      </c>
      <c r="C13" s="13">
        <v>1162774</v>
      </c>
      <c r="D13" s="14" t="s">
        <v>29</v>
      </c>
      <c r="E13" s="15">
        <v>8579.6</v>
      </c>
      <c r="F13" s="15">
        <f t="shared" si="0"/>
        <v>85796</v>
      </c>
      <c r="G13" s="15">
        <v>30436.200000000004</v>
      </c>
      <c r="H13" s="15">
        <f t="shared" si="1"/>
        <v>304362.00000000006</v>
      </c>
      <c r="I13" s="16" t="str">
        <f>IFERROR(VLOOKUP($C13,[1]dados_2023!$C$3:$H$357,4,0),"-")</f>
        <v>-</v>
      </c>
      <c r="J13" s="16" t="str">
        <f>IFERROR(VLOOKUP($C13,[1]dados_2023!$C$3:$H$357,6,0),"-")</f>
        <v>-</v>
      </c>
    </row>
    <row r="14" spans="1:10" ht="18" customHeight="1" x14ac:dyDescent="0.3">
      <c r="A14" s="11">
        <v>1</v>
      </c>
      <c r="B14" s="12" t="s">
        <v>30</v>
      </c>
      <c r="C14" s="13">
        <v>1127260</v>
      </c>
      <c r="D14" s="14" t="s">
        <v>31</v>
      </c>
      <c r="E14" s="15">
        <v>3620</v>
      </c>
      <c r="F14" s="15">
        <f t="shared" si="0"/>
        <v>36200</v>
      </c>
      <c r="G14" s="15">
        <v>15493.600000000002</v>
      </c>
      <c r="H14" s="15">
        <f t="shared" si="1"/>
        <v>154936.00000000003</v>
      </c>
      <c r="I14" s="16" t="str">
        <f>IFERROR(VLOOKUP($C14,[1]dados_2023!$C$3:$H$357,4,0),"-")</f>
        <v>-</v>
      </c>
      <c r="J14" s="16" t="str">
        <f>IFERROR(VLOOKUP($C14,[1]dados_2023!$C$3:$H$357,6,0),"-")</f>
        <v>-</v>
      </c>
    </row>
    <row r="15" spans="1:10" ht="18" customHeight="1" x14ac:dyDescent="0.3">
      <c r="A15" s="11">
        <v>1</v>
      </c>
      <c r="B15" s="12" t="s">
        <v>32</v>
      </c>
      <c r="C15" s="13">
        <v>1179281</v>
      </c>
      <c r="D15" s="14" t="s">
        <v>33</v>
      </c>
      <c r="E15" s="15">
        <v>13000</v>
      </c>
      <c r="F15" s="15">
        <f t="shared" si="0"/>
        <v>130000</v>
      </c>
      <c r="G15" s="15">
        <v>55640</v>
      </c>
      <c r="H15" s="15">
        <f t="shared" si="1"/>
        <v>556400</v>
      </c>
      <c r="I15" s="16" t="str">
        <f>IFERROR(VLOOKUP($C15,[1]dados_2023!$C$3:$H$357,4,0),"-")</f>
        <v>-</v>
      </c>
      <c r="J15" s="16" t="str">
        <f>IFERROR(VLOOKUP($C15,[1]dados_2023!$C$3:$H$357,6,0),"-")</f>
        <v>-</v>
      </c>
    </row>
    <row r="16" spans="1:10" ht="18" customHeight="1" x14ac:dyDescent="0.3">
      <c r="A16" s="11">
        <v>1</v>
      </c>
      <c r="B16" s="12" t="s">
        <v>32</v>
      </c>
      <c r="C16" s="13">
        <v>1126590</v>
      </c>
      <c r="D16" s="14" t="s">
        <v>34</v>
      </c>
      <c r="E16" s="15">
        <v>16020</v>
      </c>
      <c r="F16" s="15">
        <f t="shared" si="0"/>
        <v>160200</v>
      </c>
      <c r="G16" s="15">
        <v>68565.600000000006</v>
      </c>
      <c r="H16" s="15">
        <f t="shared" si="1"/>
        <v>685656</v>
      </c>
      <c r="I16" s="16" t="str">
        <f>IFERROR(VLOOKUP($C16,[1]dados_2023!$C$3:$H$357,4,0),"-")</f>
        <v>-</v>
      </c>
      <c r="J16" s="16" t="str">
        <f>IFERROR(VLOOKUP($C16,[1]dados_2023!$C$3:$H$357,6,0),"-")</f>
        <v>-</v>
      </c>
    </row>
    <row r="17" spans="1:10" ht="18" customHeight="1" x14ac:dyDescent="0.3">
      <c r="A17" s="11">
        <v>1</v>
      </c>
      <c r="B17" s="12" t="s">
        <v>32</v>
      </c>
      <c r="C17" s="13">
        <v>1126611</v>
      </c>
      <c r="D17" s="14" t="s">
        <v>35</v>
      </c>
      <c r="E17" s="15">
        <v>15958.600000000002</v>
      </c>
      <c r="F17" s="15">
        <f t="shared" si="0"/>
        <v>159586.00000000003</v>
      </c>
      <c r="G17" s="15">
        <v>58236.200000000004</v>
      </c>
      <c r="H17" s="15">
        <f t="shared" si="1"/>
        <v>582362</v>
      </c>
      <c r="I17" s="16" t="str">
        <f>IFERROR(VLOOKUP($C17,[1]dados_2023!$C$3:$H$357,4,0),"-")</f>
        <v>-</v>
      </c>
      <c r="J17" s="16" t="str">
        <f>IFERROR(VLOOKUP($C17,[1]dados_2023!$C$3:$H$357,6,0),"-")</f>
        <v>-</v>
      </c>
    </row>
    <row r="18" spans="1:10" ht="18" customHeight="1" x14ac:dyDescent="0.3">
      <c r="A18" s="11">
        <v>1</v>
      </c>
      <c r="B18" s="12" t="s">
        <v>32</v>
      </c>
      <c r="C18" s="13">
        <v>1176431</v>
      </c>
      <c r="D18" s="14" t="s">
        <v>36</v>
      </c>
      <c r="E18" s="15">
        <v>22472</v>
      </c>
      <c r="F18" s="15">
        <f t="shared" si="0"/>
        <v>224720</v>
      </c>
      <c r="G18" s="15">
        <v>69883.199999999997</v>
      </c>
      <c r="H18" s="15">
        <f t="shared" si="1"/>
        <v>698832</v>
      </c>
      <c r="I18" s="16" t="str">
        <f>IFERROR(VLOOKUP($C18,[1]dados_2023!$C$3:$H$357,4,0),"-")</f>
        <v>-</v>
      </c>
      <c r="J18" s="16" t="str">
        <f>IFERROR(VLOOKUP($C18,[1]dados_2023!$C$3:$H$357,6,0),"-")</f>
        <v>-</v>
      </c>
    </row>
    <row r="19" spans="1:10" ht="18" customHeight="1" x14ac:dyDescent="0.3">
      <c r="A19" s="11">
        <v>1</v>
      </c>
      <c r="B19" s="12" t="s">
        <v>37</v>
      </c>
      <c r="C19" s="13">
        <v>1178258</v>
      </c>
      <c r="D19" s="14" t="s">
        <v>38</v>
      </c>
      <c r="E19" s="15">
        <v>5470.8</v>
      </c>
      <c r="F19" s="15">
        <f t="shared" si="0"/>
        <v>54708</v>
      </c>
      <c r="G19" s="15">
        <v>17923.599999999999</v>
      </c>
      <c r="H19" s="15">
        <f t="shared" si="1"/>
        <v>179236</v>
      </c>
      <c r="I19" s="16" t="str">
        <f>IFERROR(VLOOKUP($C19,[1]dados_2023!$C$3:$H$357,4,0),"-")</f>
        <v>-</v>
      </c>
      <c r="J19" s="16" t="str">
        <f>IFERROR(VLOOKUP($C19,[1]dados_2023!$C$3:$H$357,6,0),"-")</f>
        <v>-</v>
      </c>
    </row>
    <row r="20" spans="1:10" ht="18" customHeight="1" x14ac:dyDescent="0.3">
      <c r="A20" s="11">
        <v>1</v>
      </c>
      <c r="B20" s="12" t="s">
        <v>39</v>
      </c>
      <c r="C20" s="13">
        <v>1162502</v>
      </c>
      <c r="D20" s="14" t="s">
        <v>40</v>
      </c>
      <c r="E20" s="15">
        <v>9274.4</v>
      </c>
      <c r="F20" s="15">
        <f t="shared" si="0"/>
        <v>92744</v>
      </c>
      <c r="G20" s="15">
        <v>40902</v>
      </c>
      <c r="H20" s="15">
        <f t="shared" si="1"/>
        <v>409020</v>
      </c>
      <c r="I20" s="16" t="str">
        <f>IFERROR(VLOOKUP($C20,[1]dados_2023!$C$3:$H$357,4,0),"-")</f>
        <v>-</v>
      </c>
      <c r="J20" s="16" t="str">
        <f>IFERROR(VLOOKUP($C20,[1]dados_2023!$C$3:$H$357,6,0),"-")</f>
        <v>-</v>
      </c>
    </row>
    <row r="21" spans="1:10" ht="18" customHeight="1" x14ac:dyDescent="0.3">
      <c r="A21" s="11">
        <v>1</v>
      </c>
      <c r="B21" s="12" t="s">
        <v>41</v>
      </c>
      <c r="C21" s="13">
        <v>1178040</v>
      </c>
      <c r="D21" s="14" t="s">
        <v>42</v>
      </c>
      <c r="E21" s="15">
        <v>11356.400000000001</v>
      </c>
      <c r="F21" s="15">
        <f t="shared" si="0"/>
        <v>113564.00000000001</v>
      </c>
      <c r="G21" s="15">
        <v>38789.4</v>
      </c>
      <c r="H21" s="15">
        <f t="shared" si="1"/>
        <v>387894</v>
      </c>
      <c r="I21" s="16" t="str">
        <f>IFERROR(VLOOKUP($C21,[1]dados_2023!$C$3:$H$357,4,0),"-")</f>
        <v>-</v>
      </c>
      <c r="J21" s="16" t="str">
        <f>IFERROR(VLOOKUP($C21,[1]dados_2023!$C$3:$H$357,6,0),"-")</f>
        <v>-</v>
      </c>
    </row>
    <row r="22" spans="1:10" ht="18" customHeight="1" x14ac:dyDescent="0.3">
      <c r="A22" s="11">
        <v>1</v>
      </c>
      <c r="B22" s="12" t="s">
        <v>43</v>
      </c>
      <c r="C22" s="13">
        <v>1162480</v>
      </c>
      <c r="D22" s="14" t="s">
        <v>44</v>
      </c>
      <c r="E22" s="15">
        <v>17296.600000000002</v>
      </c>
      <c r="F22" s="15">
        <f t="shared" si="0"/>
        <v>172966.00000000003</v>
      </c>
      <c r="G22" s="15">
        <v>54211.8</v>
      </c>
      <c r="H22" s="15">
        <f t="shared" si="1"/>
        <v>542118</v>
      </c>
      <c r="I22" s="16" t="str">
        <f>IFERROR(VLOOKUP($C22,[1]dados_2023!$C$3:$H$357,4,0),"-")</f>
        <v>-</v>
      </c>
      <c r="J22" s="16" t="str">
        <f>IFERROR(VLOOKUP($C22,[1]dados_2023!$C$3:$H$357,6,0),"-")</f>
        <v>-</v>
      </c>
    </row>
    <row r="23" spans="1:10" ht="18" customHeight="1" x14ac:dyDescent="0.3">
      <c r="A23" s="11">
        <v>1</v>
      </c>
      <c r="B23" s="12" t="s">
        <v>43</v>
      </c>
      <c r="C23" s="13">
        <v>1178257</v>
      </c>
      <c r="D23" s="14" t="s">
        <v>45</v>
      </c>
      <c r="E23" s="15">
        <v>4279.2</v>
      </c>
      <c r="F23" s="15">
        <f t="shared" si="0"/>
        <v>42792</v>
      </c>
      <c r="G23" s="15">
        <v>19216.400000000001</v>
      </c>
      <c r="H23" s="15">
        <f t="shared" si="1"/>
        <v>192164</v>
      </c>
      <c r="I23" s="16" t="str">
        <f>IFERROR(VLOOKUP($C23,[1]dados_2023!$C$3:$H$357,4,0),"-")</f>
        <v>-</v>
      </c>
      <c r="J23" s="16" t="str">
        <f>IFERROR(VLOOKUP($C23,[1]dados_2023!$C$3:$H$357,6,0),"-")</f>
        <v>-</v>
      </c>
    </row>
    <row r="24" spans="1:10" ht="18" customHeight="1" x14ac:dyDescent="0.3">
      <c r="A24" s="11">
        <v>1</v>
      </c>
      <c r="B24" s="12" t="s">
        <v>46</v>
      </c>
      <c r="C24" s="13">
        <v>1178146</v>
      </c>
      <c r="D24" s="14" t="s">
        <v>47</v>
      </c>
      <c r="E24" s="15">
        <v>5295</v>
      </c>
      <c r="F24" s="15">
        <f t="shared" si="0"/>
        <v>52950</v>
      </c>
      <c r="G24" s="15">
        <v>23300.400000000001</v>
      </c>
      <c r="H24" s="15">
        <f t="shared" si="1"/>
        <v>233004</v>
      </c>
      <c r="I24" s="16" t="str">
        <f>IFERROR(VLOOKUP($C24,[1]dados_2023!$C$3:$H$357,4,0),"-")</f>
        <v>-</v>
      </c>
      <c r="J24" s="16" t="str">
        <f>IFERROR(VLOOKUP($C24,[1]dados_2023!$C$3:$H$357,6,0),"-")</f>
        <v>-</v>
      </c>
    </row>
    <row r="25" spans="1:10" ht="18" customHeight="1" x14ac:dyDescent="0.3">
      <c r="A25" s="11">
        <v>1</v>
      </c>
      <c r="B25" s="12" t="s">
        <v>48</v>
      </c>
      <c r="C25" s="13">
        <v>1127154</v>
      </c>
      <c r="D25" s="14" t="s">
        <v>49</v>
      </c>
      <c r="E25" s="15">
        <v>10684.800000000001</v>
      </c>
      <c r="F25" s="15">
        <f t="shared" si="0"/>
        <v>106848.00000000001</v>
      </c>
      <c r="G25" s="15">
        <v>36279.200000000004</v>
      </c>
      <c r="H25" s="15">
        <f t="shared" si="1"/>
        <v>362792.00000000006</v>
      </c>
      <c r="I25" s="16" t="str">
        <f>IFERROR(VLOOKUP($C25,[1]dados_2023!$C$3:$H$357,4,0),"-")</f>
        <v>-</v>
      </c>
      <c r="J25" s="16" t="str">
        <f>IFERROR(VLOOKUP($C25,[1]dados_2023!$C$3:$H$357,6,0),"-")</f>
        <v>-</v>
      </c>
    </row>
    <row r="26" spans="1:10" ht="18" customHeight="1" x14ac:dyDescent="0.3">
      <c r="A26" s="11">
        <v>1</v>
      </c>
      <c r="B26" s="12" t="s">
        <v>50</v>
      </c>
      <c r="C26" s="13">
        <v>1179655</v>
      </c>
      <c r="D26" s="14" t="s">
        <v>51</v>
      </c>
      <c r="E26" s="15">
        <v>2849.8</v>
      </c>
      <c r="F26" s="15">
        <f t="shared" si="0"/>
        <v>28498</v>
      </c>
      <c r="G26" s="15">
        <v>12528.800000000001</v>
      </c>
      <c r="H26" s="15">
        <f t="shared" si="1"/>
        <v>125288.00000000001</v>
      </c>
      <c r="I26" s="16" t="str">
        <f>IFERROR(VLOOKUP($C26,[1]dados_2023!$C$3:$H$357,4,0),"-")</f>
        <v>-</v>
      </c>
      <c r="J26" s="16" t="str">
        <f>IFERROR(VLOOKUP($C26,[1]dados_2023!$C$3:$H$357,6,0),"-")</f>
        <v>-</v>
      </c>
    </row>
    <row r="27" spans="1:10" ht="18" customHeight="1" x14ac:dyDescent="0.3">
      <c r="A27" s="11">
        <v>1</v>
      </c>
      <c r="B27" s="12" t="s">
        <v>50</v>
      </c>
      <c r="C27" s="13">
        <v>1162618</v>
      </c>
      <c r="D27" s="14" t="s">
        <v>52</v>
      </c>
      <c r="E27" s="15">
        <v>6189</v>
      </c>
      <c r="F27" s="15">
        <f t="shared" si="0"/>
        <v>61890</v>
      </c>
      <c r="G27" s="15">
        <v>23233.200000000004</v>
      </c>
      <c r="H27" s="15">
        <f t="shared" si="1"/>
        <v>232332.00000000006</v>
      </c>
      <c r="I27" s="16" t="str">
        <f>IFERROR(VLOOKUP($C27,[1]dados_2023!$C$3:$H$357,4,0),"-")</f>
        <v>-</v>
      </c>
      <c r="J27" s="16" t="str">
        <f>IFERROR(VLOOKUP($C27,[1]dados_2023!$C$3:$H$357,6,0),"-")</f>
        <v>-</v>
      </c>
    </row>
    <row r="28" spans="1:10" ht="18" customHeight="1" x14ac:dyDescent="0.3">
      <c r="A28" s="11">
        <v>1</v>
      </c>
      <c r="B28" s="12" t="s">
        <v>53</v>
      </c>
      <c r="C28" s="13">
        <v>1178038</v>
      </c>
      <c r="D28" s="14" t="s">
        <v>54</v>
      </c>
      <c r="E28" s="15">
        <v>6912.2</v>
      </c>
      <c r="F28" s="15">
        <f t="shared" si="0"/>
        <v>69122</v>
      </c>
      <c r="G28" s="15">
        <v>24550.2</v>
      </c>
      <c r="H28" s="15">
        <f t="shared" si="1"/>
        <v>245502</v>
      </c>
      <c r="I28" s="16" t="str">
        <f>IFERROR(VLOOKUP($C28,[1]dados_2023!$C$3:$H$357,4,0),"-")</f>
        <v>-</v>
      </c>
      <c r="J28" s="16" t="str">
        <f>IFERROR(VLOOKUP($C28,[1]dados_2023!$C$3:$H$357,6,0),"-")</f>
        <v>-</v>
      </c>
    </row>
    <row r="29" spans="1:10" ht="18" customHeight="1" x14ac:dyDescent="0.3">
      <c r="A29" s="11">
        <v>1</v>
      </c>
      <c r="B29" s="12" t="s">
        <v>55</v>
      </c>
      <c r="C29" s="13">
        <v>1126808</v>
      </c>
      <c r="D29" s="14" t="s">
        <v>56</v>
      </c>
      <c r="E29" s="15">
        <v>10529.2</v>
      </c>
      <c r="F29" s="15">
        <f t="shared" si="0"/>
        <v>105292</v>
      </c>
      <c r="G29" s="15">
        <v>45541.2</v>
      </c>
      <c r="H29" s="15">
        <f t="shared" si="1"/>
        <v>455412</v>
      </c>
      <c r="I29" s="16" t="str">
        <f>IFERROR(VLOOKUP($C29,[1]dados_2023!$C$3:$H$357,4,0),"-")</f>
        <v>-</v>
      </c>
      <c r="J29" s="16" t="str">
        <f>IFERROR(VLOOKUP($C29,[1]dados_2023!$C$3:$H$357,6,0),"-")</f>
        <v>-</v>
      </c>
    </row>
    <row r="30" spans="1:10" ht="18" customHeight="1" x14ac:dyDescent="0.3">
      <c r="A30" s="11">
        <v>1</v>
      </c>
      <c r="B30" s="12" t="s">
        <v>55</v>
      </c>
      <c r="C30" s="13">
        <v>1176432</v>
      </c>
      <c r="D30" s="14" t="s">
        <v>57</v>
      </c>
      <c r="E30" s="15">
        <v>8260.4</v>
      </c>
      <c r="F30" s="15">
        <f t="shared" si="0"/>
        <v>82604</v>
      </c>
      <c r="G30" s="15">
        <v>35966.800000000003</v>
      </c>
      <c r="H30" s="15">
        <f t="shared" si="1"/>
        <v>359668</v>
      </c>
      <c r="I30" s="16" t="str">
        <f>IFERROR(VLOOKUP($C30,[1]dados_2023!$C$3:$H$357,4,0),"-")</f>
        <v>-</v>
      </c>
      <c r="J30" s="16" t="str">
        <f>IFERROR(VLOOKUP($C30,[1]dados_2023!$C$3:$H$357,6,0),"-")</f>
        <v>-</v>
      </c>
    </row>
    <row r="31" spans="1:10" ht="18" customHeight="1" x14ac:dyDescent="0.3">
      <c r="A31" s="11">
        <v>2</v>
      </c>
      <c r="B31" s="12" t="s">
        <v>58</v>
      </c>
      <c r="C31" s="13">
        <v>1178324</v>
      </c>
      <c r="D31" s="14" t="s">
        <v>59</v>
      </c>
      <c r="E31" s="15">
        <v>6373.2000000000007</v>
      </c>
      <c r="F31" s="15">
        <f t="shared" si="0"/>
        <v>63732.000000000007</v>
      </c>
      <c r="G31" s="15">
        <v>20780.400000000001</v>
      </c>
      <c r="H31" s="15">
        <f t="shared" si="1"/>
        <v>207804</v>
      </c>
      <c r="I31" s="16" t="str">
        <f>IFERROR(VLOOKUP($C31,[1]dados_2023!$C$3:$H$357,4,0),"-")</f>
        <v>-</v>
      </c>
      <c r="J31" s="16" t="str">
        <f>IFERROR(VLOOKUP($C31,[1]dados_2023!$C$3:$H$357,6,0),"-")</f>
        <v>-</v>
      </c>
    </row>
    <row r="32" spans="1:10" ht="18" customHeight="1" x14ac:dyDescent="0.3">
      <c r="A32" s="11">
        <v>2</v>
      </c>
      <c r="B32" s="12" t="s">
        <v>58</v>
      </c>
      <c r="C32" s="13">
        <v>1179431</v>
      </c>
      <c r="D32" s="14" t="s">
        <v>60</v>
      </c>
      <c r="E32" s="15">
        <v>10720</v>
      </c>
      <c r="F32" s="15">
        <f t="shared" si="0"/>
        <v>107200</v>
      </c>
      <c r="G32" s="15">
        <v>45881.599999999999</v>
      </c>
      <c r="H32" s="15">
        <f t="shared" si="1"/>
        <v>458816</v>
      </c>
      <c r="I32" s="16" t="str">
        <f>IFERROR(VLOOKUP($C32,[1]dados_2023!$C$3:$H$357,4,0),"-")</f>
        <v>-</v>
      </c>
      <c r="J32" s="16" t="str">
        <f>IFERROR(VLOOKUP($C32,[1]dados_2023!$C$3:$H$357,6,0),"-")</f>
        <v>-</v>
      </c>
    </row>
    <row r="33" spans="1:10" ht="18" customHeight="1" x14ac:dyDescent="0.3">
      <c r="A33" s="11">
        <v>2</v>
      </c>
      <c r="B33" s="12" t="s">
        <v>58</v>
      </c>
      <c r="C33" s="13">
        <v>1127502</v>
      </c>
      <c r="D33" s="14" t="s">
        <v>61</v>
      </c>
      <c r="E33" s="15">
        <v>12737.8</v>
      </c>
      <c r="F33" s="15">
        <f t="shared" si="0"/>
        <v>127378</v>
      </c>
      <c r="G33" s="15">
        <v>56040.000000000007</v>
      </c>
      <c r="H33" s="15">
        <f t="shared" si="1"/>
        <v>560400.00000000012</v>
      </c>
      <c r="I33" s="16" t="str">
        <f>IFERROR(VLOOKUP($C33,[1]dados_2023!$C$3:$H$357,4,0),"-")</f>
        <v>-</v>
      </c>
      <c r="J33" s="16" t="str">
        <f>IFERROR(VLOOKUP($C33,[1]dados_2023!$C$3:$H$357,6,0),"-")</f>
        <v>-</v>
      </c>
    </row>
    <row r="34" spans="1:10" ht="18" customHeight="1" x14ac:dyDescent="0.3">
      <c r="A34" s="11">
        <v>2</v>
      </c>
      <c r="B34" s="12" t="s">
        <v>58</v>
      </c>
      <c r="C34" s="13">
        <v>1137168</v>
      </c>
      <c r="D34" s="14" t="e">
        <v>#N/A</v>
      </c>
      <c r="E34" s="15">
        <v>7232</v>
      </c>
      <c r="F34" s="15">
        <f t="shared" si="0"/>
        <v>72320</v>
      </c>
      <c r="G34" s="15">
        <v>27987.800000000003</v>
      </c>
      <c r="H34" s="15">
        <f t="shared" si="1"/>
        <v>279878</v>
      </c>
      <c r="I34" s="16" t="str">
        <f>IFERROR(VLOOKUP($C34,[1]dados_2023!$C$3:$H$357,4,0),"-")</f>
        <v>-</v>
      </c>
      <c r="J34" s="16" t="str">
        <f>IFERROR(VLOOKUP($C34,[1]dados_2023!$C$3:$H$357,6,0),"-")</f>
        <v>-</v>
      </c>
    </row>
    <row r="35" spans="1:10" ht="18" customHeight="1" x14ac:dyDescent="0.3">
      <c r="A35" s="11">
        <v>2</v>
      </c>
      <c r="B35" s="12" t="s">
        <v>62</v>
      </c>
      <c r="C35" s="13">
        <v>1179282</v>
      </c>
      <c r="D35" s="14" t="s">
        <v>63</v>
      </c>
      <c r="E35" s="15">
        <v>17065</v>
      </c>
      <c r="F35" s="15">
        <f t="shared" si="0"/>
        <v>170650</v>
      </c>
      <c r="G35" s="15">
        <v>73676</v>
      </c>
      <c r="H35" s="15">
        <f t="shared" si="1"/>
        <v>736760</v>
      </c>
      <c r="I35" s="16" t="str">
        <f>IFERROR(VLOOKUP($C35,[1]dados_2023!$C$3:$H$357,4,0),"-")</f>
        <v>-</v>
      </c>
      <c r="J35" s="16" t="str">
        <f>IFERROR(VLOOKUP($C35,[1]dados_2023!$C$3:$H$357,6,0),"-")</f>
        <v>-</v>
      </c>
    </row>
    <row r="36" spans="1:10" ht="18" customHeight="1" x14ac:dyDescent="0.3">
      <c r="A36" s="11">
        <v>2</v>
      </c>
      <c r="B36" s="12" t="s">
        <v>62</v>
      </c>
      <c r="C36" s="13">
        <v>1179704</v>
      </c>
      <c r="D36" s="14" t="s">
        <v>64</v>
      </c>
      <c r="E36" s="15">
        <v>7600</v>
      </c>
      <c r="F36" s="15">
        <f t="shared" si="0"/>
        <v>76000</v>
      </c>
      <c r="G36" s="15">
        <v>32528</v>
      </c>
      <c r="H36" s="15">
        <f t="shared" si="1"/>
        <v>325280</v>
      </c>
      <c r="I36" s="16" t="str">
        <f>IFERROR(VLOOKUP($C36,[1]dados_2023!$C$3:$H$357,4,0),"-")</f>
        <v>-</v>
      </c>
      <c r="J36" s="16" t="str">
        <f>IFERROR(VLOOKUP($C36,[1]dados_2023!$C$3:$H$357,6,0),"-")</f>
        <v>-</v>
      </c>
    </row>
    <row r="37" spans="1:10" ht="18" customHeight="1" x14ac:dyDescent="0.3">
      <c r="A37" s="11">
        <v>2</v>
      </c>
      <c r="B37" s="12" t="s">
        <v>62</v>
      </c>
      <c r="C37" s="13">
        <v>1178018</v>
      </c>
      <c r="D37" s="14" t="s">
        <v>65</v>
      </c>
      <c r="E37" s="15">
        <v>2269</v>
      </c>
      <c r="F37" s="15">
        <f t="shared" si="0"/>
        <v>22690</v>
      </c>
      <c r="G37" s="15">
        <v>10519.2</v>
      </c>
      <c r="H37" s="15">
        <f t="shared" si="1"/>
        <v>105192</v>
      </c>
      <c r="I37" s="16" t="str">
        <f>IFERROR(VLOOKUP($C37,[1]dados_2023!$C$3:$H$357,4,0),"-")</f>
        <v>-</v>
      </c>
      <c r="J37" s="16" t="str">
        <f>IFERROR(VLOOKUP($C37,[1]dados_2023!$C$3:$H$357,6,0),"-")</f>
        <v>-</v>
      </c>
    </row>
    <row r="38" spans="1:10" ht="18" customHeight="1" x14ac:dyDescent="0.3">
      <c r="A38" s="11">
        <v>2</v>
      </c>
      <c r="B38" s="12" t="s">
        <v>62</v>
      </c>
      <c r="C38" s="13">
        <v>1179668</v>
      </c>
      <c r="D38" s="14" t="s">
        <v>66</v>
      </c>
      <c r="E38" s="15">
        <v>2744.8</v>
      </c>
      <c r="F38" s="15">
        <f t="shared" si="0"/>
        <v>27448</v>
      </c>
      <c r="G38" s="15">
        <v>13567.600000000002</v>
      </c>
      <c r="H38" s="15">
        <f t="shared" si="1"/>
        <v>135676.00000000003</v>
      </c>
      <c r="I38" s="16" t="str">
        <f>IFERROR(VLOOKUP($C38,[1]dados_2023!$C$3:$H$357,4,0),"-")</f>
        <v>-</v>
      </c>
      <c r="J38" s="16" t="str">
        <f>IFERROR(VLOOKUP($C38,[1]dados_2023!$C$3:$H$357,6,0),"-")</f>
        <v>-</v>
      </c>
    </row>
    <row r="39" spans="1:10" ht="18" customHeight="1" x14ac:dyDescent="0.3">
      <c r="A39" s="11">
        <v>2</v>
      </c>
      <c r="B39" s="12" t="s">
        <v>62</v>
      </c>
      <c r="C39" s="13">
        <v>1131720</v>
      </c>
      <c r="D39" s="14" t="s">
        <v>67</v>
      </c>
      <c r="E39" s="15">
        <v>18290.2</v>
      </c>
      <c r="F39" s="15">
        <f t="shared" si="0"/>
        <v>182902</v>
      </c>
      <c r="G39" s="15">
        <v>71684</v>
      </c>
      <c r="H39" s="15">
        <f t="shared" si="1"/>
        <v>716840</v>
      </c>
      <c r="I39" s="16" t="str">
        <f>IFERROR(VLOOKUP($C39,[1]dados_2023!$C$3:$H$357,4,0),"-")</f>
        <v>-</v>
      </c>
      <c r="J39" s="16" t="str">
        <f>IFERROR(VLOOKUP($C39,[1]dados_2023!$C$3:$H$357,6,0),"-")</f>
        <v>-</v>
      </c>
    </row>
    <row r="40" spans="1:10" ht="18" customHeight="1" x14ac:dyDescent="0.3">
      <c r="A40" s="11">
        <v>2</v>
      </c>
      <c r="B40" s="12" t="s">
        <v>62</v>
      </c>
      <c r="C40" s="13">
        <v>1176437</v>
      </c>
      <c r="D40" s="14" t="s">
        <v>68</v>
      </c>
      <c r="E40" s="15">
        <v>12343.2</v>
      </c>
      <c r="F40" s="15">
        <f t="shared" si="0"/>
        <v>123432</v>
      </c>
      <c r="G40" s="15">
        <v>53930.8</v>
      </c>
      <c r="H40" s="15">
        <f t="shared" si="1"/>
        <v>539308</v>
      </c>
      <c r="I40" s="16" t="str">
        <f>IFERROR(VLOOKUP($C40,[1]dados_2023!$C$3:$H$357,4,0),"-")</f>
        <v>-</v>
      </c>
      <c r="J40" s="16" t="str">
        <f>IFERROR(VLOOKUP($C40,[1]dados_2023!$C$3:$H$357,6,0),"-")</f>
        <v>-</v>
      </c>
    </row>
    <row r="41" spans="1:10" ht="18" customHeight="1" x14ac:dyDescent="0.3">
      <c r="A41" s="11">
        <v>2</v>
      </c>
      <c r="B41" s="12" t="s">
        <v>69</v>
      </c>
      <c r="C41" s="13">
        <v>1127456</v>
      </c>
      <c r="D41" s="14" t="s">
        <v>70</v>
      </c>
      <c r="E41" s="15">
        <v>2972.6000000000004</v>
      </c>
      <c r="F41" s="15">
        <f t="shared" si="0"/>
        <v>29726.000000000004</v>
      </c>
      <c r="G41" s="15">
        <v>11383.6</v>
      </c>
      <c r="H41" s="15">
        <f t="shared" si="1"/>
        <v>113836</v>
      </c>
      <c r="I41" s="16" t="str">
        <f>IFERROR(VLOOKUP($C41,[1]dados_2023!$C$3:$H$357,4,0),"-")</f>
        <v>-</v>
      </c>
      <c r="J41" s="16" t="str">
        <f>IFERROR(VLOOKUP($C41,[1]dados_2023!$C$3:$H$357,6,0),"-")</f>
        <v>-</v>
      </c>
    </row>
    <row r="42" spans="1:10" ht="18" customHeight="1" x14ac:dyDescent="0.3">
      <c r="A42" s="11">
        <v>2</v>
      </c>
      <c r="B42" s="12" t="s">
        <v>71</v>
      </c>
      <c r="C42" s="13">
        <v>1128762</v>
      </c>
      <c r="D42" s="14" t="s">
        <v>72</v>
      </c>
      <c r="E42" s="15">
        <v>8544.7999999999993</v>
      </c>
      <c r="F42" s="15">
        <f t="shared" si="0"/>
        <v>85448</v>
      </c>
      <c r="G42" s="15">
        <v>38391.600000000006</v>
      </c>
      <c r="H42" s="15">
        <f t="shared" si="1"/>
        <v>383916.00000000006</v>
      </c>
      <c r="I42" s="16" t="str">
        <f>IFERROR(VLOOKUP($C42,[1]dados_2023!$C$3:$H$357,4,0),"-")</f>
        <v>-</v>
      </c>
      <c r="J42" s="16" t="str">
        <f>IFERROR(VLOOKUP($C42,[1]dados_2023!$C$3:$H$357,6,0),"-")</f>
        <v>-</v>
      </c>
    </row>
    <row r="43" spans="1:10" ht="18" customHeight="1" x14ac:dyDescent="0.3">
      <c r="A43" s="11">
        <v>2</v>
      </c>
      <c r="B43" s="12" t="s">
        <v>73</v>
      </c>
      <c r="C43" s="13">
        <v>1178280</v>
      </c>
      <c r="D43" s="14" t="s">
        <v>74</v>
      </c>
      <c r="E43" s="15">
        <v>4474.2000000000007</v>
      </c>
      <c r="F43" s="15">
        <f t="shared" si="0"/>
        <v>44742.000000000007</v>
      </c>
      <c r="G43" s="15">
        <v>13874.599999999999</v>
      </c>
      <c r="H43" s="15">
        <f t="shared" si="1"/>
        <v>138746</v>
      </c>
      <c r="I43" s="16" t="str">
        <f>IFERROR(VLOOKUP($C43,[1]dados_2023!$C$3:$H$357,4,0),"-")</f>
        <v>-</v>
      </c>
      <c r="J43" s="16" t="str">
        <f>IFERROR(VLOOKUP($C43,[1]dados_2023!$C$3:$H$357,6,0),"-")</f>
        <v>-</v>
      </c>
    </row>
    <row r="44" spans="1:10" ht="18" customHeight="1" x14ac:dyDescent="0.3">
      <c r="A44" s="11">
        <v>2</v>
      </c>
      <c r="B44" s="12" t="s">
        <v>75</v>
      </c>
      <c r="C44" s="13">
        <v>1176434</v>
      </c>
      <c r="D44" s="14" t="s">
        <v>76</v>
      </c>
      <c r="E44" s="15">
        <v>6600</v>
      </c>
      <c r="F44" s="15">
        <f t="shared" si="0"/>
        <v>66000</v>
      </c>
      <c r="G44" s="15">
        <v>28248</v>
      </c>
      <c r="H44" s="15">
        <f t="shared" si="1"/>
        <v>282480</v>
      </c>
      <c r="I44" s="16" t="str">
        <f>IFERROR(VLOOKUP($C44,[1]dados_2023!$C$3:$H$357,4,0),"-")</f>
        <v>-</v>
      </c>
      <c r="J44" s="16" t="str">
        <f>IFERROR(VLOOKUP($C44,[1]dados_2023!$C$3:$H$357,6,0),"-")</f>
        <v>-</v>
      </c>
    </row>
    <row r="45" spans="1:10" ht="18" customHeight="1" x14ac:dyDescent="0.3">
      <c r="A45" s="11">
        <v>2</v>
      </c>
      <c r="B45" s="12" t="s">
        <v>75</v>
      </c>
      <c r="C45" s="13">
        <v>1127324</v>
      </c>
      <c r="D45" s="14" t="s">
        <v>77</v>
      </c>
      <c r="E45" s="15">
        <v>13958.4</v>
      </c>
      <c r="F45" s="15">
        <f t="shared" si="0"/>
        <v>139584</v>
      </c>
      <c r="G45" s="15">
        <v>48994.600000000006</v>
      </c>
      <c r="H45" s="15">
        <f t="shared" si="1"/>
        <v>489946.00000000006</v>
      </c>
      <c r="I45" s="16" t="str">
        <f>IFERROR(VLOOKUP($C45,[1]dados_2023!$C$3:$H$357,4,0),"-")</f>
        <v>-</v>
      </c>
      <c r="J45" s="16" t="str">
        <f>IFERROR(VLOOKUP($C45,[1]dados_2023!$C$3:$H$357,6,0),"-")</f>
        <v>-</v>
      </c>
    </row>
    <row r="46" spans="1:10" ht="18" customHeight="1" x14ac:dyDescent="0.3">
      <c r="A46" s="11">
        <v>2</v>
      </c>
      <c r="B46" s="12" t="s">
        <v>78</v>
      </c>
      <c r="C46" s="13">
        <v>1131402</v>
      </c>
      <c r="D46" s="14" t="s">
        <v>79</v>
      </c>
      <c r="E46" s="15">
        <v>8887</v>
      </c>
      <c r="F46" s="15">
        <f t="shared" si="0"/>
        <v>88870</v>
      </c>
      <c r="G46" s="15">
        <v>33122.400000000001</v>
      </c>
      <c r="H46" s="15">
        <f t="shared" si="1"/>
        <v>331224</v>
      </c>
      <c r="I46" s="16" t="str">
        <f>IFERROR(VLOOKUP($C46,[1]dados_2023!$C$3:$H$357,4,0),"-")</f>
        <v>-</v>
      </c>
      <c r="J46" s="16" t="str">
        <f>IFERROR(VLOOKUP($C46,[1]dados_2023!$C$3:$H$357,6,0),"-")</f>
        <v>-</v>
      </c>
    </row>
    <row r="47" spans="1:10" ht="18" customHeight="1" x14ac:dyDescent="0.3">
      <c r="A47" s="11">
        <v>2</v>
      </c>
      <c r="B47" s="12" t="s">
        <v>80</v>
      </c>
      <c r="C47" s="13">
        <v>1178150</v>
      </c>
      <c r="D47" s="14" t="s">
        <v>81</v>
      </c>
      <c r="E47" s="15">
        <v>7360.7999999999993</v>
      </c>
      <c r="F47" s="15">
        <f t="shared" si="0"/>
        <v>73608</v>
      </c>
      <c r="G47" s="15">
        <v>33579.199999999997</v>
      </c>
      <c r="H47" s="15">
        <f t="shared" si="1"/>
        <v>335792</v>
      </c>
      <c r="I47" s="16" t="str">
        <f>IFERROR(VLOOKUP($C47,[1]dados_2023!$C$3:$H$357,4,0),"-")</f>
        <v>-</v>
      </c>
      <c r="J47" s="16" t="str">
        <f>IFERROR(VLOOKUP($C47,[1]dados_2023!$C$3:$H$357,6,0),"-")</f>
        <v>-</v>
      </c>
    </row>
    <row r="48" spans="1:10" ht="18" customHeight="1" x14ac:dyDescent="0.3">
      <c r="A48" s="11">
        <v>2</v>
      </c>
      <c r="B48" s="12" t="s">
        <v>82</v>
      </c>
      <c r="C48" s="13">
        <v>1178100</v>
      </c>
      <c r="D48" s="14" t="s">
        <v>83</v>
      </c>
      <c r="E48" s="15">
        <v>6946.2</v>
      </c>
      <c r="F48" s="15">
        <f t="shared" si="0"/>
        <v>69462</v>
      </c>
      <c r="G48" s="15">
        <v>27260.000000000004</v>
      </c>
      <c r="H48" s="15">
        <f t="shared" si="1"/>
        <v>272600.00000000006</v>
      </c>
      <c r="I48" s="16" t="str">
        <f>IFERROR(VLOOKUP($C48,[1]dados_2023!$C$3:$H$357,4,0),"-")</f>
        <v>-</v>
      </c>
      <c r="J48" s="16" t="str">
        <f>IFERROR(VLOOKUP($C48,[1]dados_2023!$C$3:$H$357,6,0),"-")</f>
        <v>-</v>
      </c>
    </row>
    <row r="49" spans="1:10" ht="18" customHeight="1" x14ac:dyDescent="0.3">
      <c r="A49" s="11">
        <v>2</v>
      </c>
      <c r="B49" s="12" t="s">
        <v>84</v>
      </c>
      <c r="C49" s="13">
        <v>1178021</v>
      </c>
      <c r="D49" s="14" t="s">
        <v>85</v>
      </c>
      <c r="E49" s="15">
        <v>3372.6000000000004</v>
      </c>
      <c r="F49" s="15">
        <f t="shared" si="0"/>
        <v>33726</v>
      </c>
      <c r="G49" s="15">
        <v>13521.800000000001</v>
      </c>
      <c r="H49" s="15">
        <f t="shared" si="1"/>
        <v>135218</v>
      </c>
      <c r="I49" s="16" t="str">
        <f>IFERROR(VLOOKUP($C49,[1]dados_2023!$C$3:$H$357,4,0),"-")</f>
        <v>-</v>
      </c>
      <c r="J49" s="16" t="str">
        <f>IFERROR(VLOOKUP($C49,[1]dados_2023!$C$3:$H$357,6,0),"-")</f>
        <v>-</v>
      </c>
    </row>
    <row r="50" spans="1:10" ht="18" customHeight="1" x14ac:dyDescent="0.3">
      <c r="A50" s="11">
        <v>2</v>
      </c>
      <c r="B50" s="12" t="s">
        <v>86</v>
      </c>
      <c r="C50" s="13">
        <v>1178407</v>
      </c>
      <c r="D50" s="14" t="s">
        <v>87</v>
      </c>
      <c r="E50" s="15">
        <v>1546.6</v>
      </c>
      <c r="F50" s="15">
        <f t="shared" si="0"/>
        <v>15466</v>
      </c>
      <c r="G50" s="15">
        <v>6730.0000000000009</v>
      </c>
      <c r="H50" s="15">
        <f t="shared" si="1"/>
        <v>67300.000000000015</v>
      </c>
      <c r="I50" s="16" t="str">
        <f>IFERROR(VLOOKUP($C50,[1]dados_2023!$C$3:$H$357,4,0),"-")</f>
        <v>-</v>
      </c>
      <c r="J50" s="16" t="str">
        <f>IFERROR(VLOOKUP($C50,[1]dados_2023!$C$3:$H$357,6,0),"-")</f>
        <v>-</v>
      </c>
    </row>
    <row r="51" spans="1:10" ht="18" customHeight="1" x14ac:dyDescent="0.3">
      <c r="A51" s="11">
        <v>2</v>
      </c>
      <c r="B51" s="12" t="s">
        <v>86</v>
      </c>
      <c r="C51" s="13">
        <v>1176177</v>
      </c>
      <c r="D51" s="14" t="s">
        <v>88</v>
      </c>
      <c r="E51" s="15">
        <v>2504</v>
      </c>
      <c r="F51" s="15">
        <f t="shared" si="0"/>
        <v>25040</v>
      </c>
      <c r="G51" s="15">
        <v>11737.6</v>
      </c>
      <c r="H51" s="15">
        <f t="shared" si="1"/>
        <v>117376</v>
      </c>
      <c r="I51" s="16" t="str">
        <f>IFERROR(VLOOKUP($C51,[1]dados_2023!$C$3:$H$357,4,0),"-")</f>
        <v>-</v>
      </c>
      <c r="J51" s="16" t="str">
        <f>IFERROR(VLOOKUP($C51,[1]dados_2023!$C$3:$H$357,6,0),"-")</f>
        <v>-</v>
      </c>
    </row>
    <row r="52" spans="1:10" ht="18" customHeight="1" x14ac:dyDescent="0.3">
      <c r="A52" s="11">
        <v>2</v>
      </c>
      <c r="B52" s="12" t="s">
        <v>89</v>
      </c>
      <c r="C52" s="13">
        <v>1127855</v>
      </c>
      <c r="D52" s="14" t="s">
        <v>90</v>
      </c>
      <c r="E52" s="15">
        <v>7712.6</v>
      </c>
      <c r="F52" s="15">
        <f t="shared" si="0"/>
        <v>77126</v>
      </c>
      <c r="G52" s="15">
        <v>31211.199999999997</v>
      </c>
      <c r="H52" s="15">
        <f t="shared" si="1"/>
        <v>312112</v>
      </c>
      <c r="I52" s="16" t="str">
        <f>IFERROR(VLOOKUP($C52,[1]dados_2023!$C$3:$H$357,4,0),"-")</f>
        <v>-</v>
      </c>
      <c r="J52" s="16" t="str">
        <f>IFERROR(VLOOKUP($C52,[1]dados_2023!$C$3:$H$357,6,0),"-")</f>
        <v>-</v>
      </c>
    </row>
    <row r="53" spans="1:10" ht="18" customHeight="1" x14ac:dyDescent="0.3">
      <c r="A53" s="11">
        <v>2</v>
      </c>
      <c r="B53" s="12" t="s">
        <v>91</v>
      </c>
      <c r="C53" s="13">
        <v>1178009</v>
      </c>
      <c r="D53" s="14" t="s">
        <v>92</v>
      </c>
      <c r="E53" s="15">
        <v>21803.599999999999</v>
      </c>
      <c r="F53" s="15">
        <f t="shared" si="0"/>
        <v>218036</v>
      </c>
      <c r="G53" s="15">
        <v>81894.200000000012</v>
      </c>
      <c r="H53" s="15">
        <f t="shared" si="1"/>
        <v>818942.00000000012</v>
      </c>
      <c r="I53" s="16" t="str">
        <f>IFERROR(VLOOKUP($C53,[1]dados_2023!$C$3:$H$357,4,0),"-")</f>
        <v>-</v>
      </c>
      <c r="J53" s="16" t="str">
        <f>IFERROR(VLOOKUP($C53,[1]dados_2023!$C$3:$H$357,6,0),"-")</f>
        <v>-</v>
      </c>
    </row>
    <row r="54" spans="1:10" ht="18" customHeight="1" x14ac:dyDescent="0.3">
      <c r="A54" s="11">
        <v>2</v>
      </c>
      <c r="B54" s="12" t="s">
        <v>93</v>
      </c>
      <c r="C54" s="13">
        <v>1164742</v>
      </c>
      <c r="D54" s="14" t="s">
        <v>94</v>
      </c>
      <c r="E54" s="15">
        <v>15966.8</v>
      </c>
      <c r="F54" s="15">
        <f t="shared" si="0"/>
        <v>159668</v>
      </c>
      <c r="G54" s="15">
        <v>55890.600000000006</v>
      </c>
      <c r="H54" s="15">
        <f t="shared" si="1"/>
        <v>558906</v>
      </c>
      <c r="I54" s="16" t="str">
        <f>IFERROR(VLOOKUP($C54,[1]dados_2023!$C$3:$H$357,4,0),"-")</f>
        <v>-</v>
      </c>
      <c r="J54" s="16" t="str">
        <f>IFERROR(VLOOKUP($C54,[1]dados_2023!$C$3:$H$357,6,0),"-")</f>
        <v>-</v>
      </c>
    </row>
    <row r="55" spans="1:10" ht="18" customHeight="1" x14ac:dyDescent="0.3">
      <c r="A55" s="11">
        <v>2</v>
      </c>
      <c r="B55" s="12" t="s">
        <v>95</v>
      </c>
      <c r="C55" s="13">
        <v>1178023</v>
      </c>
      <c r="D55" s="14" t="s">
        <v>96</v>
      </c>
      <c r="E55" s="15">
        <v>13098.8</v>
      </c>
      <c r="F55" s="15">
        <f t="shared" si="0"/>
        <v>130988</v>
      </c>
      <c r="G55" s="15">
        <v>56281.200000000004</v>
      </c>
      <c r="H55" s="15">
        <f t="shared" si="1"/>
        <v>562812</v>
      </c>
      <c r="I55" s="16" t="str">
        <f>IFERROR(VLOOKUP($C55,[1]dados_2023!$C$3:$H$357,4,0),"-")</f>
        <v>-</v>
      </c>
      <c r="J55" s="16" t="str">
        <f>IFERROR(VLOOKUP($C55,[1]dados_2023!$C$3:$H$357,6,0),"-")</f>
        <v>-</v>
      </c>
    </row>
    <row r="56" spans="1:10" ht="18" customHeight="1" x14ac:dyDescent="0.3">
      <c r="A56" s="11">
        <v>2</v>
      </c>
      <c r="B56" s="12" t="s">
        <v>95</v>
      </c>
      <c r="C56" s="13">
        <v>1179772</v>
      </c>
      <c r="D56" s="14" t="s">
        <v>97</v>
      </c>
      <c r="E56" s="15">
        <v>2361</v>
      </c>
      <c r="F56" s="15">
        <f t="shared" si="0"/>
        <v>23610</v>
      </c>
      <c r="G56" s="15">
        <v>9981.6</v>
      </c>
      <c r="H56" s="15">
        <f t="shared" si="1"/>
        <v>99816</v>
      </c>
      <c r="I56" s="16" t="str">
        <f>IFERROR(VLOOKUP($C56,[1]dados_2023!$C$3:$H$357,4,0),"-")</f>
        <v>-</v>
      </c>
      <c r="J56" s="16" t="str">
        <f>IFERROR(VLOOKUP($C56,[1]dados_2023!$C$3:$H$357,6,0),"-")</f>
        <v>-</v>
      </c>
    </row>
    <row r="57" spans="1:10" ht="18" customHeight="1" x14ac:dyDescent="0.3">
      <c r="A57" s="11">
        <v>2</v>
      </c>
      <c r="B57" s="12" t="s">
        <v>98</v>
      </c>
      <c r="C57" s="13">
        <v>1176059</v>
      </c>
      <c r="D57" s="14" t="s">
        <v>99</v>
      </c>
      <c r="E57" s="15">
        <v>2283.1999999999998</v>
      </c>
      <c r="F57" s="15">
        <f t="shared" si="0"/>
        <v>22832</v>
      </c>
      <c r="G57" s="15">
        <v>9993.2000000000007</v>
      </c>
      <c r="H57" s="15">
        <f t="shared" si="1"/>
        <v>99932</v>
      </c>
      <c r="I57" s="16" t="str">
        <f>IFERROR(VLOOKUP($C57,[1]dados_2023!$C$3:$H$357,4,0),"-")</f>
        <v>-</v>
      </c>
      <c r="J57" s="16" t="str">
        <f>IFERROR(VLOOKUP($C57,[1]dados_2023!$C$3:$H$357,6,0),"-")</f>
        <v>-</v>
      </c>
    </row>
    <row r="58" spans="1:10" ht="18" customHeight="1" x14ac:dyDescent="0.3">
      <c r="A58" s="11">
        <v>2</v>
      </c>
      <c r="B58" s="12" t="s">
        <v>98</v>
      </c>
      <c r="C58" s="13">
        <v>1164890</v>
      </c>
      <c r="D58" s="14" t="s">
        <v>100</v>
      </c>
      <c r="E58" s="15">
        <v>5504.4</v>
      </c>
      <c r="F58" s="15">
        <f t="shared" si="0"/>
        <v>55044</v>
      </c>
      <c r="G58" s="15">
        <v>22539.200000000001</v>
      </c>
      <c r="H58" s="15">
        <f t="shared" si="1"/>
        <v>225392</v>
      </c>
      <c r="I58" s="16" t="str">
        <f>IFERROR(VLOOKUP($C58,[1]dados_2023!$C$3:$H$357,4,0),"-")</f>
        <v>-</v>
      </c>
      <c r="J58" s="16" t="str">
        <f>IFERROR(VLOOKUP($C58,[1]dados_2023!$C$3:$H$357,6,0),"-")</f>
        <v>-</v>
      </c>
    </row>
    <row r="59" spans="1:10" ht="18" customHeight="1" x14ac:dyDescent="0.3">
      <c r="A59" s="11">
        <v>2</v>
      </c>
      <c r="B59" s="12" t="s">
        <v>75</v>
      </c>
      <c r="C59" s="13">
        <v>1178432</v>
      </c>
      <c r="D59" s="14" t="s">
        <v>101</v>
      </c>
      <c r="E59" s="15">
        <v>2184.4</v>
      </c>
      <c r="F59" s="15">
        <f t="shared" si="0"/>
        <v>21844</v>
      </c>
      <c r="G59" s="15">
        <v>4724.4000000000005</v>
      </c>
      <c r="H59" s="15">
        <f t="shared" si="1"/>
        <v>47244.000000000007</v>
      </c>
      <c r="I59" s="16" t="str">
        <f>IFERROR(VLOOKUP($C59,[1]dados_2023!$C$3:$H$357,4,0),"-")</f>
        <v>-</v>
      </c>
      <c r="J59" s="16" t="str">
        <f>IFERROR(VLOOKUP($C59,[1]dados_2023!$C$3:$H$357,6,0),"-")</f>
        <v>-</v>
      </c>
    </row>
    <row r="60" spans="1:10" ht="18" customHeight="1" x14ac:dyDescent="0.3">
      <c r="A60" s="11">
        <v>2</v>
      </c>
      <c r="B60" s="12" t="s">
        <v>86</v>
      </c>
      <c r="C60" s="13">
        <v>1179304</v>
      </c>
      <c r="D60" s="14" t="s">
        <v>102</v>
      </c>
      <c r="E60" s="15">
        <v>240.79999999999998</v>
      </c>
      <c r="F60" s="15">
        <f t="shared" si="0"/>
        <v>2408</v>
      </c>
      <c r="G60" s="15">
        <v>520.80000000000007</v>
      </c>
      <c r="H60" s="15">
        <f t="shared" si="1"/>
        <v>5208.0000000000009</v>
      </c>
      <c r="I60" s="16" t="str">
        <f>IFERROR(VLOOKUP($C60,[1]dados_2023!$C$3:$H$357,4,0),"-")</f>
        <v>-</v>
      </c>
      <c r="J60" s="16" t="str">
        <f>IFERROR(VLOOKUP($C60,[1]dados_2023!$C$3:$H$357,6,0),"-")</f>
        <v>-</v>
      </c>
    </row>
    <row r="61" spans="1:10" ht="18" customHeight="1" x14ac:dyDescent="0.3">
      <c r="A61" s="11">
        <v>3</v>
      </c>
      <c r="B61" s="12" t="s">
        <v>103</v>
      </c>
      <c r="C61" s="13">
        <v>1168110</v>
      </c>
      <c r="D61" s="14" t="s">
        <v>104</v>
      </c>
      <c r="E61" s="15">
        <v>5071</v>
      </c>
      <c r="F61" s="15">
        <f t="shared" si="0"/>
        <v>50710</v>
      </c>
      <c r="G61" s="15">
        <v>16142</v>
      </c>
      <c r="H61" s="15">
        <f t="shared" si="1"/>
        <v>161420</v>
      </c>
      <c r="I61" s="16" t="str">
        <f>IFERROR(VLOOKUP($C61,[1]dados_2023!$C$3:$H$357,4,0),"-")</f>
        <v>-</v>
      </c>
      <c r="J61" s="16" t="str">
        <f>IFERROR(VLOOKUP($C61,[1]dados_2023!$C$3:$H$357,6,0),"-")</f>
        <v>-</v>
      </c>
    </row>
    <row r="62" spans="1:10" ht="18" customHeight="1" x14ac:dyDescent="0.3">
      <c r="A62" s="11">
        <v>3</v>
      </c>
      <c r="B62" s="12" t="s">
        <v>105</v>
      </c>
      <c r="C62" s="13">
        <v>1178017</v>
      </c>
      <c r="D62" s="14" t="s">
        <v>106</v>
      </c>
      <c r="E62" s="15">
        <v>10651</v>
      </c>
      <c r="F62" s="15">
        <f t="shared" si="0"/>
        <v>106510</v>
      </c>
      <c r="G62" s="15">
        <v>34845.199999999997</v>
      </c>
      <c r="H62" s="15">
        <f t="shared" si="1"/>
        <v>348452</v>
      </c>
      <c r="I62" s="16" t="str">
        <f>IFERROR(VLOOKUP($C62,[1]dados_2023!$C$3:$H$357,4,0),"-")</f>
        <v>-</v>
      </c>
      <c r="J62" s="16" t="str">
        <f>IFERROR(VLOOKUP($C62,[1]dados_2023!$C$3:$H$357,6,0),"-")</f>
        <v>-</v>
      </c>
    </row>
    <row r="63" spans="1:10" ht="18" customHeight="1" x14ac:dyDescent="0.3">
      <c r="A63" s="11">
        <v>3</v>
      </c>
      <c r="B63" s="12" t="s">
        <v>105</v>
      </c>
      <c r="C63" s="13">
        <v>1179291</v>
      </c>
      <c r="D63" s="14" t="s">
        <v>107</v>
      </c>
      <c r="E63" s="15">
        <v>1257.5999999999999</v>
      </c>
      <c r="F63" s="15">
        <f t="shared" si="0"/>
        <v>12576</v>
      </c>
      <c r="G63" s="15">
        <v>5535.6</v>
      </c>
      <c r="H63" s="15">
        <f t="shared" si="1"/>
        <v>55356</v>
      </c>
      <c r="I63" s="16" t="str">
        <f>IFERROR(VLOOKUP($C63,[1]dados_2023!$C$3:$H$357,4,0),"-")</f>
        <v>-</v>
      </c>
      <c r="J63" s="16" t="str">
        <f>IFERROR(VLOOKUP($C63,[1]dados_2023!$C$3:$H$357,6,0),"-")</f>
        <v>-</v>
      </c>
    </row>
    <row r="64" spans="1:10" ht="18" customHeight="1" x14ac:dyDescent="0.3">
      <c r="A64" s="11">
        <v>3</v>
      </c>
      <c r="B64" s="12" t="s">
        <v>108</v>
      </c>
      <c r="C64" s="13">
        <v>1123701</v>
      </c>
      <c r="D64" s="14" t="s">
        <v>109</v>
      </c>
      <c r="E64" s="15">
        <v>5298.2000000000007</v>
      </c>
      <c r="F64" s="15">
        <f t="shared" si="0"/>
        <v>52982.000000000007</v>
      </c>
      <c r="G64" s="15">
        <v>19142.600000000002</v>
      </c>
      <c r="H64" s="15">
        <f t="shared" si="1"/>
        <v>191426.00000000003</v>
      </c>
      <c r="I64" s="16" t="str">
        <f>IFERROR(VLOOKUP($C64,[1]dados_2023!$C$3:$H$357,4,0),"-")</f>
        <v>-</v>
      </c>
      <c r="J64" s="16" t="str">
        <f>IFERROR(VLOOKUP($C64,[1]dados_2023!$C$3:$H$357,6,0),"-")</f>
        <v>-</v>
      </c>
    </row>
    <row r="65" spans="1:10" ht="18" customHeight="1" x14ac:dyDescent="0.3">
      <c r="A65" s="11">
        <v>3</v>
      </c>
      <c r="B65" s="12" t="s">
        <v>108</v>
      </c>
      <c r="C65" s="13">
        <v>1176466</v>
      </c>
      <c r="D65" s="14" t="s">
        <v>110</v>
      </c>
      <c r="E65" s="15">
        <v>10300.799999999999</v>
      </c>
      <c r="F65" s="15">
        <f t="shared" si="0"/>
        <v>103008</v>
      </c>
      <c r="G65" s="15">
        <v>38529.200000000004</v>
      </c>
      <c r="H65" s="15">
        <f t="shared" si="1"/>
        <v>385292.00000000006</v>
      </c>
      <c r="I65" s="16" t="str">
        <f>IFERROR(VLOOKUP($C65,[1]dados_2023!$C$3:$H$357,4,0),"-")</f>
        <v>-</v>
      </c>
      <c r="J65" s="16" t="str">
        <f>IFERROR(VLOOKUP($C65,[1]dados_2023!$C$3:$H$357,6,0),"-")</f>
        <v>-</v>
      </c>
    </row>
    <row r="66" spans="1:10" ht="18" customHeight="1" x14ac:dyDescent="0.3">
      <c r="A66" s="11">
        <v>3</v>
      </c>
      <c r="B66" s="12" t="s">
        <v>111</v>
      </c>
      <c r="C66" s="13">
        <v>1133014</v>
      </c>
      <c r="D66" s="14" t="s">
        <v>112</v>
      </c>
      <c r="E66" s="15">
        <v>9304</v>
      </c>
      <c r="F66" s="15">
        <f t="shared" si="0"/>
        <v>93040</v>
      </c>
      <c r="G66" s="15">
        <v>31928.800000000003</v>
      </c>
      <c r="H66" s="15">
        <f t="shared" si="1"/>
        <v>319288</v>
      </c>
      <c r="I66" s="16" t="str">
        <f>IFERROR(VLOOKUP($C66,[1]dados_2023!$C$3:$H$357,4,0),"-")</f>
        <v>-</v>
      </c>
      <c r="J66" s="16" t="str">
        <f>IFERROR(VLOOKUP($C66,[1]dados_2023!$C$3:$H$357,6,0),"-")</f>
        <v>-</v>
      </c>
    </row>
    <row r="67" spans="1:10" ht="18" customHeight="1" x14ac:dyDescent="0.3">
      <c r="A67" s="11">
        <v>3</v>
      </c>
      <c r="B67" s="12" t="s">
        <v>113</v>
      </c>
      <c r="C67" s="13">
        <v>1178103</v>
      </c>
      <c r="D67" s="14" t="s">
        <v>114</v>
      </c>
      <c r="E67" s="15">
        <v>6821.8</v>
      </c>
      <c r="F67" s="15">
        <f t="shared" si="0"/>
        <v>68218</v>
      </c>
      <c r="G67" s="15">
        <v>26499</v>
      </c>
      <c r="H67" s="15">
        <f t="shared" si="1"/>
        <v>264990</v>
      </c>
      <c r="I67" s="16" t="str">
        <f>IFERROR(VLOOKUP($C67,[1]dados_2023!$C$3:$H$357,4,0),"-")</f>
        <v>-</v>
      </c>
      <c r="J67" s="16" t="str">
        <f>IFERROR(VLOOKUP($C67,[1]dados_2023!$C$3:$H$357,6,0),"-")</f>
        <v>-</v>
      </c>
    </row>
    <row r="68" spans="1:10" ht="18" customHeight="1" x14ac:dyDescent="0.3">
      <c r="A68" s="11">
        <v>3</v>
      </c>
      <c r="B68" s="12" t="s">
        <v>115</v>
      </c>
      <c r="C68" s="13">
        <v>1178403</v>
      </c>
      <c r="D68" s="14" t="s">
        <v>116</v>
      </c>
      <c r="E68" s="15">
        <v>4048.6</v>
      </c>
      <c r="F68" s="15">
        <f t="shared" ref="F68:F131" si="2">E68*10</f>
        <v>40486</v>
      </c>
      <c r="G68" s="15">
        <v>18374</v>
      </c>
      <c r="H68" s="15">
        <f t="shared" ref="H68:H131" si="3">G68*10</f>
        <v>183740</v>
      </c>
      <c r="I68" s="16" t="str">
        <f>IFERROR(VLOOKUP($C68,[1]dados_2023!$C$3:$H$357,4,0),"-")</f>
        <v>-</v>
      </c>
      <c r="J68" s="16" t="str">
        <f>IFERROR(VLOOKUP($C68,[1]dados_2023!$C$3:$H$357,6,0),"-")</f>
        <v>-</v>
      </c>
    </row>
    <row r="69" spans="1:10" ht="18" customHeight="1" x14ac:dyDescent="0.3">
      <c r="A69" s="11">
        <v>3</v>
      </c>
      <c r="B69" s="12" t="s">
        <v>115</v>
      </c>
      <c r="C69" s="13">
        <v>1168411</v>
      </c>
      <c r="D69" s="14" t="s">
        <v>117</v>
      </c>
      <c r="E69" s="15">
        <v>6636.2000000000007</v>
      </c>
      <c r="F69" s="15">
        <f t="shared" si="2"/>
        <v>66362</v>
      </c>
      <c r="G69" s="15">
        <v>24064.400000000001</v>
      </c>
      <c r="H69" s="15">
        <f t="shared" si="3"/>
        <v>240644</v>
      </c>
      <c r="I69" s="16" t="str">
        <f>IFERROR(VLOOKUP($C69,[1]dados_2023!$C$3:$H$357,4,0),"-")</f>
        <v>-</v>
      </c>
      <c r="J69" s="16" t="str">
        <f>IFERROR(VLOOKUP($C69,[1]dados_2023!$C$3:$H$357,6,0),"-")</f>
        <v>-</v>
      </c>
    </row>
    <row r="70" spans="1:10" ht="18" customHeight="1" x14ac:dyDescent="0.3">
      <c r="A70" s="11">
        <v>3</v>
      </c>
      <c r="B70" s="12" t="s">
        <v>118</v>
      </c>
      <c r="C70" s="13">
        <v>1133090</v>
      </c>
      <c r="D70" s="14" t="s">
        <v>119</v>
      </c>
      <c r="E70" s="15">
        <v>5618.6</v>
      </c>
      <c r="F70" s="15">
        <f t="shared" si="2"/>
        <v>56186</v>
      </c>
      <c r="G70" s="15">
        <v>21096.800000000003</v>
      </c>
      <c r="H70" s="15">
        <f t="shared" si="3"/>
        <v>210968.00000000003</v>
      </c>
      <c r="I70" s="16" t="str">
        <f>IFERROR(VLOOKUP($C70,[1]dados_2023!$C$3:$H$357,4,0),"-")</f>
        <v>-</v>
      </c>
      <c r="J70" s="16" t="str">
        <f>IFERROR(VLOOKUP($C70,[1]dados_2023!$C$3:$H$357,6,0),"-")</f>
        <v>-</v>
      </c>
    </row>
    <row r="71" spans="1:10" ht="18" customHeight="1" x14ac:dyDescent="0.3">
      <c r="A71" s="11">
        <v>3</v>
      </c>
      <c r="B71" s="12" t="s">
        <v>118</v>
      </c>
      <c r="C71" s="13">
        <v>1132166</v>
      </c>
      <c r="D71" s="14" t="s">
        <v>120</v>
      </c>
      <c r="E71" s="15">
        <v>1946.8</v>
      </c>
      <c r="F71" s="15">
        <f t="shared" si="2"/>
        <v>19468</v>
      </c>
      <c r="G71" s="15">
        <v>8536.4</v>
      </c>
      <c r="H71" s="15">
        <f t="shared" si="3"/>
        <v>85364</v>
      </c>
      <c r="I71" s="16" t="str">
        <f>IFERROR(VLOOKUP($C71,[1]dados_2023!$C$3:$H$357,4,0),"-")</f>
        <v>-</v>
      </c>
      <c r="J71" s="16" t="str">
        <f>IFERROR(VLOOKUP($C71,[1]dados_2023!$C$3:$H$357,6,0),"-")</f>
        <v>-</v>
      </c>
    </row>
    <row r="72" spans="1:10" ht="18" customHeight="1" x14ac:dyDescent="0.3">
      <c r="A72" s="11">
        <v>3</v>
      </c>
      <c r="B72" s="12" t="s">
        <v>121</v>
      </c>
      <c r="C72" s="13">
        <v>1124368</v>
      </c>
      <c r="D72" s="14" t="s">
        <v>122</v>
      </c>
      <c r="E72" s="15">
        <v>3617.4</v>
      </c>
      <c r="F72" s="15">
        <f t="shared" si="2"/>
        <v>36174</v>
      </c>
      <c r="G72" s="15">
        <v>12952.4</v>
      </c>
      <c r="H72" s="15">
        <f t="shared" si="3"/>
        <v>129524</v>
      </c>
      <c r="I72" s="16" t="str">
        <f>IFERROR(VLOOKUP($C72,[1]dados_2023!$C$3:$H$357,4,0),"-")</f>
        <v>-</v>
      </c>
      <c r="J72" s="16" t="str">
        <f>IFERROR(VLOOKUP($C72,[1]dados_2023!$C$3:$H$357,6,0),"-")</f>
        <v>-</v>
      </c>
    </row>
    <row r="73" spans="1:10" s="21" customFormat="1" ht="18" customHeight="1" x14ac:dyDescent="0.3">
      <c r="A73" s="18">
        <v>3</v>
      </c>
      <c r="B73" s="19" t="s">
        <v>123</v>
      </c>
      <c r="C73" s="20">
        <v>1133278</v>
      </c>
      <c r="D73" s="14" t="s">
        <v>124</v>
      </c>
      <c r="E73" s="15">
        <v>22249.000000000004</v>
      </c>
      <c r="F73" s="15">
        <f t="shared" si="2"/>
        <v>222490.00000000003</v>
      </c>
      <c r="G73" s="15">
        <v>68798.2</v>
      </c>
      <c r="H73" s="15">
        <f t="shared" si="3"/>
        <v>687982</v>
      </c>
      <c r="I73" s="16" t="str">
        <f>IFERROR(VLOOKUP($C73,[1]dados_2023!$C$3:$H$357,4,0),"-")</f>
        <v>-</v>
      </c>
      <c r="J73" s="16" t="str">
        <f>IFERROR(VLOOKUP($C73,[1]dados_2023!$C$3:$H$357,6,0),"-")</f>
        <v>-</v>
      </c>
    </row>
    <row r="74" spans="1:10" ht="18" customHeight="1" x14ac:dyDescent="0.3">
      <c r="A74" s="11">
        <v>3</v>
      </c>
      <c r="B74" s="12" t="s">
        <v>123</v>
      </c>
      <c r="C74" s="13">
        <v>1179607</v>
      </c>
      <c r="D74" s="14" t="s">
        <v>125</v>
      </c>
      <c r="E74" s="15">
        <v>2713.2</v>
      </c>
      <c r="F74" s="15">
        <f t="shared" si="2"/>
        <v>27132</v>
      </c>
      <c r="G74" s="15">
        <v>13109.2</v>
      </c>
      <c r="H74" s="15">
        <f t="shared" si="3"/>
        <v>131092</v>
      </c>
      <c r="I74" s="16" t="str">
        <f>IFERROR(VLOOKUP($C74,[1]dados_2023!$C$3:$H$357,4,0),"-")</f>
        <v>-</v>
      </c>
      <c r="J74" s="16" t="str">
        <f>IFERROR(VLOOKUP($C74,[1]dados_2023!$C$3:$H$357,6,0),"-")</f>
        <v>-</v>
      </c>
    </row>
    <row r="75" spans="1:10" ht="18" customHeight="1" x14ac:dyDescent="0.3">
      <c r="A75" s="11">
        <v>3</v>
      </c>
      <c r="B75" s="12" t="s">
        <v>126</v>
      </c>
      <c r="C75" s="13">
        <v>1170360</v>
      </c>
      <c r="D75" s="14" t="s">
        <v>127</v>
      </c>
      <c r="E75" s="15">
        <v>6666.7999999999993</v>
      </c>
      <c r="F75" s="15">
        <f t="shared" si="2"/>
        <v>66668</v>
      </c>
      <c r="G75" s="15">
        <v>28179.200000000004</v>
      </c>
      <c r="H75" s="15">
        <f t="shared" si="3"/>
        <v>281792.00000000006</v>
      </c>
      <c r="I75" s="16" t="str">
        <f>IFERROR(VLOOKUP($C75,[1]dados_2023!$C$3:$H$357,4,0),"-")</f>
        <v>-</v>
      </c>
      <c r="J75" s="16" t="str">
        <f>IFERROR(VLOOKUP($C75,[1]dados_2023!$C$3:$H$357,6,0),"-")</f>
        <v>-</v>
      </c>
    </row>
    <row r="76" spans="1:10" ht="18" customHeight="1" x14ac:dyDescent="0.3">
      <c r="A76" s="11">
        <v>3</v>
      </c>
      <c r="B76" s="12" t="s">
        <v>126</v>
      </c>
      <c r="C76" s="13">
        <v>1123353</v>
      </c>
      <c r="D76" s="14" t="s">
        <v>128</v>
      </c>
      <c r="E76" s="15">
        <v>1650</v>
      </c>
      <c r="F76" s="15">
        <f t="shared" si="2"/>
        <v>16500</v>
      </c>
      <c r="G76" s="15">
        <v>7062</v>
      </c>
      <c r="H76" s="15">
        <f t="shared" si="3"/>
        <v>70620</v>
      </c>
      <c r="I76" s="16" t="str">
        <f>IFERROR(VLOOKUP($C76,[1]dados_2023!$C$3:$H$357,4,0),"-")</f>
        <v>-</v>
      </c>
      <c r="J76" s="16" t="str">
        <f>IFERROR(VLOOKUP($C76,[1]dados_2023!$C$3:$H$357,6,0),"-")</f>
        <v>-</v>
      </c>
    </row>
    <row r="77" spans="1:10" ht="18" customHeight="1" x14ac:dyDescent="0.3">
      <c r="A77" s="11">
        <v>3</v>
      </c>
      <c r="B77" s="12" t="s">
        <v>129</v>
      </c>
      <c r="C77" s="13">
        <v>1124481</v>
      </c>
      <c r="D77" s="14" t="s">
        <v>130</v>
      </c>
      <c r="E77" s="15">
        <v>2901</v>
      </c>
      <c r="F77" s="15">
        <f t="shared" si="2"/>
        <v>29010</v>
      </c>
      <c r="G77" s="15">
        <v>12884.000000000002</v>
      </c>
      <c r="H77" s="15">
        <f t="shared" si="3"/>
        <v>128840.00000000001</v>
      </c>
      <c r="I77" s="16" t="str">
        <f>IFERROR(VLOOKUP($C77,[1]dados_2023!$C$3:$H$357,4,0),"-")</f>
        <v>-</v>
      </c>
      <c r="J77" s="16" t="str">
        <f>IFERROR(VLOOKUP($C77,[1]dados_2023!$C$3:$H$357,6,0),"-")</f>
        <v>-</v>
      </c>
    </row>
    <row r="78" spans="1:10" ht="18" customHeight="1" x14ac:dyDescent="0.3">
      <c r="A78" s="11">
        <v>3</v>
      </c>
      <c r="B78" s="12" t="s">
        <v>131</v>
      </c>
      <c r="C78" s="13">
        <v>1164149</v>
      </c>
      <c r="D78" s="14" t="s">
        <v>132</v>
      </c>
      <c r="E78" s="15">
        <v>3985.3999999999996</v>
      </c>
      <c r="F78" s="15">
        <f t="shared" si="2"/>
        <v>39854</v>
      </c>
      <c r="G78" s="15">
        <v>17882.400000000001</v>
      </c>
      <c r="H78" s="15">
        <f t="shared" si="3"/>
        <v>178824</v>
      </c>
      <c r="I78" s="16" t="str">
        <f>IFERROR(VLOOKUP($C78,[1]dados_2023!$C$3:$H$357,4,0),"-")</f>
        <v>-</v>
      </c>
      <c r="J78" s="16" t="str">
        <f>IFERROR(VLOOKUP($C78,[1]dados_2023!$C$3:$H$357,6,0),"-")</f>
        <v>-</v>
      </c>
    </row>
    <row r="79" spans="1:10" ht="18" customHeight="1" x14ac:dyDescent="0.3">
      <c r="A79" s="11">
        <v>3</v>
      </c>
      <c r="B79" s="12" t="s">
        <v>133</v>
      </c>
      <c r="C79" s="13">
        <v>1123647</v>
      </c>
      <c r="D79" s="14" t="s">
        <v>134</v>
      </c>
      <c r="E79" s="15">
        <v>6785.2</v>
      </c>
      <c r="F79" s="15">
        <f t="shared" si="2"/>
        <v>67852</v>
      </c>
      <c r="G79" s="15">
        <v>25903.800000000003</v>
      </c>
      <c r="H79" s="15">
        <f t="shared" si="3"/>
        <v>259038.00000000003</v>
      </c>
      <c r="I79" s="16" t="str">
        <f>IFERROR(VLOOKUP($C79,[1]dados_2023!$C$3:$H$357,4,0),"-")</f>
        <v>-</v>
      </c>
      <c r="J79" s="16" t="str">
        <f>IFERROR(VLOOKUP($C79,[1]dados_2023!$C$3:$H$357,6,0),"-")</f>
        <v>-</v>
      </c>
    </row>
    <row r="80" spans="1:10" ht="18" customHeight="1" x14ac:dyDescent="0.3">
      <c r="A80" s="11">
        <v>3</v>
      </c>
      <c r="B80" s="12" t="s">
        <v>135</v>
      </c>
      <c r="C80" s="13">
        <v>1176457</v>
      </c>
      <c r="D80" s="14" t="s">
        <v>136</v>
      </c>
      <c r="E80" s="15">
        <v>5650</v>
      </c>
      <c r="F80" s="15">
        <f t="shared" si="2"/>
        <v>56500</v>
      </c>
      <c r="G80" s="15">
        <v>24182.000000000004</v>
      </c>
      <c r="H80" s="15">
        <f t="shared" si="3"/>
        <v>241820.00000000003</v>
      </c>
      <c r="I80" s="16" t="str">
        <f>IFERROR(VLOOKUP($C80,[1]dados_2023!$C$3:$H$357,4,0),"-")</f>
        <v>-</v>
      </c>
      <c r="J80" s="16" t="str">
        <f>IFERROR(VLOOKUP($C80,[1]dados_2023!$C$3:$H$357,6,0),"-")</f>
        <v>-</v>
      </c>
    </row>
    <row r="81" spans="1:10" ht="18" customHeight="1" x14ac:dyDescent="0.3">
      <c r="A81" s="11">
        <v>3</v>
      </c>
      <c r="B81" s="12" t="s">
        <v>135</v>
      </c>
      <c r="C81" s="13">
        <v>1178028</v>
      </c>
      <c r="D81" s="14" t="s">
        <v>137</v>
      </c>
      <c r="E81" s="15">
        <v>2301</v>
      </c>
      <c r="F81" s="15">
        <f t="shared" si="2"/>
        <v>23010</v>
      </c>
      <c r="G81" s="15">
        <v>10316</v>
      </c>
      <c r="H81" s="15">
        <f t="shared" si="3"/>
        <v>103160</v>
      </c>
      <c r="I81" s="16" t="str">
        <f>IFERROR(VLOOKUP($C81,[1]dados_2023!$C$3:$H$357,4,0),"-")</f>
        <v>-</v>
      </c>
      <c r="J81" s="16" t="str">
        <f>IFERROR(VLOOKUP($C81,[1]dados_2023!$C$3:$H$357,6,0),"-")</f>
        <v>-</v>
      </c>
    </row>
    <row r="82" spans="1:10" ht="18" customHeight="1" x14ac:dyDescent="0.3">
      <c r="A82" s="11">
        <v>3</v>
      </c>
      <c r="B82" s="12" t="s">
        <v>135</v>
      </c>
      <c r="C82" s="13">
        <v>1178439</v>
      </c>
      <c r="D82" s="14" t="s">
        <v>138</v>
      </c>
      <c r="E82" s="15">
        <v>1938.2</v>
      </c>
      <c r="F82" s="15">
        <f t="shared" si="2"/>
        <v>19382</v>
      </c>
      <c r="G82" s="15">
        <v>6632.6</v>
      </c>
      <c r="H82" s="15">
        <f t="shared" si="3"/>
        <v>66326</v>
      </c>
      <c r="I82" s="16" t="str">
        <f>IFERROR(VLOOKUP($C82,[1]dados_2023!$C$3:$H$357,4,0),"-")</f>
        <v>-</v>
      </c>
      <c r="J82" s="16" t="str">
        <f>IFERROR(VLOOKUP($C82,[1]dados_2023!$C$3:$H$357,6,0),"-")</f>
        <v>-</v>
      </c>
    </row>
    <row r="83" spans="1:10" ht="18" customHeight="1" x14ac:dyDescent="0.3">
      <c r="A83" s="11">
        <v>3</v>
      </c>
      <c r="B83" s="12" t="s">
        <v>135</v>
      </c>
      <c r="C83" s="13">
        <v>1161956</v>
      </c>
      <c r="D83" s="14" t="s">
        <v>139</v>
      </c>
      <c r="E83" s="15">
        <v>8121.8</v>
      </c>
      <c r="F83" s="15">
        <f t="shared" si="2"/>
        <v>81218</v>
      </c>
      <c r="G83" s="15">
        <v>32719</v>
      </c>
      <c r="H83" s="15">
        <f t="shared" si="3"/>
        <v>327190</v>
      </c>
      <c r="I83" s="16" t="str">
        <f>IFERROR(VLOOKUP($C83,[1]dados_2023!$C$3:$H$357,4,0),"-")</f>
        <v>-</v>
      </c>
      <c r="J83" s="16" t="str">
        <f>IFERROR(VLOOKUP($C83,[1]dados_2023!$C$3:$H$357,6,0),"-")</f>
        <v>-</v>
      </c>
    </row>
    <row r="84" spans="1:10" ht="18" customHeight="1" x14ac:dyDescent="0.3">
      <c r="A84" s="11">
        <v>3</v>
      </c>
      <c r="B84" s="12" t="s">
        <v>140</v>
      </c>
      <c r="C84" s="13">
        <v>1132468</v>
      </c>
      <c r="D84" s="14" t="s">
        <v>130</v>
      </c>
      <c r="E84" s="15">
        <v>5094</v>
      </c>
      <c r="F84" s="15">
        <f t="shared" si="2"/>
        <v>50940</v>
      </c>
      <c r="G84" s="15">
        <v>22822.800000000003</v>
      </c>
      <c r="H84" s="15">
        <f t="shared" si="3"/>
        <v>228228.00000000003</v>
      </c>
      <c r="I84" s="16" t="str">
        <f>IFERROR(VLOOKUP($C84,[1]dados_2023!$C$3:$H$357,4,0),"-")</f>
        <v>-</v>
      </c>
      <c r="J84" s="16" t="str">
        <f>IFERROR(VLOOKUP($C84,[1]dados_2023!$C$3:$H$357,6,0),"-")</f>
        <v>-</v>
      </c>
    </row>
    <row r="85" spans="1:10" ht="18" customHeight="1" x14ac:dyDescent="0.3">
      <c r="A85" s="11">
        <v>3</v>
      </c>
      <c r="B85" s="12" t="s">
        <v>141</v>
      </c>
      <c r="C85" s="13">
        <v>1178029</v>
      </c>
      <c r="D85" s="14" t="s">
        <v>142</v>
      </c>
      <c r="E85" s="15">
        <v>4617.8</v>
      </c>
      <c r="F85" s="15">
        <f t="shared" si="2"/>
        <v>46178</v>
      </c>
      <c r="G85" s="15">
        <v>19551.2</v>
      </c>
      <c r="H85" s="15">
        <f t="shared" si="3"/>
        <v>195512</v>
      </c>
      <c r="I85" s="16" t="str">
        <f>IFERROR(VLOOKUP($C85,[1]dados_2023!$C$3:$H$357,4,0),"-")</f>
        <v>-</v>
      </c>
      <c r="J85" s="16" t="str">
        <f>IFERROR(VLOOKUP($C85,[1]dados_2023!$C$3:$H$357,6,0),"-")</f>
        <v>-</v>
      </c>
    </row>
    <row r="86" spans="1:10" ht="18" customHeight="1" x14ac:dyDescent="0.3">
      <c r="A86" s="11">
        <v>3</v>
      </c>
      <c r="B86" s="12" t="s">
        <v>143</v>
      </c>
      <c r="C86" s="13">
        <v>1164491</v>
      </c>
      <c r="D86" s="14" t="s">
        <v>144</v>
      </c>
      <c r="E86" s="15">
        <v>4535.6000000000004</v>
      </c>
      <c r="F86" s="15">
        <f t="shared" si="2"/>
        <v>45356</v>
      </c>
      <c r="G86" s="15">
        <v>20330.8</v>
      </c>
      <c r="H86" s="15">
        <f t="shared" si="3"/>
        <v>203308</v>
      </c>
      <c r="I86" s="16" t="str">
        <f>IFERROR(VLOOKUP($C86,[1]dados_2023!$C$3:$H$357,4,0),"-")</f>
        <v>-</v>
      </c>
      <c r="J86" s="16" t="str">
        <f>IFERROR(VLOOKUP($C86,[1]dados_2023!$C$3:$H$357,6,0),"-")</f>
        <v>-</v>
      </c>
    </row>
    <row r="87" spans="1:10" ht="18" customHeight="1" x14ac:dyDescent="0.3">
      <c r="A87" s="11">
        <v>3</v>
      </c>
      <c r="B87" s="12" t="s">
        <v>145</v>
      </c>
      <c r="C87" s="13">
        <v>1132565</v>
      </c>
      <c r="D87" s="14" t="s">
        <v>146</v>
      </c>
      <c r="E87" s="15">
        <v>4409.2</v>
      </c>
      <c r="F87" s="15">
        <f t="shared" si="2"/>
        <v>44092</v>
      </c>
      <c r="G87" s="15">
        <v>19347.599999999999</v>
      </c>
      <c r="H87" s="15">
        <f t="shared" si="3"/>
        <v>193476</v>
      </c>
      <c r="I87" s="16" t="str">
        <f>IFERROR(VLOOKUP($C87,[1]dados_2023!$C$3:$H$357,4,0),"-")</f>
        <v>-</v>
      </c>
      <c r="J87" s="16" t="str">
        <f>IFERROR(VLOOKUP($C87,[1]dados_2023!$C$3:$H$357,6,0),"-")</f>
        <v>-</v>
      </c>
    </row>
    <row r="88" spans="1:10" ht="18" customHeight="1" x14ac:dyDescent="0.3">
      <c r="A88" s="11">
        <v>3</v>
      </c>
      <c r="B88" s="12" t="s">
        <v>147</v>
      </c>
      <c r="C88" s="13">
        <v>1179483</v>
      </c>
      <c r="D88" s="14" t="s">
        <v>148</v>
      </c>
      <c r="E88" s="15">
        <v>1710</v>
      </c>
      <c r="F88" s="15">
        <f t="shared" si="2"/>
        <v>17100</v>
      </c>
      <c r="G88" s="15">
        <v>7318.8</v>
      </c>
      <c r="H88" s="15">
        <f t="shared" si="3"/>
        <v>73188</v>
      </c>
      <c r="I88" s="16" t="str">
        <f>IFERROR(VLOOKUP($C88,[1]dados_2023!$C$3:$H$357,4,0),"-")</f>
        <v>-</v>
      </c>
      <c r="J88" s="16" t="str">
        <f>IFERROR(VLOOKUP($C88,[1]dados_2023!$C$3:$H$357,6,0),"-")</f>
        <v>-</v>
      </c>
    </row>
    <row r="89" spans="1:10" ht="18" customHeight="1" x14ac:dyDescent="0.3">
      <c r="A89" s="11">
        <v>3</v>
      </c>
      <c r="B89" s="12" t="s">
        <v>147</v>
      </c>
      <c r="C89" s="13">
        <v>1179708</v>
      </c>
      <c r="D89" s="14" t="s">
        <v>149</v>
      </c>
      <c r="E89" s="15">
        <v>2268.8000000000002</v>
      </c>
      <c r="F89" s="15">
        <f t="shared" si="2"/>
        <v>22688</v>
      </c>
      <c r="G89" s="15">
        <v>9999.6</v>
      </c>
      <c r="H89" s="15">
        <f t="shared" si="3"/>
        <v>99996</v>
      </c>
      <c r="I89" s="16" t="str">
        <f>IFERROR(VLOOKUP($C89,[1]dados_2023!$C$3:$H$357,4,0),"-")</f>
        <v>-</v>
      </c>
      <c r="J89" s="16" t="str">
        <f>IFERROR(VLOOKUP($C89,[1]dados_2023!$C$3:$H$357,6,0),"-")</f>
        <v>-</v>
      </c>
    </row>
    <row r="90" spans="1:10" ht="18" customHeight="1" x14ac:dyDescent="0.3">
      <c r="A90" s="11">
        <v>3</v>
      </c>
      <c r="B90" s="12" t="s">
        <v>150</v>
      </c>
      <c r="C90" s="13">
        <v>1178261</v>
      </c>
      <c r="D90" s="14" t="s">
        <v>151</v>
      </c>
      <c r="E90" s="15">
        <v>4473</v>
      </c>
      <c r="F90" s="15">
        <f t="shared" si="2"/>
        <v>44730</v>
      </c>
      <c r="G90" s="15">
        <v>13929.800000000001</v>
      </c>
      <c r="H90" s="15">
        <f t="shared" si="3"/>
        <v>139298</v>
      </c>
      <c r="I90" s="16" t="str">
        <f>IFERROR(VLOOKUP($C90,[1]dados_2023!$C$3:$H$357,4,0),"-")</f>
        <v>-</v>
      </c>
      <c r="J90" s="16" t="str">
        <f>IFERROR(VLOOKUP($C90,[1]dados_2023!$C$3:$H$357,6,0),"-")</f>
        <v>-</v>
      </c>
    </row>
    <row r="91" spans="1:10" ht="18" customHeight="1" x14ac:dyDescent="0.3">
      <c r="A91" s="11">
        <v>3</v>
      </c>
      <c r="B91" s="12" t="s">
        <v>150</v>
      </c>
      <c r="C91" s="13">
        <v>1167997</v>
      </c>
      <c r="D91" s="14" t="s">
        <v>152</v>
      </c>
      <c r="E91" s="15">
        <v>1707.6</v>
      </c>
      <c r="F91" s="15">
        <f t="shared" si="2"/>
        <v>17076</v>
      </c>
      <c r="G91" s="15">
        <v>6380.4</v>
      </c>
      <c r="H91" s="15">
        <f t="shared" si="3"/>
        <v>63804</v>
      </c>
      <c r="I91" s="16" t="str">
        <f>IFERROR(VLOOKUP($C91,[1]dados_2023!$C$3:$H$357,4,0),"-")</f>
        <v>-</v>
      </c>
      <c r="J91" s="16" t="str">
        <f>IFERROR(VLOOKUP($C91,[1]dados_2023!$C$3:$H$357,6,0),"-")</f>
        <v>-</v>
      </c>
    </row>
    <row r="92" spans="1:10" ht="18" customHeight="1" x14ac:dyDescent="0.3">
      <c r="A92" s="11">
        <v>3</v>
      </c>
      <c r="B92" s="12" t="s">
        <v>153</v>
      </c>
      <c r="C92" s="13">
        <v>1133073</v>
      </c>
      <c r="D92" s="14" t="s">
        <v>154</v>
      </c>
      <c r="E92" s="15">
        <v>5010</v>
      </c>
      <c r="F92" s="15">
        <f t="shared" si="2"/>
        <v>50100</v>
      </c>
      <c r="G92" s="15">
        <v>21442.800000000003</v>
      </c>
      <c r="H92" s="15">
        <f t="shared" si="3"/>
        <v>214428.00000000003</v>
      </c>
      <c r="I92" s="16" t="str">
        <f>IFERROR(VLOOKUP($C92,[1]dados_2023!$C$3:$H$357,4,0),"-")</f>
        <v>-</v>
      </c>
      <c r="J92" s="16" t="str">
        <f>IFERROR(VLOOKUP($C92,[1]dados_2023!$C$3:$H$357,6,0),"-")</f>
        <v>-</v>
      </c>
    </row>
    <row r="93" spans="1:10" ht="18" customHeight="1" x14ac:dyDescent="0.3">
      <c r="A93" s="11">
        <v>3</v>
      </c>
      <c r="B93" s="12" t="s">
        <v>153</v>
      </c>
      <c r="C93" s="13">
        <v>1179283</v>
      </c>
      <c r="D93" s="14" t="s">
        <v>155</v>
      </c>
      <c r="E93" s="15">
        <v>7970</v>
      </c>
      <c r="F93" s="15">
        <f t="shared" si="2"/>
        <v>79700</v>
      </c>
      <c r="G93" s="15">
        <v>34111.600000000006</v>
      </c>
      <c r="H93" s="15">
        <f t="shared" si="3"/>
        <v>341116.00000000006</v>
      </c>
      <c r="I93" s="16" t="str">
        <f>IFERROR(VLOOKUP($C93,[1]dados_2023!$C$3:$H$357,4,0),"-")</f>
        <v>-</v>
      </c>
      <c r="J93" s="16" t="str">
        <f>IFERROR(VLOOKUP($C93,[1]dados_2023!$C$3:$H$357,6,0),"-")</f>
        <v>-</v>
      </c>
    </row>
    <row r="94" spans="1:10" ht="18" customHeight="1" x14ac:dyDescent="0.3">
      <c r="A94" s="11">
        <v>3</v>
      </c>
      <c r="B94" s="12" t="s">
        <v>153</v>
      </c>
      <c r="C94" s="13">
        <v>1133138</v>
      </c>
      <c r="D94" s="14" t="s">
        <v>156</v>
      </c>
      <c r="E94" s="15">
        <v>13499.2</v>
      </c>
      <c r="F94" s="15">
        <f t="shared" si="2"/>
        <v>134992</v>
      </c>
      <c r="G94" s="15">
        <v>57824.600000000006</v>
      </c>
      <c r="H94" s="15">
        <f t="shared" si="3"/>
        <v>578246</v>
      </c>
      <c r="I94" s="16" t="str">
        <f>IFERROR(VLOOKUP($C94,[1]dados_2023!$C$3:$H$357,4,0),"-")</f>
        <v>-</v>
      </c>
      <c r="J94" s="16" t="str">
        <f>IFERROR(VLOOKUP($C94,[1]dados_2023!$C$3:$H$357,6,0),"-")</f>
        <v>-</v>
      </c>
    </row>
    <row r="95" spans="1:10" ht="18" customHeight="1" x14ac:dyDescent="0.3">
      <c r="A95" s="11">
        <v>3</v>
      </c>
      <c r="B95" s="12" t="s">
        <v>153</v>
      </c>
      <c r="C95" s="13">
        <v>1133022</v>
      </c>
      <c r="D95" s="14" t="s">
        <v>157</v>
      </c>
      <c r="E95" s="15">
        <v>2679.2</v>
      </c>
      <c r="F95" s="15">
        <f t="shared" si="2"/>
        <v>26792</v>
      </c>
      <c r="G95" s="15">
        <v>11943.2</v>
      </c>
      <c r="H95" s="15">
        <f t="shared" si="3"/>
        <v>119432</v>
      </c>
      <c r="I95" s="16" t="str">
        <f>IFERROR(VLOOKUP($C95,[1]dados_2023!$C$3:$H$357,4,0),"-")</f>
        <v>-</v>
      </c>
      <c r="J95" s="16" t="str">
        <f>IFERROR(VLOOKUP($C95,[1]dados_2023!$C$3:$H$357,6,0),"-")</f>
        <v>-</v>
      </c>
    </row>
    <row r="96" spans="1:10" ht="18" customHeight="1" x14ac:dyDescent="0.3">
      <c r="A96" s="11">
        <v>3</v>
      </c>
      <c r="B96" s="12" t="s">
        <v>158</v>
      </c>
      <c r="C96" s="13">
        <v>1133235</v>
      </c>
      <c r="D96" s="14" t="s">
        <v>159</v>
      </c>
      <c r="E96" s="15">
        <v>10423.800000000001</v>
      </c>
      <c r="F96" s="15">
        <f t="shared" si="2"/>
        <v>104238.00000000001</v>
      </c>
      <c r="G96" s="15">
        <v>40559</v>
      </c>
      <c r="H96" s="15">
        <f t="shared" si="3"/>
        <v>405590</v>
      </c>
      <c r="I96" s="16" t="str">
        <f>IFERROR(VLOOKUP($C96,[1]dados_2023!$C$3:$H$357,4,0),"-")</f>
        <v>-</v>
      </c>
      <c r="J96" s="16" t="str">
        <f>IFERROR(VLOOKUP($C96,[1]dados_2023!$C$3:$H$357,6,0),"-")</f>
        <v>-</v>
      </c>
    </row>
    <row r="97" spans="1:10" ht="18" customHeight="1" x14ac:dyDescent="0.3">
      <c r="A97" s="11">
        <v>3</v>
      </c>
      <c r="B97" s="12" t="s">
        <v>160</v>
      </c>
      <c r="C97" s="13">
        <v>1178095</v>
      </c>
      <c r="D97" s="14" t="s">
        <v>161</v>
      </c>
      <c r="E97" s="15">
        <v>6406.2</v>
      </c>
      <c r="F97" s="15">
        <f t="shared" si="2"/>
        <v>64062</v>
      </c>
      <c r="G97" s="15">
        <v>28617.599999999999</v>
      </c>
      <c r="H97" s="15">
        <f t="shared" si="3"/>
        <v>286176</v>
      </c>
      <c r="I97" s="16" t="str">
        <f>IFERROR(VLOOKUP($C97,[1]dados_2023!$C$3:$H$357,4,0),"-")</f>
        <v>-</v>
      </c>
      <c r="J97" s="16" t="str">
        <f>IFERROR(VLOOKUP($C97,[1]dados_2023!$C$3:$H$357,6,0),"-")</f>
        <v>-</v>
      </c>
    </row>
    <row r="98" spans="1:10" ht="18" customHeight="1" x14ac:dyDescent="0.3">
      <c r="A98" s="11">
        <v>3</v>
      </c>
      <c r="B98" s="12" t="s">
        <v>162</v>
      </c>
      <c r="C98" s="13">
        <v>1123876</v>
      </c>
      <c r="D98" s="14" t="s">
        <v>163</v>
      </c>
      <c r="E98" s="15">
        <v>6551.5999999999995</v>
      </c>
      <c r="F98" s="15">
        <f t="shared" si="2"/>
        <v>65515.999999999993</v>
      </c>
      <c r="G98" s="15">
        <v>27117.8</v>
      </c>
      <c r="H98" s="15">
        <f t="shared" si="3"/>
        <v>271178</v>
      </c>
      <c r="I98" s="16" t="str">
        <f>IFERROR(VLOOKUP($C98,[1]dados_2023!$C$3:$H$357,4,0),"-")</f>
        <v>-</v>
      </c>
      <c r="J98" s="16" t="str">
        <f>IFERROR(VLOOKUP($C98,[1]dados_2023!$C$3:$H$357,6,0),"-")</f>
        <v>-</v>
      </c>
    </row>
    <row r="99" spans="1:10" ht="18" customHeight="1" x14ac:dyDescent="0.3">
      <c r="A99" s="11">
        <v>3</v>
      </c>
      <c r="B99" s="12" t="s">
        <v>147</v>
      </c>
      <c r="C99" s="13">
        <v>1132794</v>
      </c>
      <c r="D99" s="14" t="s">
        <v>164</v>
      </c>
      <c r="E99" s="15">
        <v>10079.200000000001</v>
      </c>
      <c r="F99" s="15">
        <f t="shared" si="2"/>
        <v>100792</v>
      </c>
      <c r="G99" s="15">
        <v>21799.200000000001</v>
      </c>
      <c r="H99" s="15">
        <f t="shared" si="3"/>
        <v>217992</v>
      </c>
      <c r="I99" s="16" t="str">
        <f>IFERROR(VLOOKUP($C99,[1]dados_2023!$C$3:$H$357,4,0),"-")</f>
        <v>-</v>
      </c>
      <c r="J99" s="16" t="str">
        <f>IFERROR(VLOOKUP($C99,[1]dados_2023!$C$3:$H$357,6,0),"-")</f>
        <v>-</v>
      </c>
    </row>
    <row r="100" spans="1:10" ht="18" customHeight="1" x14ac:dyDescent="0.3">
      <c r="A100" s="11">
        <v>4</v>
      </c>
      <c r="B100" s="12" t="s">
        <v>165</v>
      </c>
      <c r="C100" s="13">
        <v>1115431</v>
      </c>
      <c r="D100" s="14" t="s">
        <v>166</v>
      </c>
      <c r="E100" s="15">
        <v>21197.200000000001</v>
      </c>
      <c r="F100" s="15">
        <f t="shared" si="2"/>
        <v>211972</v>
      </c>
      <c r="G100" s="15">
        <v>90653.6</v>
      </c>
      <c r="H100" s="15">
        <f t="shared" si="3"/>
        <v>906536</v>
      </c>
      <c r="I100" s="16" t="str">
        <f>IFERROR(VLOOKUP($C100,[1]dados_2023!$C$3:$H$357,4,0),"-")</f>
        <v>-</v>
      </c>
      <c r="J100" s="16" t="str">
        <f>IFERROR(VLOOKUP($C100,[1]dados_2023!$C$3:$H$357,6,0),"-")</f>
        <v>-</v>
      </c>
    </row>
    <row r="101" spans="1:10" ht="18" customHeight="1" x14ac:dyDescent="0.3">
      <c r="A101" s="11">
        <v>4</v>
      </c>
      <c r="B101" s="12" t="s">
        <v>165</v>
      </c>
      <c r="C101" s="13">
        <v>1178114</v>
      </c>
      <c r="D101" s="14" t="s">
        <v>167</v>
      </c>
      <c r="E101" s="15">
        <v>1290</v>
      </c>
      <c r="F101" s="15">
        <f t="shared" si="2"/>
        <v>12900</v>
      </c>
      <c r="G101" s="15">
        <v>5521.2</v>
      </c>
      <c r="H101" s="15">
        <f t="shared" si="3"/>
        <v>55212</v>
      </c>
      <c r="I101" s="16" t="str">
        <f>IFERROR(VLOOKUP($C101,[1]dados_2023!$C$3:$H$357,4,0),"-")</f>
        <v>-</v>
      </c>
      <c r="J101" s="16" t="str">
        <f>IFERROR(VLOOKUP($C101,[1]dados_2023!$C$3:$H$357,6,0),"-")</f>
        <v>-</v>
      </c>
    </row>
    <row r="102" spans="1:10" ht="18" customHeight="1" x14ac:dyDescent="0.3">
      <c r="A102" s="11">
        <v>4</v>
      </c>
      <c r="B102" s="12" t="s">
        <v>168</v>
      </c>
      <c r="C102" s="13">
        <v>1115520</v>
      </c>
      <c r="D102" s="14" t="s">
        <v>169</v>
      </c>
      <c r="E102" s="15">
        <v>6165</v>
      </c>
      <c r="F102" s="15">
        <f t="shared" si="2"/>
        <v>61650</v>
      </c>
      <c r="G102" s="15">
        <v>27024</v>
      </c>
      <c r="H102" s="15">
        <f t="shared" si="3"/>
        <v>270240</v>
      </c>
      <c r="I102" s="16" t="str">
        <f>IFERROR(VLOOKUP($C102,[1]dados_2023!$C$3:$H$357,4,0),"-")</f>
        <v>-</v>
      </c>
      <c r="J102" s="16" t="str">
        <f>IFERROR(VLOOKUP($C102,[1]dados_2023!$C$3:$H$357,6,0),"-")</f>
        <v>-</v>
      </c>
    </row>
    <row r="103" spans="1:10" ht="18" customHeight="1" x14ac:dyDescent="0.3">
      <c r="A103" s="11">
        <v>4</v>
      </c>
      <c r="B103" s="12" t="s">
        <v>170</v>
      </c>
      <c r="C103" s="13">
        <v>1115547</v>
      </c>
      <c r="D103" s="14" t="s">
        <v>171</v>
      </c>
      <c r="E103" s="15">
        <v>5392.2</v>
      </c>
      <c r="F103" s="15">
        <f t="shared" si="2"/>
        <v>53922</v>
      </c>
      <c r="G103" s="15">
        <v>24107.599999999999</v>
      </c>
      <c r="H103" s="15">
        <f t="shared" si="3"/>
        <v>241076</v>
      </c>
      <c r="I103" s="16" t="str">
        <f>IFERROR(VLOOKUP($C103,[1]dados_2023!$C$3:$H$357,4,0),"-")</f>
        <v>-</v>
      </c>
      <c r="J103" s="16" t="str">
        <f>IFERROR(VLOOKUP($C103,[1]dados_2023!$C$3:$H$357,6,0),"-")</f>
        <v>-</v>
      </c>
    </row>
    <row r="104" spans="1:10" ht="18" customHeight="1" x14ac:dyDescent="0.3">
      <c r="A104" s="11">
        <v>4</v>
      </c>
      <c r="B104" s="12" t="s">
        <v>172</v>
      </c>
      <c r="C104" s="13">
        <v>1105606</v>
      </c>
      <c r="D104" s="14" t="s">
        <v>173</v>
      </c>
      <c r="E104" s="15">
        <v>3612.8</v>
      </c>
      <c r="F104" s="15">
        <f t="shared" si="2"/>
        <v>36128</v>
      </c>
      <c r="G104" s="15">
        <v>14807.400000000001</v>
      </c>
      <c r="H104" s="15">
        <f t="shared" si="3"/>
        <v>148074</v>
      </c>
      <c r="I104" s="16" t="str">
        <f>IFERROR(VLOOKUP($C104,[1]dados_2023!$C$3:$H$357,4,0),"-")</f>
        <v>-</v>
      </c>
      <c r="J104" s="16" t="str">
        <f>IFERROR(VLOOKUP($C104,[1]dados_2023!$C$3:$H$357,6,0),"-")</f>
        <v>-</v>
      </c>
    </row>
    <row r="105" spans="1:10" ht="18" customHeight="1" x14ac:dyDescent="0.3">
      <c r="A105" s="11">
        <v>4</v>
      </c>
      <c r="B105" s="12" t="s">
        <v>174</v>
      </c>
      <c r="C105" s="13">
        <v>1178125</v>
      </c>
      <c r="D105" s="14" t="s">
        <v>175</v>
      </c>
      <c r="E105" s="15">
        <v>1639.1999999999998</v>
      </c>
      <c r="F105" s="15">
        <f t="shared" si="2"/>
        <v>16392</v>
      </c>
      <c r="G105" s="15">
        <v>7492.0000000000009</v>
      </c>
      <c r="H105" s="15">
        <f t="shared" si="3"/>
        <v>74920.000000000015</v>
      </c>
      <c r="I105" s="16" t="str">
        <f>IFERROR(VLOOKUP($C105,[1]dados_2023!$C$3:$H$357,4,0),"-")</f>
        <v>-</v>
      </c>
      <c r="J105" s="16" t="str">
        <f>IFERROR(VLOOKUP($C105,[1]dados_2023!$C$3:$H$357,6,0),"-")</f>
        <v>-</v>
      </c>
    </row>
    <row r="106" spans="1:10" ht="18" customHeight="1" x14ac:dyDescent="0.3">
      <c r="A106" s="11">
        <v>4</v>
      </c>
      <c r="B106" s="12" t="s">
        <v>174</v>
      </c>
      <c r="C106" s="13">
        <v>1178245</v>
      </c>
      <c r="D106" s="14" t="s">
        <v>176</v>
      </c>
      <c r="E106" s="15">
        <v>3178</v>
      </c>
      <c r="F106" s="15">
        <f t="shared" si="2"/>
        <v>31780</v>
      </c>
      <c r="G106" s="15">
        <v>14367.2</v>
      </c>
      <c r="H106" s="15">
        <f t="shared" si="3"/>
        <v>143672</v>
      </c>
      <c r="I106" s="16" t="str">
        <f>IFERROR(VLOOKUP($C106,[1]dados_2023!$C$3:$H$357,4,0),"-")</f>
        <v>-</v>
      </c>
      <c r="J106" s="16" t="str">
        <f>IFERROR(VLOOKUP($C106,[1]dados_2023!$C$3:$H$357,6,0),"-")</f>
        <v>-</v>
      </c>
    </row>
    <row r="107" spans="1:10" ht="18" customHeight="1" x14ac:dyDescent="0.3">
      <c r="A107" s="11">
        <v>4</v>
      </c>
      <c r="B107" s="12" t="s">
        <v>174</v>
      </c>
      <c r="C107" s="13">
        <v>1176868</v>
      </c>
      <c r="D107" s="14" t="s">
        <v>177</v>
      </c>
      <c r="E107" s="15">
        <v>12648.400000000001</v>
      </c>
      <c r="F107" s="15">
        <f t="shared" si="2"/>
        <v>126484.00000000001</v>
      </c>
      <c r="G107" s="15">
        <v>50596.800000000003</v>
      </c>
      <c r="H107" s="15">
        <f t="shared" si="3"/>
        <v>505968</v>
      </c>
      <c r="I107" s="16" t="str">
        <f>IFERROR(VLOOKUP($C107,[1]dados_2023!$C$3:$H$357,4,0),"-")</f>
        <v>-</v>
      </c>
      <c r="J107" s="16" t="str">
        <f>IFERROR(VLOOKUP($C107,[1]dados_2023!$C$3:$H$357,6,0),"-")</f>
        <v>-</v>
      </c>
    </row>
    <row r="108" spans="1:10" ht="18" customHeight="1" x14ac:dyDescent="0.3">
      <c r="A108" s="11">
        <v>4</v>
      </c>
      <c r="B108" s="12" t="s">
        <v>178</v>
      </c>
      <c r="C108" s="13">
        <v>1115660</v>
      </c>
      <c r="D108" s="14" t="s">
        <v>179</v>
      </c>
      <c r="E108" s="15">
        <v>2686.8</v>
      </c>
      <c r="F108" s="15">
        <f t="shared" si="2"/>
        <v>26868</v>
      </c>
      <c r="G108" s="15">
        <v>10262.000000000002</v>
      </c>
      <c r="H108" s="15">
        <f t="shared" si="3"/>
        <v>102620.00000000001</v>
      </c>
      <c r="I108" s="16" t="str">
        <f>IFERROR(VLOOKUP($C108,[1]dados_2023!$C$3:$H$357,4,0),"-")</f>
        <v>-</v>
      </c>
      <c r="J108" s="16" t="str">
        <f>IFERROR(VLOOKUP($C108,[1]dados_2023!$C$3:$H$357,6,0),"-")</f>
        <v>-</v>
      </c>
    </row>
    <row r="109" spans="1:10" ht="18" customHeight="1" x14ac:dyDescent="0.3">
      <c r="A109" s="11">
        <v>4</v>
      </c>
      <c r="B109" s="12" t="s">
        <v>178</v>
      </c>
      <c r="C109" s="13">
        <v>1115733</v>
      </c>
      <c r="D109" s="14" t="s">
        <v>180</v>
      </c>
      <c r="E109" s="15">
        <v>6443.6</v>
      </c>
      <c r="F109" s="15">
        <f t="shared" si="2"/>
        <v>64436</v>
      </c>
      <c r="G109" s="15">
        <v>28412</v>
      </c>
      <c r="H109" s="15">
        <f t="shared" si="3"/>
        <v>284120</v>
      </c>
      <c r="I109" s="16" t="str">
        <f>IFERROR(VLOOKUP($C109,[1]dados_2023!$C$3:$H$357,4,0),"-")</f>
        <v>-</v>
      </c>
      <c r="J109" s="16" t="str">
        <f>IFERROR(VLOOKUP($C109,[1]dados_2023!$C$3:$H$357,6,0),"-")</f>
        <v>-</v>
      </c>
    </row>
    <row r="110" spans="1:10" ht="18" customHeight="1" x14ac:dyDescent="0.3">
      <c r="A110" s="11">
        <v>4</v>
      </c>
      <c r="B110" s="12" t="s">
        <v>178</v>
      </c>
      <c r="C110" s="13">
        <v>1115679</v>
      </c>
      <c r="D110" s="14" t="s">
        <v>181</v>
      </c>
      <c r="E110" s="15">
        <v>2428</v>
      </c>
      <c r="F110" s="15">
        <f t="shared" si="2"/>
        <v>24280</v>
      </c>
      <c r="G110" s="15">
        <v>11157.2</v>
      </c>
      <c r="H110" s="15">
        <f t="shared" si="3"/>
        <v>111572</v>
      </c>
      <c r="I110" s="16" t="str">
        <f>IFERROR(VLOOKUP($C110,[1]dados_2023!$C$3:$H$357,4,0),"-")</f>
        <v>-</v>
      </c>
      <c r="J110" s="16" t="str">
        <f>IFERROR(VLOOKUP($C110,[1]dados_2023!$C$3:$H$357,6,0),"-")</f>
        <v>-</v>
      </c>
    </row>
    <row r="111" spans="1:10" ht="18" customHeight="1" x14ac:dyDescent="0.3">
      <c r="A111" s="11">
        <v>4</v>
      </c>
      <c r="B111" s="12" t="s">
        <v>178</v>
      </c>
      <c r="C111" s="13">
        <v>1115903</v>
      </c>
      <c r="D111" s="14" t="s">
        <v>182</v>
      </c>
      <c r="E111" s="15">
        <v>1988.4</v>
      </c>
      <c r="F111" s="15">
        <f t="shared" si="2"/>
        <v>19884</v>
      </c>
      <c r="G111" s="15">
        <v>9037.6</v>
      </c>
      <c r="H111" s="15">
        <f t="shared" si="3"/>
        <v>90376</v>
      </c>
      <c r="I111" s="16" t="str">
        <f>IFERROR(VLOOKUP($C111,[1]dados_2023!$C$3:$H$357,4,0),"-")</f>
        <v>-</v>
      </c>
      <c r="J111" s="16" t="str">
        <f>IFERROR(VLOOKUP($C111,[1]dados_2023!$C$3:$H$357,6,0),"-")</f>
        <v>-</v>
      </c>
    </row>
    <row r="112" spans="1:10" ht="18" customHeight="1" x14ac:dyDescent="0.3">
      <c r="A112" s="11">
        <v>4</v>
      </c>
      <c r="B112" s="12" t="s">
        <v>178</v>
      </c>
      <c r="C112" s="13">
        <v>1115717</v>
      </c>
      <c r="D112" s="14" t="s">
        <v>183</v>
      </c>
      <c r="E112" s="15">
        <v>1666.4</v>
      </c>
      <c r="F112" s="15">
        <f t="shared" si="2"/>
        <v>16664</v>
      </c>
      <c r="G112" s="15">
        <v>7574.4000000000015</v>
      </c>
      <c r="H112" s="15">
        <f t="shared" si="3"/>
        <v>75744.000000000015</v>
      </c>
      <c r="I112" s="16" t="str">
        <f>IFERROR(VLOOKUP($C112,[1]dados_2023!$C$3:$H$357,4,0),"-")</f>
        <v>-</v>
      </c>
      <c r="J112" s="16" t="str">
        <f>IFERROR(VLOOKUP($C112,[1]dados_2023!$C$3:$H$357,6,0),"-")</f>
        <v>-</v>
      </c>
    </row>
    <row r="113" spans="1:10" ht="18" customHeight="1" x14ac:dyDescent="0.3">
      <c r="A113" s="11">
        <v>4</v>
      </c>
      <c r="B113" s="12" t="s">
        <v>178</v>
      </c>
      <c r="C113" s="13">
        <v>1115806</v>
      </c>
      <c r="D113" s="14" t="s">
        <v>184</v>
      </c>
      <c r="E113" s="15">
        <v>5488.6</v>
      </c>
      <c r="F113" s="15">
        <f t="shared" si="2"/>
        <v>54886</v>
      </c>
      <c r="G113" s="15">
        <v>24537.200000000004</v>
      </c>
      <c r="H113" s="15">
        <f t="shared" si="3"/>
        <v>245372.00000000006</v>
      </c>
      <c r="I113" s="16" t="str">
        <f>IFERROR(VLOOKUP($C113,[1]dados_2023!$C$3:$H$357,4,0),"-")</f>
        <v>-</v>
      </c>
      <c r="J113" s="16" t="str">
        <f>IFERROR(VLOOKUP($C113,[1]dados_2023!$C$3:$H$357,6,0),"-")</f>
        <v>-</v>
      </c>
    </row>
    <row r="114" spans="1:10" ht="18" customHeight="1" x14ac:dyDescent="0.3">
      <c r="A114" s="11">
        <v>4</v>
      </c>
      <c r="B114" s="12" t="s">
        <v>178</v>
      </c>
      <c r="C114" s="13">
        <v>1178073</v>
      </c>
      <c r="D114" s="14" t="s">
        <v>185</v>
      </c>
      <c r="E114" s="15">
        <v>5269.4</v>
      </c>
      <c r="F114" s="15">
        <f t="shared" si="2"/>
        <v>52694</v>
      </c>
      <c r="G114" s="15">
        <v>23122.800000000003</v>
      </c>
      <c r="H114" s="15">
        <f t="shared" si="3"/>
        <v>231228.00000000003</v>
      </c>
      <c r="I114" s="16" t="str">
        <f>IFERROR(VLOOKUP($C114,[1]dados_2023!$C$3:$H$357,4,0),"-")</f>
        <v>-</v>
      </c>
      <c r="J114" s="16" t="str">
        <f>IFERROR(VLOOKUP($C114,[1]dados_2023!$C$3:$H$357,6,0),"-")</f>
        <v>-</v>
      </c>
    </row>
    <row r="115" spans="1:10" ht="18" customHeight="1" x14ac:dyDescent="0.3">
      <c r="A115" s="11">
        <v>4</v>
      </c>
      <c r="B115" s="12" t="s">
        <v>178</v>
      </c>
      <c r="C115" s="13">
        <v>1115865</v>
      </c>
      <c r="D115" s="14" t="s">
        <v>186</v>
      </c>
      <c r="E115" s="15">
        <v>15623.8</v>
      </c>
      <c r="F115" s="15">
        <f t="shared" si="2"/>
        <v>156238</v>
      </c>
      <c r="G115" s="15">
        <v>66220.600000000006</v>
      </c>
      <c r="H115" s="15">
        <f t="shared" si="3"/>
        <v>662206</v>
      </c>
      <c r="I115" s="16" t="str">
        <f>IFERROR(VLOOKUP($C115,[1]dados_2023!$C$3:$H$357,4,0),"-")</f>
        <v>-</v>
      </c>
      <c r="J115" s="16" t="str">
        <f>IFERROR(VLOOKUP($C115,[1]dados_2023!$C$3:$H$357,6,0),"-")</f>
        <v>-</v>
      </c>
    </row>
    <row r="116" spans="1:10" ht="18" customHeight="1" x14ac:dyDescent="0.3">
      <c r="A116" s="11">
        <v>4</v>
      </c>
      <c r="B116" s="12" t="s">
        <v>187</v>
      </c>
      <c r="C116" s="13">
        <v>1177070</v>
      </c>
      <c r="D116" s="14" t="s">
        <v>188</v>
      </c>
      <c r="E116" s="15">
        <v>4424.8</v>
      </c>
      <c r="F116" s="15">
        <f t="shared" si="2"/>
        <v>44248</v>
      </c>
      <c r="G116" s="15">
        <v>16927.2</v>
      </c>
      <c r="H116" s="15">
        <f t="shared" si="3"/>
        <v>169272</v>
      </c>
      <c r="I116" s="16" t="str">
        <f>IFERROR(VLOOKUP($C116,[1]dados_2023!$C$3:$H$357,4,0),"-")</f>
        <v>-</v>
      </c>
      <c r="J116" s="16" t="str">
        <f>IFERROR(VLOOKUP($C116,[1]dados_2023!$C$3:$H$357,6,0),"-")</f>
        <v>-</v>
      </c>
    </row>
    <row r="117" spans="1:10" ht="18" customHeight="1" x14ac:dyDescent="0.3">
      <c r="A117" s="11">
        <v>4</v>
      </c>
      <c r="B117" s="12" t="s">
        <v>189</v>
      </c>
      <c r="C117" s="13">
        <v>1178099</v>
      </c>
      <c r="D117" s="14" t="s">
        <v>190</v>
      </c>
      <c r="E117" s="15">
        <v>21187.200000000001</v>
      </c>
      <c r="F117" s="15">
        <f t="shared" si="2"/>
        <v>211872</v>
      </c>
      <c r="G117" s="15">
        <v>73437.200000000012</v>
      </c>
      <c r="H117" s="15">
        <f t="shared" si="3"/>
        <v>734372.00000000012</v>
      </c>
      <c r="I117" s="16" t="str">
        <f>IFERROR(VLOOKUP($C117,[1]dados_2023!$C$3:$H$357,4,0),"-")</f>
        <v>-</v>
      </c>
      <c r="J117" s="16" t="str">
        <f>IFERROR(VLOOKUP($C117,[1]dados_2023!$C$3:$H$357,6,0),"-")</f>
        <v>-</v>
      </c>
    </row>
    <row r="118" spans="1:10" ht="18" customHeight="1" x14ac:dyDescent="0.3">
      <c r="A118" s="11">
        <v>4</v>
      </c>
      <c r="B118" s="12" t="s">
        <v>189</v>
      </c>
      <c r="C118" s="13">
        <v>1178273</v>
      </c>
      <c r="D118" s="14" t="s">
        <v>191</v>
      </c>
      <c r="E118" s="15">
        <v>2471.3999999999996</v>
      </c>
      <c r="F118" s="15">
        <f t="shared" si="2"/>
        <v>24713.999999999996</v>
      </c>
      <c r="G118" s="15">
        <v>10381</v>
      </c>
      <c r="H118" s="15">
        <f t="shared" si="3"/>
        <v>103810</v>
      </c>
      <c r="I118" s="16" t="str">
        <f>IFERROR(VLOOKUP($C118,[1]dados_2023!$C$3:$H$357,4,0),"-")</f>
        <v>-</v>
      </c>
      <c r="J118" s="16" t="str">
        <f>IFERROR(VLOOKUP($C118,[1]dados_2023!$C$3:$H$357,6,0),"-")</f>
        <v>-</v>
      </c>
    </row>
    <row r="119" spans="1:10" ht="18" customHeight="1" x14ac:dyDescent="0.3">
      <c r="A119" s="11">
        <v>4</v>
      </c>
      <c r="B119" s="12" t="s">
        <v>192</v>
      </c>
      <c r="C119" s="13">
        <v>1116691</v>
      </c>
      <c r="D119" s="14" t="s">
        <v>193</v>
      </c>
      <c r="E119" s="15">
        <v>2547.2000000000003</v>
      </c>
      <c r="F119" s="15">
        <f t="shared" si="2"/>
        <v>25472.000000000004</v>
      </c>
      <c r="G119" s="15">
        <v>7885.6</v>
      </c>
      <c r="H119" s="15">
        <f t="shared" si="3"/>
        <v>78856</v>
      </c>
      <c r="I119" s="16" t="str">
        <f>IFERROR(VLOOKUP($C119,[1]dados_2023!$C$3:$H$357,4,0),"-")</f>
        <v>-</v>
      </c>
      <c r="J119" s="16" t="str">
        <f>IFERROR(VLOOKUP($C119,[1]dados_2023!$C$3:$H$357,6,0),"-")</f>
        <v>-</v>
      </c>
    </row>
    <row r="120" spans="1:10" ht="18" customHeight="1" x14ac:dyDescent="0.3">
      <c r="A120" s="11">
        <v>4</v>
      </c>
      <c r="B120" s="12" t="s">
        <v>192</v>
      </c>
      <c r="C120" s="13">
        <v>1178222</v>
      </c>
      <c r="D120" s="14" t="s">
        <v>194</v>
      </c>
      <c r="E120" s="15">
        <v>3598.2</v>
      </c>
      <c r="F120" s="15">
        <f t="shared" si="2"/>
        <v>35982</v>
      </c>
      <c r="G120" s="15">
        <v>13179.6</v>
      </c>
      <c r="H120" s="15">
        <f t="shared" si="3"/>
        <v>131796</v>
      </c>
      <c r="I120" s="16" t="str">
        <f>IFERROR(VLOOKUP($C120,[1]dados_2023!$C$3:$H$357,4,0),"-")</f>
        <v>-</v>
      </c>
      <c r="J120" s="16" t="str">
        <f>IFERROR(VLOOKUP($C120,[1]dados_2023!$C$3:$H$357,6,0),"-")</f>
        <v>-</v>
      </c>
    </row>
    <row r="121" spans="1:10" ht="18" customHeight="1" x14ac:dyDescent="0.3">
      <c r="A121" s="11">
        <v>4</v>
      </c>
      <c r="B121" s="12" t="s">
        <v>195</v>
      </c>
      <c r="C121" s="13">
        <v>1179389</v>
      </c>
      <c r="D121" s="14" t="s">
        <v>196</v>
      </c>
      <c r="E121" s="15">
        <v>4324.2</v>
      </c>
      <c r="F121" s="15">
        <f t="shared" si="2"/>
        <v>43242</v>
      </c>
      <c r="G121" s="15">
        <v>18771.199999999997</v>
      </c>
      <c r="H121" s="15">
        <f t="shared" si="3"/>
        <v>187711.99999999997</v>
      </c>
      <c r="I121" s="16" t="str">
        <f>IFERROR(VLOOKUP($C121,[1]dados_2023!$C$3:$H$357,4,0),"-")</f>
        <v>-</v>
      </c>
      <c r="J121" s="16" t="str">
        <f>IFERROR(VLOOKUP($C121,[1]dados_2023!$C$3:$H$357,6,0),"-")</f>
        <v>-</v>
      </c>
    </row>
    <row r="122" spans="1:10" ht="18" customHeight="1" x14ac:dyDescent="0.3">
      <c r="A122" s="11">
        <v>4</v>
      </c>
      <c r="B122" s="12" t="s">
        <v>195</v>
      </c>
      <c r="C122" s="13">
        <v>1177073</v>
      </c>
      <c r="D122" s="14" t="s">
        <v>197</v>
      </c>
      <c r="E122" s="15">
        <v>15648.8</v>
      </c>
      <c r="F122" s="15">
        <f t="shared" si="2"/>
        <v>156488</v>
      </c>
      <c r="G122" s="15">
        <v>64872.800000000003</v>
      </c>
      <c r="H122" s="15">
        <f t="shared" si="3"/>
        <v>648728</v>
      </c>
      <c r="I122" s="16" t="str">
        <f>IFERROR(VLOOKUP($C122,[1]dados_2023!$C$3:$H$357,4,0),"-")</f>
        <v>-</v>
      </c>
      <c r="J122" s="16" t="str">
        <f>IFERROR(VLOOKUP($C122,[1]dados_2023!$C$3:$H$357,6,0),"-")</f>
        <v>-</v>
      </c>
    </row>
    <row r="123" spans="1:10" ht="18" customHeight="1" x14ac:dyDescent="0.3">
      <c r="A123" s="11">
        <v>4</v>
      </c>
      <c r="B123" s="12" t="s">
        <v>198</v>
      </c>
      <c r="C123" s="13">
        <v>1178091</v>
      </c>
      <c r="D123" s="14" t="s">
        <v>199</v>
      </c>
      <c r="E123" s="15">
        <v>4580</v>
      </c>
      <c r="F123" s="15">
        <f t="shared" si="2"/>
        <v>45800</v>
      </c>
      <c r="G123" s="15">
        <v>19602.400000000001</v>
      </c>
      <c r="H123" s="15">
        <f t="shared" si="3"/>
        <v>196024</v>
      </c>
      <c r="I123" s="16" t="str">
        <f>IFERROR(VLOOKUP($C123,[1]dados_2023!$C$3:$H$357,4,0),"-")</f>
        <v>-</v>
      </c>
      <c r="J123" s="16" t="str">
        <f>IFERROR(VLOOKUP($C123,[1]dados_2023!$C$3:$H$357,6,0),"-")</f>
        <v>-</v>
      </c>
    </row>
    <row r="124" spans="1:10" ht="18" customHeight="1" x14ac:dyDescent="0.3">
      <c r="A124" s="11">
        <v>4</v>
      </c>
      <c r="B124" s="12" t="s">
        <v>200</v>
      </c>
      <c r="C124" s="13">
        <v>1116039</v>
      </c>
      <c r="D124" s="14" t="s">
        <v>201</v>
      </c>
      <c r="E124" s="15">
        <v>2870</v>
      </c>
      <c r="F124" s="15">
        <f t="shared" si="2"/>
        <v>28700</v>
      </c>
      <c r="G124" s="15">
        <v>12283.600000000002</v>
      </c>
      <c r="H124" s="15">
        <f t="shared" si="3"/>
        <v>122836.00000000003</v>
      </c>
      <c r="I124" s="16" t="str">
        <f>IFERROR(VLOOKUP($C124,[1]dados_2023!$C$3:$H$357,4,0),"-")</f>
        <v>-</v>
      </c>
      <c r="J124" s="16" t="str">
        <f>IFERROR(VLOOKUP($C124,[1]dados_2023!$C$3:$H$357,6,0),"-")</f>
        <v>-</v>
      </c>
    </row>
    <row r="125" spans="1:10" ht="18" customHeight="1" x14ac:dyDescent="0.3">
      <c r="A125" s="11">
        <v>4</v>
      </c>
      <c r="B125" s="12" t="s">
        <v>200</v>
      </c>
      <c r="C125" s="13">
        <v>1178050</v>
      </c>
      <c r="D125" s="14" t="s">
        <v>202</v>
      </c>
      <c r="E125" s="15">
        <v>10076.799999999999</v>
      </c>
      <c r="F125" s="15">
        <f t="shared" si="2"/>
        <v>100768</v>
      </c>
      <c r="G125" s="15">
        <v>40346.400000000001</v>
      </c>
      <c r="H125" s="15">
        <f t="shared" si="3"/>
        <v>403464</v>
      </c>
      <c r="I125" s="16" t="str">
        <f>IFERROR(VLOOKUP($C125,[1]dados_2023!$C$3:$H$357,4,0),"-")</f>
        <v>-</v>
      </c>
      <c r="J125" s="16" t="str">
        <f>IFERROR(VLOOKUP($C125,[1]dados_2023!$C$3:$H$357,6,0),"-")</f>
        <v>-</v>
      </c>
    </row>
    <row r="126" spans="1:10" ht="18" customHeight="1" x14ac:dyDescent="0.3">
      <c r="A126" s="11">
        <v>4</v>
      </c>
      <c r="B126" s="12" t="s">
        <v>203</v>
      </c>
      <c r="C126" s="13">
        <v>1178079</v>
      </c>
      <c r="D126" s="14" t="s">
        <v>204</v>
      </c>
      <c r="E126" s="15">
        <v>6057.2000000000007</v>
      </c>
      <c r="F126" s="15">
        <f t="shared" si="2"/>
        <v>60572.000000000007</v>
      </c>
      <c r="G126" s="15">
        <v>23497.600000000002</v>
      </c>
      <c r="H126" s="15">
        <f t="shared" si="3"/>
        <v>234976.00000000003</v>
      </c>
      <c r="I126" s="16" t="str">
        <f>IFERROR(VLOOKUP($C126,[1]dados_2023!$C$3:$H$357,4,0),"-")</f>
        <v>-</v>
      </c>
      <c r="J126" s="16" t="str">
        <f>IFERROR(VLOOKUP($C126,[1]dados_2023!$C$3:$H$357,6,0),"-")</f>
        <v>-</v>
      </c>
    </row>
    <row r="127" spans="1:10" ht="18" customHeight="1" x14ac:dyDescent="0.3">
      <c r="A127" s="11">
        <v>4</v>
      </c>
      <c r="B127" s="12" t="s">
        <v>203</v>
      </c>
      <c r="C127" s="13">
        <v>1179117</v>
      </c>
      <c r="D127" s="14" t="s">
        <v>205</v>
      </c>
      <c r="E127" s="15">
        <v>4933</v>
      </c>
      <c r="F127" s="15">
        <f t="shared" si="2"/>
        <v>49330</v>
      </c>
      <c r="G127" s="15">
        <v>20322.599999999999</v>
      </c>
      <c r="H127" s="15">
        <f t="shared" si="3"/>
        <v>203226</v>
      </c>
      <c r="I127" s="16" t="str">
        <f>IFERROR(VLOOKUP($C127,[1]dados_2023!$C$3:$H$357,4,0),"-")</f>
        <v>-</v>
      </c>
      <c r="J127" s="16" t="str">
        <f>IFERROR(VLOOKUP($C127,[1]dados_2023!$C$3:$H$357,6,0),"-")</f>
        <v>-</v>
      </c>
    </row>
    <row r="128" spans="1:10" ht="18" customHeight="1" x14ac:dyDescent="0.3">
      <c r="A128" s="11">
        <v>4</v>
      </c>
      <c r="B128" s="12" t="s">
        <v>206</v>
      </c>
      <c r="C128" s="13">
        <v>1115997</v>
      </c>
      <c r="D128" s="14" t="s">
        <v>207</v>
      </c>
      <c r="E128" s="15">
        <v>8104</v>
      </c>
      <c r="F128" s="15">
        <f t="shared" si="2"/>
        <v>81040</v>
      </c>
      <c r="G128" s="15">
        <v>31051.800000000003</v>
      </c>
      <c r="H128" s="15">
        <f t="shared" si="3"/>
        <v>310518</v>
      </c>
      <c r="I128" s="16" t="str">
        <f>IFERROR(VLOOKUP($C128,[1]dados_2023!$C$3:$H$357,4,0),"-")</f>
        <v>-</v>
      </c>
      <c r="J128" s="16" t="str">
        <f>IFERROR(VLOOKUP($C128,[1]dados_2023!$C$3:$H$357,6,0),"-")</f>
        <v>-</v>
      </c>
    </row>
    <row r="129" spans="1:10" ht="18" customHeight="1" x14ac:dyDescent="0.3">
      <c r="A129" s="11">
        <v>4</v>
      </c>
      <c r="B129" s="12" t="s">
        <v>208</v>
      </c>
      <c r="C129" s="13">
        <v>1178326</v>
      </c>
      <c r="D129" s="14" t="s">
        <v>209</v>
      </c>
      <c r="E129" s="15">
        <v>7520</v>
      </c>
      <c r="F129" s="15">
        <f t="shared" si="2"/>
        <v>75200</v>
      </c>
      <c r="G129" s="15">
        <v>32185.600000000006</v>
      </c>
      <c r="H129" s="15">
        <f t="shared" si="3"/>
        <v>321856.00000000006</v>
      </c>
      <c r="I129" s="16" t="str">
        <f>IFERROR(VLOOKUP($C129,[1]dados_2023!$C$3:$H$357,4,0),"-")</f>
        <v>-</v>
      </c>
      <c r="J129" s="16" t="str">
        <f>IFERROR(VLOOKUP($C129,[1]dados_2023!$C$3:$H$357,6,0),"-")</f>
        <v>-</v>
      </c>
    </row>
    <row r="130" spans="1:10" ht="18" customHeight="1" x14ac:dyDescent="0.3">
      <c r="A130" s="11">
        <v>4</v>
      </c>
      <c r="B130" s="12" t="s">
        <v>208</v>
      </c>
      <c r="C130" s="13">
        <v>1115776</v>
      </c>
      <c r="D130" s="14" t="s">
        <v>210</v>
      </c>
      <c r="E130" s="15">
        <v>12811.6</v>
      </c>
      <c r="F130" s="15">
        <f t="shared" si="2"/>
        <v>128116</v>
      </c>
      <c r="G130" s="15">
        <v>52268.600000000006</v>
      </c>
      <c r="H130" s="15">
        <f t="shared" si="3"/>
        <v>522686.00000000006</v>
      </c>
      <c r="I130" s="16" t="str">
        <f>IFERROR(VLOOKUP($C130,[1]dados_2023!$C$3:$H$357,4,0),"-")</f>
        <v>-</v>
      </c>
      <c r="J130" s="16" t="str">
        <f>IFERROR(VLOOKUP($C130,[1]dados_2023!$C$3:$H$357,6,0),"-")</f>
        <v>-</v>
      </c>
    </row>
    <row r="131" spans="1:10" ht="18" customHeight="1" x14ac:dyDescent="0.3">
      <c r="A131" s="11">
        <v>4</v>
      </c>
      <c r="B131" s="12" t="s">
        <v>208</v>
      </c>
      <c r="C131" s="13">
        <v>1115814</v>
      </c>
      <c r="D131" s="14" t="s">
        <v>211</v>
      </c>
      <c r="E131" s="15">
        <v>1796.8</v>
      </c>
      <c r="F131" s="15">
        <f t="shared" si="2"/>
        <v>17968</v>
      </c>
      <c r="G131" s="15">
        <v>7894.4000000000015</v>
      </c>
      <c r="H131" s="15">
        <f t="shared" si="3"/>
        <v>78944.000000000015</v>
      </c>
      <c r="I131" s="16" t="str">
        <f>IFERROR(VLOOKUP($C131,[1]dados_2023!$C$3:$H$357,4,0),"-")</f>
        <v>-</v>
      </c>
      <c r="J131" s="16" t="str">
        <f>IFERROR(VLOOKUP($C131,[1]dados_2023!$C$3:$H$357,6,0),"-")</f>
        <v>-</v>
      </c>
    </row>
    <row r="132" spans="1:10" ht="18" customHeight="1" x14ac:dyDescent="0.3">
      <c r="A132" s="11">
        <v>4</v>
      </c>
      <c r="B132" s="12" t="s">
        <v>212</v>
      </c>
      <c r="C132" s="13">
        <v>1116365</v>
      </c>
      <c r="D132" s="14" t="s">
        <v>213</v>
      </c>
      <c r="E132" s="15">
        <v>6644.2</v>
      </c>
      <c r="F132" s="15">
        <f t="shared" ref="F132:F164" si="4">E132*10</f>
        <v>66442</v>
      </c>
      <c r="G132" s="15">
        <v>27684.400000000001</v>
      </c>
      <c r="H132" s="15">
        <f t="shared" ref="H132:H164" si="5">G132*10</f>
        <v>276844</v>
      </c>
      <c r="I132" s="16" t="str">
        <f>IFERROR(VLOOKUP($C132,[1]dados_2023!$C$3:$H$357,4,0),"-")</f>
        <v>-</v>
      </c>
      <c r="J132" s="16" t="str">
        <f>IFERROR(VLOOKUP($C132,[1]dados_2023!$C$3:$H$357,6,0),"-")</f>
        <v>-</v>
      </c>
    </row>
    <row r="133" spans="1:10" ht="18" customHeight="1" x14ac:dyDescent="0.3">
      <c r="A133" s="11">
        <v>4</v>
      </c>
      <c r="B133" s="12" t="s">
        <v>214</v>
      </c>
      <c r="C133" s="13">
        <v>1179292</v>
      </c>
      <c r="D133" s="14" t="s">
        <v>215</v>
      </c>
      <c r="E133" s="15">
        <v>10730</v>
      </c>
      <c r="F133" s="15">
        <f t="shared" si="4"/>
        <v>107300</v>
      </c>
      <c r="G133" s="15">
        <v>45924.400000000009</v>
      </c>
      <c r="H133" s="15">
        <f t="shared" si="5"/>
        <v>459244.00000000012</v>
      </c>
      <c r="I133" s="16" t="str">
        <f>IFERROR(VLOOKUP($C133,[1]dados_2023!$C$3:$H$357,4,0),"-")</f>
        <v>-</v>
      </c>
      <c r="J133" s="16" t="str">
        <f>IFERROR(VLOOKUP($C133,[1]dados_2023!$C$3:$H$357,6,0),"-")</f>
        <v>-</v>
      </c>
    </row>
    <row r="134" spans="1:10" ht="18" customHeight="1" x14ac:dyDescent="0.3">
      <c r="A134" s="11">
        <v>4</v>
      </c>
      <c r="B134" s="12" t="s">
        <v>214</v>
      </c>
      <c r="C134" s="13">
        <v>1178088</v>
      </c>
      <c r="D134" s="14" t="s">
        <v>216</v>
      </c>
      <c r="E134" s="15">
        <v>20700</v>
      </c>
      <c r="F134" s="15">
        <f t="shared" si="4"/>
        <v>207000</v>
      </c>
      <c r="G134" s="15">
        <v>88596</v>
      </c>
      <c r="H134" s="15">
        <f t="shared" si="5"/>
        <v>885960</v>
      </c>
      <c r="I134" s="16" t="str">
        <f>IFERROR(VLOOKUP($C134,[1]dados_2023!$C$3:$H$357,4,0),"-")</f>
        <v>-</v>
      </c>
      <c r="J134" s="16" t="str">
        <f>IFERROR(VLOOKUP($C134,[1]dados_2023!$C$3:$H$357,6,0),"-")</f>
        <v>-</v>
      </c>
    </row>
    <row r="135" spans="1:10" ht="18" customHeight="1" x14ac:dyDescent="0.3">
      <c r="A135" s="11">
        <v>4</v>
      </c>
      <c r="B135" s="12" t="s">
        <v>214</v>
      </c>
      <c r="C135" s="13">
        <v>1166427</v>
      </c>
      <c r="D135" s="14" t="s">
        <v>217</v>
      </c>
      <c r="E135" s="15">
        <v>1564</v>
      </c>
      <c r="F135" s="15">
        <f t="shared" si="4"/>
        <v>15640</v>
      </c>
      <c r="G135" s="15">
        <v>7289.2000000000007</v>
      </c>
      <c r="H135" s="15">
        <f t="shared" si="5"/>
        <v>72892</v>
      </c>
      <c r="I135" s="16" t="str">
        <f>IFERROR(VLOOKUP($C135,[1]dados_2023!$C$3:$H$357,4,0),"-")</f>
        <v>-</v>
      </c>
      <c r="J135" s="16" t="str">
        <f>IFERROR(VLOOKUP($C135,[1]dados_2023!$C$3:$H$357,6,0),"-")</f>
        <v>-</v>
      </c>
    </row>
    <row r="136" spans="1:10" ht="18" customHeight="1" x14ac:dyDescent="0.3">
      <c r="A136" s="11">
        <v>4</v>
      </c>
      <c r="B136" s="12" t="s">
        <v>214</v>
      </c>
      <c r="C136" s="13">
        <v>1178235</v>
      </c>
      <c r="D136" s="14" t="s">
        <v>218</v>
      </c>
      <c r="E136" s="15">
        <v>2792.2</v>
      </c>
      <c r="F136" s="15">
        <f t="shared" si="4"/>
        <v>27922</v>
      </c>
      <c r="G136" s="15">
        <v>11898.4</v>
      </c>
      <c r="H136" s="15">
        <f t="shared" si="5"/>
        <v>118984</v>
      </c>
      <c r="I136" s="16" t="str">
        <f>IFERROR(VLOOKUP($C136,[1]dados_2023!$C$3:$H$357,4,0),"-")</f>
        <v>-</v>
      </c>
      <c r="J136" s="16" t="str">
        <f>IFERROR(VLOOKUP($C136,[1]dados_2023!$C$3:$H$357,6,0),"-")</f>
        <v>-</v>
      </c>
    </row>
    <row r="137" spans="1:10" ht="18" customHeight="1" x14ac:dyDescent="0.3">
      <c r="A137" s="11">
        <v>4</v>
      </c>
      <c r="B137" s="12" t="s">
        <v>214</v>
      </c>
      <c r="C137" s="13">
        <v>1116241</v>
      </c>
      <c r="D137" s="14" t="s">
        <v>219</v>
      </c>
      <c r="E137" s="15">
        <v>6673.4</v>
      </c>
      <c r="F137" s="15">
        <f t="shared" si="4"/>
        <v>66734</v>
      </c>
      <c r="G137" s="15">
        <v>27697.4</v>
      </c>
      <c r="H137" s="15">
        <f t="shared" si="5"/>
        <v>276974</v>
      </c>
      <c r="I137" s="16" t="str">
        <f>IFERROR(VLOOKUP($C137,[1]dados_2023!$C$3:$H$357,4,0),"-")</f>
        <v>-</v>
      </c>
      <c r="J137" s="16" t="str">
        <f>IFERROR(VLOOKUP($C137,[1]dados_2023!$C$3:$H$357,6,0),"-")</f>
        <v>-</v>
      </c>
    </row>
    <row r="138" spans="1:10" ht="18" customHeight="1" x14ac:dyDescent="0.3">
      <c r="A138" s="11">
        <v>4</v>
      </c>
      <c r="B138" s="12" t="s">
        <v>214</v>
      </c>
      <c r="C138" s="13">
        <v>1116209</v>
      </c>
      <c r="D138" s="14" t="s">
        <v>220</v>
      </c>
      <c r="E138" s="15">
        <v>9974.6</v>
      </c>
      <c r="F138" s="15">
        <f t="shared" si="4"/>
        <v>99746</v>
      </c>
      <c r="G138" s="15">
        <v>36451.4</v>
      </c>
      <c r="H138" s="15">
        <f t="shared" si="5"/>
        <v>364514</v>
      </c>
      <c r="I138" s="16" t="str">
        <f>IFERROR(VLOOKUP($C138,[1]dados_2023!$C$3:$H$357,4,0),"-")</f>
        <v>-</v>
      </c>
      <c r="J138" s="16" t="str">
        <f>IFERROR(VLOOKUP($C138,[1]dados_2023!$C$3:$H$357,6,0),"-")</f>
        <v>-</v>
      </c>
    </row>
    <row r="139" spans="1:10" ht="18" customHeight="1" x14ac:dyDescent="0.3">
      <c r="A139" s="11">
        <v>4</v>
      </c>
      <c r="B139" s="12" t="s">
        <v>221</v>
      </c>
      <c r="C139" s="13">
        <v>1116446</v>
      </c>
      <c r="D139" s="14" t="s">
        <v>222</v>
      </c>
      <c r="E139" s="15">
        <v>9587</v>
      </c>
      <c r="F139" s="15">
        <f t="shared" si="4"/>
        <v>95870</v>
      </c>
      <c r="G139" s="15">
        <v>35135.400000000009</v>
      </c>
      <c r="H139" s="15">
        <f t="shared" si="5"/>
        <v>351354.00000000012</v>
      </c>
      <c r="I139" s="16" t="str">
        <f>IFERROR(VLOOKUP($C139,[1]dados_2023!$C$3:$H$357,4,0),"-")</f>
        <v>-</v>
      </c>
      <c r="J139" s="16" t="str">
        <f>IFERROR(VLOOKUP($C139,[1]dados_2023!$C$3:$H$357,6,0),"-")</f>
        <v>-</v>
      </c>
    </row>
    <row r="140" spans="1:10" ht="18" customHeight="1" x14ac:dyDescent="0.3">
      <c r="A140" s="11">
        <v>4</v>
      </c>
      <c r="B140" s="12" t="s">
        <v>223</v>
      </c>
      <c r="C140" s="13">
        <v>1115105</v>
      </c>
      <c r="D140" s="14" t="s">
        <v>224</v>
      </c>
      <c r="E140" s="15">
        <v>21074.6</v>
      </c>
      <c r="F140" s="15">
        <f t="shared" si="4"/>
        <v>210746</v>
      </c>
      <c r="G140" s="15">
        <v>76917.400000000009</v>
      </c>
      <c r="H140" s="15">
        <f t="shared" si="5"/>
        <v>769174.00000000012</v>
      </c>
      <c r="I140" s="16" t="str">
        <f>IFERROR(VLOOKUP($C140,[1]dados_2023!$C$3:$H$357,4,0),"-")</f>
        <v>-</v>
      </c>
      <c r="J140" s="16" t="str">
        <f>IFERROR(VLOOKUP($C140,[1]dados_2023!$C$3:$H$357,6,0),"-")</f>
        <v>-</v>
      </c>
    </row>
    <row r="141" spans="1:10" ht="18" customHeight="1" x14ac:dyDescent="0.3">
      <c r="A141" s="11">
        <v>4</v>
      </c>
      <c r="B141" s="12" t="s">
        <v>223</v>
      </c>
      <c r="C141" s="13">
        <v>1114958</v>
      </c>
      <c r="D141" s="14" t="s">
        <v>225</v>
      </c>
      <c r="E141" s="15">
        <v>4098.3999999999996</v>
      </c>
      <c r="F141" s="15">
        <f t="shared" si="4"/>
        <v>40984</v>
      </c>
      <c r="G141" s="15">
        <v>18493.600000000002</v>
      </c>
      <c r="H141" s="15">
        <f t="shared" si="5"/>
        <v>184936.00000000003</v>
      </c>
      <c r="I141" s="16" t="str">
        <f>IFERROR(VLOOKUP($C141,[1]dados_2023!$C$3:$H$357,4,0),"-")</f>
        <v>-</v>
      </c>
      <c r="J141" s="16" t="str">
        <f>IFERROR(VLOOKUP($C141,[1]dados_2023!$C$3:$H$357,6,0),"-")</f>
        <v>-</v>
      </c>
    </row>
    <row r="142" spans="1:10" ht="18" customHeight="1" x14ac:dyDescent="0.3">
      <c r="A142" s="11">
        <v>4</v>
      </c>
      <c r="B142" s="12" t="s">
        <v>226</v>
      </c>
      <c r="C142" s="13">
        <v>1178102</v>
      </c>
      <c r="D142" s="14" t="s">
        <v>227</v>
      </c>
      <c r="E142" s="15">
        <v>2439</v>
      </c>
      <c r="F142" s="15">
        <f t="shared" si="4"/>
        <v>24390</v>
      </c>
      <c r="G142" s="15">
        <v>10821.6</v>
      </c>
      <c r="H142" s="15">
        <f t="shared" si="5"/>
        <v>108216</v>
      </c>
      <c r="I142" s="16" t="str">
        <f>IFERROR(VLOOKUP($C142,[1]dados_2023!$C$3:$H$357,4,0),"-")</f>
        <v>-</v>
      </c>
      <c r="J142" s="16" t="str">
        <f>IFERROR(VLOOKUP($C142,[1]dados_2023!$C$3:$H$357,6,0),"-")</f>
        <v>-</v>
      </c>
    </row>
    <row r="143" spans="1:10" ht="18" customHeight="1" x14ac:dyDescent="0.3">
      <c r="A143" s="11">
        <v>4</v>
      </c>
      <c r="B143" s="12" t="s">
        <v>226</v>
      </c>
      <c r="C143" s="13">
        <v>1178275</v>
      </c>
      <c r="D143" s="14" t="s">
        <v>228</v>
      </c>
      <c r="E143" s="15">
        <v>847.6</v>
      </c>
      <c r="F143" s="15">
        <f t="shared" si="4"/>
        <v>8476</v>
      </c>
      <c r="G143" s="15">
        <v>3780.8</v>
      </c>
      <c r="H143" s="15">
        <f t="shared" si="5"/>
        <v>37808</v>
      </c>
      <c r="I143" s="16" t="str">
        <f>IFERROR(VLOOKUP($C143,[1]dados_2023!$C$3:$H$357,4,0),"-")</f>
        <v>-</v>
      </c>
      <c r="J143" s="16" t="str">
        <f>IFERROR(VLOOKUP($C143,[1]dados_2023!$C$3:$H$357,6,0),"-")</f>
        <v>-</v>
      </c>
    </row>
    <row r="144" spans="1:10" ht="18" customHeight="1" x14ac:dyDescent="0.3">
      <c r="A144" s="11">
        <v>4</v>
      </c>
      <c r="B144" s="12" t="s">
        <v>226</v>
      </c>
      <c r="C144" s="13">
        <v>1116713</v>
      </c>
      <c r="D144" s="14" t="s">
        <v>229</v>
      </c>
      <c r="E144" s="15">
        <v>11443.400000000001</v>
      </c>
      <c r="F144" s="15">
        <f t="shared" si="4"/>
        <v>114434.00000000001</v>
      </c>
      <c r="G144" s="15">
        <v>42768.800000000003</v>
      </c>
      <c r="H144" s="15">
        <f t="shared" si="5"/>
        <v>427688</v>
      </c>
      <c r="I144" s="16" t="str">
        <f>IFERROR(VLOOKUP($C144,[1]dados_2023!$C$3:$H$357,4,0),"-")</f>
        <v>-</v>
      </c>
      <c r="J144" s="16" t="str">
        <f>IFERROR(VLOOKUP($C144,[1]dados_2023!$C$3:$H$357,6,0),"-")</f>
        <v>-</v>
      </c>
    </row>
    <row r="145" spans="1:10" ht="18" customHeight="1" x14ac:dyDescent="0.3">
      <c r="A145" s="11">
        <v>5</v>
      </c>
      <c r="B145" s="12" t="s">
        <v>230</v>
      </c>
      <c r="C145" s="13">
        <v>1111495</v>
      </c>
      <c r="D145" s="14" t="s">
        <v>231</v>
      </c>
      <c r="E145" s="15">
        <v>3149.8</v>
      </c>
      <c r="F145" s="15">
        <f>E145*10+I145</f>
        <v>43912</v>
      </c>
      <c r="G145" s="15">
        <v>11223.199999999999</v>
      </c>
      <c r="H145" s="15">
        <f t="shared" ref="H145:H163" si="6">G145*10+J145</f>
        <v>141198</v>
      </c>
      <c r="I145" s="16">
        <f>IFERROR(VLOOKUP($C145,[1]dados_2023!$C$3:$H$357,4,0),"-")</f>
        <v>12414</v>
      </c>
      <c r="J145" s="16">
        <f>IFERROR(VLOOKUP($C145,[1]dados_2023!$C$3:$H$357,6,0),"-")</f>
        <v>28966</v>
      </c>
    </row>
    <row r="146" spans="1:10" ht="18" customHeight="1" x14ac:dyDescent="0.3">
      <c r="A146" s="11">
        <v>5</v>
      </c>
      <c r="B146" s="12" t="s">
        <v>232</v>
      </c>
      <c r="C146" s="13">
        <v>1178142</v>
      </c>
      <c r="D146" s="14" t="s">
        <v>233</v>
      </c>
      <c r="E146" s="15">
        <v>4751</v>
      </c>
      <c r="F146" s="15">
        <f t="shared" ref="F146:F163" si="7">E146*10+I146</f>
        <v>68822</v>
      </c>
      <c r="G146" s="15">
        <v>17820.599999999999</v>
      </c>
      <c r="H146" s="15">
        <f t="shared" si="6"/>
        <v>227934</v>
      </c>
      <c r="I146" s="16">
        <f>IFERROR(VLOOKUP($C146,[1]dados_2023!$C$3:$H$357,4,0),"-")</f>
        <v>21312</v>
      </c>
      <c r="J146" s="16">
        <f>IFERROR(VLOOKUP($C146,[1]dados_2023!$C$3:$H$357,6,0),"-")</f>
        <v>49728</v>
      </c>
    </row>
    <row r="147" spans="1:10" ht="18" customHeight="1" x14ac:dyDescent="0.3">
      <c r="A147" s="11">
        <v>5</v>
      </c>
      <c r="B147" s="12" t="s">
        <v>232</v>
      </c>
      <c r="C147" s="13">
        <v>1161093</v>
      </c>
      <c r="D147" s="14" t="s">
        <v>234</v>
      </c>
      <c r="E147" s="15">
        <v>5063.6000000000004</v>
      </c>
      <c r="F147" s="15">
        <f t="shared" si="7"/>
        <v>70505</v>
      </c>
      <c r="G147" s="15">
        <v>19195.2</v>
      </c>
      <c r="H147" s="15">
        <f t="shared" si="6"/>
        <v>238313</v>
      </c>
      <c r="I147" s="16">
        <f>IFERROR(VLOOKUP($C147,[1]dados_2023!$C$3:$H$357,4,0),"-")</f>
        <v>19869</v>
      </c>
      <c r="J147" s="16">
        <f>IFERROR(VLOOKUP($C147,[1]dados_2023!$C$3:$H$357,6,0),"-")</f>
        <v>46361</v>
      </c>
    </row>
    <row r="148" spans="1:10" ht="18" customHeight="1" x14ac:dyDescent="0.3">
      <c r="A148" s="11">
        <v>5</v>
      </c>
      <c r="B148" s="12" t="s">
        <v>235</v>
      </c>
      <c r="C148" s="13">
        <v>1111550</v>
      </c>
      <c r="D148" s="14" t="s">
        <v>236</v>
      </c>
      <c r="E148" s="15">
        <v>7507.2000000000007</v>
      </c>
      <c r="F148" s="15">
        <f t="shared" si="7"/>
        <v>95391</v>
      </c>
      <c r="G148" s="15">
        <v>26490.400000000001</v>
      </c>
      <c r="H148" s="15">
        <f t="shared" si="6"/>
        <v>312315</v>
      </c>
      <c r="I148" s="16">
        <f>IFERROR(VLOOKUP($C148,[1]dados_2023!$C$3:$H$357,4,0),"-")</f>
        <v>20319</v>
      </c>
      <c r="J148" s="16">
        <f>IFERROR(VLOOKUP($C148,[1]dados_2023!$C$3:$H$357,6,0),"-")</f>
        <v>47411</v>
      </c>
    </row>
    <row r="149" spans="1:10" ht="18" customHeight="1" x14ac:dyDescent="0.3">
      <c r="A149" s="11">
        <v>5</v>
      </c>
      <c r="B149" s="12" t="s">
        <v>237</v>
      </c>
      <c r="C149" s="13">
        <v>1112491</v>
      </c>
      <c r="D149" s="14" t="s">
        <v>238</v>
      </c>
      <c r="E149" s="15">
        <v>2736</v>
      </c>
      <c r="F149" s="15">
        <f t="shared" si="7"/>
        <v>37971</v>
      </c>
      <c r="G149" s="15">
        <v>11603.800000000001</v>
      </c>
      <c r="H149" s="15">
        <f t="shared" si="6"/>
        <v>140797</v>
      </c>
      <c r="I149" s="16">
        <f>IFERROR(VLOOKUP($C149,[1]dados_2023!$C$3:$H$357,4,0),"-")</f>
        <v>10611</v>
      </c>
      <c r="J149" s="16">
        <f>IFERROR(VLOOKUP($C149,[1]dados_2023!$C$3:$H$357,6,0),"-")</f>
        <v>24759</v>
      </c>
    </row>
    <row r="150" spans="1:10" ht="18" customHeight="1" x14ac:dyDescent="0.3">
      <c r="A150" s="11">
        <v>5</v>
      </c>
      <c r="B150" s="12" t="s">
        <v>239</v>
      </c>
      <c r="C150" s="13">
        <v>1111584</v>
      </c>
      <c r="D150" s="14" t="s">
        <v>240</v>
      </c>
      <c r="E150" s="15">
        <v>6302.7999999999993</v>
      </c>
      <c r="F150" s="15">
        <f t="shared" si="7"/>
        <v>94360</v>
      </c>
      <c r="G150" s="15">
        <v>26516</v>
      </c>
      <c r="H150" s="15">
        <f t="shared" si="6"/>
        <v>338268</v>
      </c>
      <c r="I150" s="16">
        <f>IFERROR(VLOOKUP($C150,[1]dados_2023!$C$3:$H$357,4,0),"-")</f>
        <v>31332</v>
      </c>
      <c r="J150" s="16">
        <f>IFERROR(VLOOKUP($C150,[1]dados_2023!$C$3:$H$357,6,0),"-")</f>
        <v>73108</v>
      </c>
    </row>
    <row r="151" spans="1:10" ht="18" customHeight="1" x14ac:dyDescent="0.3">
      <c r="A151" s="11">
        <v>5</v>
      </c>
      <c r="B151" s="12" t="s">
        <v>241</v>
      </c>
      <c r="C151" s="13">
        <v>1176394</v>
      </c>
      <c r="D151" s="14" t="s">
        <v>242</v>
      </c>
      <c r="E151" s="15">
        <v>3189.6000000000004</v>
      </c>
      <c r="F151" s="15">
        <f t="shared" si="7"/>
        <v>43923</v>
      </c>
      <c r="G151" s="15">
        <v>13036.2</v>
      </c>
      <c r="H151" s="15">
        <f t="shared" si="6"/>
        <v>158425</v>
      </c>
      <c r="I151" s="16">
        <f>IFERROR(VLOOKUP($C151,[1]dados_2023!$C$3:$H$357,4,0),"-")</f>
        <v>12027</v>
      </c>
      <c r="J151" s="16">
        <f>IFERROR(VLOOKUP($C151,[1]dados_2023!$C$3:$H$357,6,0),"-")</f>
        <v>28063</v>
      </c>
    </row>
    <row r="152" spans="1:10" ht="18" customHeight="1" x14ac:dyDescent="0.3">
      <c r="A152" s="11">
        <v>5</v>
      </c>
      <c r="B152" s="12" t="s">
        <v>241</v>
      </c>
      <c r="C152" s="13">
        <v>1111797</v>
      </c>
      <c r="D152" s="14" t="s">
        <v>243</v>
      </c>
      <c r="E152" s="15">
        <v>14724.600000000002</v>
      </c>
      <c r="F152" s="15">
        <f t="shared" si="7"/>
        <v>177267.00000000003</v>
      </c>
      <c r="G152" s="15">
        <v>46395.600000000006</v>
      </c>
      <c r="H152" s="15">
        <f t="shared" si="6"/>
        <v>534005</v>
      </c>
      <c r="I152" s="16">
        <f>IFERROR(VLOOKUP($C152,[1]dados_2023!$C$3:$H$357,4,0),"-")</f>
        <v>30021</v>
      </c>
      <c r="J152" s="16">
        <f>IFERROR(VLOOKUP($C152,[1]dados_2023!$C$3:$H$357,6,0),"-")</f>
        <v>70049</v>
      </c>
    </row>
    <row r="153" spans="1:10" ht="18" customHeight="1" x14ac:dyDescent="0.3">
      <c r="A153" s="11">
        <v>5</v>
      </c>
      <c r="B153" s="12" t="s">
        <v>244</v>
      </c>
      <c r="C153" s="13">
        <v>1178107</v>
      </c>
      <c r="D153" s="14" t="s">
        <v>245</v>
      </c>
      <c r="E153" s="15">
        <v>12389.6</v>
      </c>
      <c r="F153" s="15">
        <f t="shared" si="7"/>
        <v>175928</v>
      </c>
      <c r="G153" s="15">
        <v>51821</v>
      </c>
      <c r="H153" s="15">
        <f t="shared" si="6"/>
        <v>639618</v>
      </c>
      <c r="I153" s="16">
        <f>IFERROR(VLOOKUP($C153,[1]dados_2023!$C$3:$H$357,4,0),"-")</f>
        <v>52032</v>
      </c>
      <c r="J153" s="16">
        <f>IFERROR(VLOOKUP($C153,[1]dados_2023!$C$3:$H$357,6,0),"-")</f>
        <v>121408</v>
      </c>
    </row>
    <row r="154" spans="1:10" ht="18" customHeight="1" x14ac:dyDescent="0.3">
      <c r="A154" s="11">
        <v>5</v>
      </c>
      <c r="B154" s="12" t="s">
        <v>246</v>
      </c>
      <c r="C154" s="13">
        <v>1178112</v>
      </c>
      <c r="D154" s="14" t="s">
        <v>247</v>
      </c>
      <c r="E154" s="15">
        <v>7747</v>
      </c>
      <c r="F154" s="15">
        <f t="shared" si="7"/>
        <v>112735</v>
      </c>
      <c r="G154" s="15">
        <v>31453.4</v>
      </c>
      <c r="H154" s="15">
        <f t="shared" si="6"/>
        <v>396819</v>
      </c>
      <c r="I154" s="16">
        <f>IFERROR(VLOOKUP($C154,[1]dados_2023!$C$3:$H$357,4,0),"-")</f>
        <v>35265</v>
      </c>
      <c r="J154" s="16">
        <f>IFERROR(VLOOKUP($C154,[1]dados_2023!$C$3:$H$357,6,0),"-")</f>
        <v>82285</v>
      </c>
    </row>
    <row r="155" spans="1:10" ht="18" customHeight="1" x14ac:dyDescent="0.3">
      <c r="A155" s="11">
        <v>5</v>
      </c>
      <c r="B155" s="12" t="s">
        <v>248</v>
      </c>
      <c r="C155" s="13">
        <v>1158947</v>
      </c>
      <c r="D155" s="14" t="s">
        <v>249</v>
      </c>
      <c r="E155" s="15">
        <v>6484.2</v>
      </c>
      <c r="F155" s="15">
        <f t="shared" si="7"/>
        <v>82566</v>
      </c>
      <c r="G155" s="15">
        <v>22706.2</v>
      </c>
      <c r="H155" s="15">
        <f t="shared" si="6"/>
        <v>268418</v>
      </c>
      <c r="I155" s="16">
        <f>IFERROR(VLOOKUP($C155,[1]dados_2023!$C$3:$H$357,4,0),"-")</f>
        <v>17724</v>
      </c>
      <c r="J155" s="16">
        <f>IFERROR(VLOOKUP($C155,[1]dados_2023!$C$3:$H$357,6,0),"-")</f>
        <v>41356</v>
      </c>
    </row>
    <row r="156" spans="1:10" ht="18" customHeight="1" x14ac:dyDescent="0.3">
      <c r="A156" s="11">
        <v>5</v>
      </c>
      <c r="B156" s="12" t="s">
        <v>250</v>
      </c>
      <c r="C156" s="13">
        <v>1176103</v>
      </c>
      <c r="D156" s="14" t="s">
        <v>251</v>
      </c>
      <c r="E156" s="15">
        <v>1310</v>
      </c>
      <c r="F156" s="15">
        <f t="shared" si="7"/>
        <v>19754</v>
      </c>
      <c r="G156" s="15">
        <v>5606.8000000000011</v>
      </c>
      <c r="H156" s="15">
        <f t="shared" si="6"/>
        <v>71594.000000000015</v>
      </c>
      <c r="I156" s="16">
        <f>IFERROR(VLOOKUP($C156,[1]dados_2023!$C$3:$H$357,4,0),"-")</f>
        <v>6654</v>
      </c>
      <c r="J156" s="16">
        <f>IFERROR(VLOOKUP($C156,[1]dados_2023!$C$3:$H$357,6,0),"-")</f>
        <v>15526</v>
      </c>
    </row>
    <row r="157" spans="1:10" ht="18" customHeight="1" x14ac:dyDescent="0.3">
      <c r="A157" s="11">
        <v>5</v>
      </c>
      <c r="B157" s="12" t="s">
        <v>250</v>
      </c>
      <c r="C157" s="13">
        <v>1178110</v>
      </c>
      <c r="D157" s="14" t="s">
        <v>252</v>
      </c>
      <c r="E157" s="15">
        <v>14245.6</v>
      </c>
      <c r="F157" s="15">
        <f t="shared" si="7"/>
        <v>184999</v>
      </c>
      <c r="G157" s="15">
        <v>47139.600000000006</v>
      </c>
      <c r="H157" s="15">
        <f t="shared" si="6"/>
        <v>570663</v>
      </c>
      <c r="I157" s="16">
        <f>IFERROR(VLOOKUP($C157,[1]dados_2023!$C$3:$H$357,4,0),"-")</f>
        <v>42543</v>
      </c>
      <c r="J157" s="16">
        <f>IFERROR(VLOOKUP($C157,[1]dados_2023!$C$3:$H$357,6,0),"-")</f>
        <v>99267</v>
      </c>
    </row>
    <row r="158" spans="1:10" ht="18" customHeight="1" x14ac:dyDescent="0.3">
      <c r="A158" s="11">
        <v>5</v>
      </c>
      <c r="B158" s="12" t="s">
        <v>253</v>
      </c>
      <c r="C158" s="13">
        <v>1179701</v>
      </c>
      <c r="D158" s="14" t="s">
        <v>254</v>
      </c>
      <c r="E158" s="15">
        <v>4940</v>
      </c>
      <c r="F158" s="15">
        <f t="shared" si="7"/>
        <v>72269</v>
      </c>
      <c r="G158" s="15">
        <v>21143.200000000001</v>
      </c>
      <c r="H158" s="15">
        <f t="shared" si="6"/>
        <v>264793</v>
      </c>
      <c r="I158" s="16">
        <f>IFERROR(VLOOKUP($C158,[1]dados_2023!$C$3:$H$357,4,0),"-")</f>
        <v>22869</v>
      </c>
      <c r="J158" s="16">
        <f>IFERROR(VLOOKUP($C158,[1]dados_2023!$C$3:$H$357,6,0),"-")</f>
        <v>53361</v>
      </c>
    </row>
    <row r="159" spans="1:10" ht="18" customHeight="1" x14ac:dyDescent="0.3">
      <c r="A159" s="11">
        <v>5</v>
      </c>
      <c r="B159" s="12" t="s">
        <v>253</v>
      </c>
      <c r="C159" s="13">
        <v>1111096</v>
      </c>
      <c r="D159" s="14" t="s">
        <v>255</v>
      </c>
      <c r="E159" s="15">
        <v>14827.4</v>
      </c>
      <c r="F159" s="15">
        <f t="shared" si="7"/>
        <v>238448</v>
      </c>
      <c r="G159" s="15">
        <v>63520.800000000003</v>
      </c>
      <c r="H159" s="15">
        <f t="shared" si="6"/>
        <v>845614</v>
      </c>
      <c r="I159" s="16">
        <f>IFERROR(VLOOKUP($C159,[1]dados_2023!$C$3:$H$357,4,0),"-")</f>
        <v>90174</v>
      </c>
      <c r="J159" s="16">
        <f>IFERROR(VLOOKUP($C159,[1]dados_2023!$C$3:$H$357,6,0),"-")</f>
        <v>210406</v>
      </c>
    </row>
    <row r="160" spans="1:10" ht="18" customHeight="1" x14ac:dyDescent="0.3">
      <c r="A160" s="11">
        <v>5</v>
      </c>
      <c r="B160" s="12" t="s">
        <v>253</v>
      </c>
      <c r="C160" s="13">
        <v>1111339</v>
      </c>
      <c r="D160" s="14" t="s">
        <v>256</v>
      </c>
      <c r="E160" s="15">
        <v>8730</v>
      </c>
      <c r="F160" s="15">
        <f t="shared" si="7"/>
        <v>137022</v>
      </c>
      <c r="G160" s="15">
        <v>37364.400000000001</v>
      </c>
      <c r="H160" s="15">
        <f t="shared" si="6"/>
        <v>489662</v>
      </c>
      <c r="I160" s="16">
        <f>IFERROR(VLOOKUP($C160,[1]dados_2023!$C$3:$H$357,4,0),"-")</f>
        <v>49722</v>
      </c>
      <c r="J160" s="16">
        <f>IFERROR(VLOOKUP($C160,[1]dados_2023!$C$3:$H$357,6,0),"-")</f>
        <v>116018</v>
      </c>
    </row>
    <row r="161" spans="1:10" ht="18" customHeight="1" x14ac:dyDescent="0.3">
      <c r="A161" s="11">
        <v>5</v>
      </c>
      <c r="B161" s="12" t="s">
        <v>253</v>
      </c>
      <c r="C161" s="13">
        <v>1159919</v>
      </c>
      <c r="D161" s="14" t="s">
        <v>257</v>
      </c>
      <c r="E161" s="15">
        <v>11160</v>
      </c>
      <c r="F161" s="15">
        <f t="shared" si="7"/>
        <v>177603</v>
      </c>
      <c r="G161" s="15">
        <v>47764.800000000003</v>
      </c>
      <c r="H161" s="15">
        <f t="shared" si="6"/>
        <v>631655</v>
      </c>
      <c r="I161" s="16">
        <f>IFERROR(VLOOKUP($C161,[1]dados_2023!$C$3:$H$357,4,0),"-")</f>
        <v>66003</v>
      </c>
      <c r="J161" s="16">
        <f>IFERROR(VLOOKUP($C161,[1]dados_2023!$C$3:$H$357,6,0),"-")</f>
        <v>154007</v>
      </c>
    </row>
    <row r="162" spans="1:10" ht="18" customHeight="1" x14ac:dyDescent="0.3">
      <c r="A162" s="11">
        <v>5</v>
      </c>
      <c r="B162" s="12" t="s">
        <v>253</v>
      </c>
      <c r="C162" s="13">
        <v>1178145</v>
      </c>
      <c r="D162" s="14" t="s">
        <v>258</v>
      </c>
      <c r="E162" s="15">
        <v>4003</v>
      </c>
      <c r="F162" s="15">
        <f t="shared" si="7"/>
        <v>55696</v>
      </c>
      <c r="G162" s="15">
        <v>15392.600000000002</v>
      </c>
      <c r="H162" s="15">
        <f t="shared" si="6"/>
        <v>190480.00000000003</v>
      </c>
      <c r="I162" s="16">
        <f>IFERROR(VLOOKUP($C162,[1]dados_2023!$C$3:$H$357,4,0),"-")</f>
        <v>15666</v>
      </c>
      <c r="J162" s="16">
        <f>IFERROR(VLOOKUP($C162,[1]dados_2023!$C$3:$H$357,6,0),"-")</f>
        <v>36554</v>
      </c>
    </row>
    <row r="163" spans="1:10" ht="18" customHeight="1" x14ac:dyDescent="0.3">
      <c r="A163" s="11">
        <v>5</v>
      </c>
      <c r="B163" s="12" t="s">
        <v>253</v>
      </c>
      <c r="C163" s="13">
        <v>1111126</v>
      </c>
      <c r="D163" s="14" t="s">
        <v>259</v>
      </c>
      <c r="E163" s="15">
        <v>5363</v>
      </c>
      <c r="F163" s="15">
        <f t="shared" si="7"/>
        <v>79130</v>
      </c>
      <c r="G163" s="15">
        <v>21572.800000000003</v>
      </c>
      <c r="H163" s="15">
        <f t="shared" si="6"/>
        <v>275228</v>
      </c>
      <c r="I163" s="16">
        <f>IFERROR(VLOOKUP($C163,[1]dados_2023!$C$3:$H$357,4,0),"-")</f>
        <v>25500</v>
      </c>
      <c r="J163" s="16">
        <f>IFERROR(VLOOKUP($C163,[1]dados_2023!$C$3:$H$357,6,0),"-")</f>
        <v>59500</v>
      </c>
    </row>
    <row r="164" spans="1:10" ht="18" customHeight="1" x14ac:dyDescent="0.3">
      <c r="A164" s="11">
        <v>5</v>
      </c>
      <c r="B164" s="12" t="s">
        <v>253</v>
      </c>
      <c r="C164" s="13">
        <v>1111223</v>
      </c>
      <c r="D164" s="14" t="e">
        <v>#N/A</v>
      </c>
      <c r="E164" s="15">
        <v>3047</v>
      </c>
      <c r="F164" s="15">
        <f t="shared" si="4"/>
        <v>30470</v>
      </c>
      <c r="G164" s="15">
        <v>13338.8</v>
      </c>
      <c r="H164" s="15">
        <f t="shared" si="5"/>
        <v>133388</v>
      </c>
      <c r="I164" s="16" t="str">
        <f>IFERROR(VLOOKUP($C164,[1]dados_2023!$C$3:$H$357,4,0),"-")</f>
        <v>-</v>
      </c>
      <c r="J164" s="16" t="str">
        <f>IFERROR(VLOOKUP($C164,[1]dados_2023!$C$3:$H$357,6,0),"-")</f>
        <v>-</v>
      </c>
    </row>
    <row r="165" spans="1:10" ht="18" customHeight="1" x14ac:dyDescent="0.3">
      <c r="A165" s="11">
        <v>5</v>
      </c>
      <c r="B165" s="12" t="s">
        <v>253</v>
      </c>
      <c r="C165" s="13">
        <v>1111436</v>
      </c>
      <c r="D165" s="14" t="s">
        <v>260</v>
      </c>
      <c r="E165" s="15">
        <v>2691.3999999999996</v>
      </c>
      <c r="F165" s="15">
        <f t="shared" ref="F165:F197" si="8">E165*10+I165</f>
        <v>36301</v>
      </c>
      <c r="G165" s="15">
        <v>9225</v>
      </c>
      <c r="H165" s="15">
        <f t="shared" ref="H165:H197" si="9">G165*10+J165</f>
        <v>114153</v>
      </c>
      <c r="I165" s="16">
        <f>IFERROR(VLOOKUP($C165,[1]dados_2023!$C$3:$H$357,4,0),"-")</f>
        <v>9387</v>
      </c>
      <c r="J165" s="16">
        <f>IFERROR(VLOOKUP($C165,[1]dados_2023!$C$3:$H$357,6,0),"-")</f>
        <v>21903</v>
      </c>
    </row>
    <row r="166" spans="1:10" ht="18" customHeight="1" x14ac:dyDescent="0.3">
      <c r="A166" s="11">
        <v>5</v>
      </c>
      <c r="B166" s="12" t="s">
        <v>253</v>
      </c>
      <c r="C166" s="13">
        <v>1169221</v>
      </c>
      <c r="D166" s="14" t="s">
        <v>261</v>
      </c>
      <c r="E166" s="15">
        <v>10225.4</v>
      </c>
      <c r="F166" s="15">
        <f t="shared" si="8"/>
        <v>142994</v>
      </c>
      <c r="G166" s="15">
        <v>39607.800000000003</v>
      </c>
      <c r="H166" s="15">
        <f t="shared" si="9"/>
        <v>491138</v>
      </c>
      <c r="I166" s="16">
        <f>IFERROR(VLOOKUP($C166,[1]dados_2023!$C$3:$H$357,4,0),"-")</f>
        <v>40740</v>
      </c>
      <c r="J166" s="16">
        <f>IFERROR(VLOOKUP($C166,[1]dados_2023!$C$3:$H$357,6,0),"-")</f>
        <v>95060</v>
      </c>
    </row>
    <row r="167" spans="1:10" ht="18" customHeight="1" x14ac:dyDescent="0.3">
      <c r="A167" s="11">
        <v>5</v>
      </c>
      <c r="B167" s="12" t="s">
        <v>253</v>
      </c>
      <c r="C167" s="13">
        <v>1159838</v>
      </c>
      <c r="D167" s="14" t="s">
        <v>262</v>
      </c>
      <c r="E167" s="15">
        <v>16869</v>
      </c>
      <c r="F167" s="15">
        <f t="shared" si="8"/>
        <v>211572</v>
      </c>
      <c r="G167" s="15">
        <v>56128.200000000004</v>
      </c>
      <c r="H167" s="15">
        <f t="shared" si="9"/>
        <v>661340</v>
      </c>
      <c r="I167" s="16">
        <f>IFERROR(VLOOKUP($C167,[1]dados_2023!$C$3:$H$357,4,0),"-")</f>
        <v>42882</v>
      </c>
      <c r="J167" s="16">
        <f>IFERROR(VLOOKUP($C167,[1]dados_2023!$C$3:$H$357,6,0),"-")</f>
        <v>100058</v>
      </c>
    </row>
    <row r="168" spans="1:10" ht="18" customHeight="1" x14ac:dyDescent="0.3">
      <c r="A168" s="11">
        <v>5</v>
      </c>
      <c r="B168" s="12" t="s">
        <v>253</v>
      </c>
      <c r="C168" s="13">
        <v>1176675</v>
      </c>
      <c r="D168" s="14" t="s">
        <v>263</v>
      </c>
      <c r="E168" s="15">
        <v>6017</v>
      </c>
      <c r="F168" s="15">
        <f t="shared" si="8"/>
        <v>79763</v>
      </c>
      <c r="G168" s="15">
        <v>22246</v>
      </c>
      <c r="H168" s="15">
        <f t="shared" si="9"/>
        <v>268177</v>
      </c>
      <c r="I168" s="16">
        <f>IFERROR(VLOOKUP($C168,[1]dados_2023!$C$3:$H$357,4,0),"-")</f>
        <v>19593</v>
      </c>
      <c r="J168" s="16">
        <f>IFERROR(VLOOKUP($C168,[1]dados_2023!$C$3:$H$357,6,0),"-")</f>
        <v>45717</v>
      </c>
    </row>
    <row r="169" spans="1:10" ht="18" customHeight="1" x14ac:dyDescent="0.3">
      <c r="A169" s="11">
        <v>5</v>
      </c>
      <c r="B169" s="12" t="s">
        <v>253</v>
      </c>
      <c r="C169" s="13">
        <v>1176424</v>
      </c>
      <c r="D169" s="14" t="s">
        <v>264</v>
      </c>
      <c r="E169" s="15">
        <v>6600.4</v>
      </c>
      <c r="F169" s="15">
        <f t="shared" si="8"/>
        <v>76615</v>
      </c>
      <c r="G169" s="15">
        <v>25714.600000000002</v>
      </c>
      <c r="H169" s="15">
        <f t="shared" si="9"/>
        <v>281905</v>
      </c>
      <c r="I169" s="16">
        <f>IFERROR(VLOOKUP($C169,[1]dados_2023!$C$3:$H$357,4,0),"-")</f>
        <v>10611</v>
      </c>
      <c r="J169" s="16">
        <f>IFERROR(VLOOKUP($C169,[1]dados_2023!$C$3:$H$357,6,0),"-")</f>
        <v>24759</v>
      </c>
    </row>
    <row r="170" spans="1:10" ht="18" customHeight="1" x14ac:dyDescent="0.3">
      <c r="A170" s="11">
        <v>5</v>
      </c>
      <c r="B170" s="12" t="s">
        <v>265</v>
      </c>
      <c r="C170" s="13">
        <v>1112092</v>
      </c>
      <c r="D170" s="14" t="s">
        <v>266</v>
      </c>
      <c r="E170" s="15">
        <v>10080</v>
      </c>
      <c r="F170" s="15">
        <f t="shared" si="8"/>
        <v>185739</v>
      </c>
      <c r="G170" s="15">
        <v>43142.400000000009</v>
      </c>
      <c r="H170" s="15">
        <f t="shared" si="9"/>
        <v>629615.00000000012</v>
      </c>
      <c r="I170" s="16">
        <f>IFERROR(VLOOKUP($C170,[1]dados_2023!$C$3:$H$357,4,0),"-")</f>
        <v>84939</v>
      </c>
      <c r="J170" s="16">
        <f>IFERROR(VLOOKUP($C170,[1]dados_2023!$C$3:$H$357,6,0),"-")</f>
        <v>198191</v>
      </c>
    </row>
    <row r="171" spans="1:10" ht="18" customHeight="1" x14ac:dyDescent="0.3">
      <c r="A171" s="11">
        <v>5</v>
      </c>
      <c r="B171" s="12" t="s">
        <v>265</v>
      </c>
      <c r="C171" s="13">
        <v>1112149</v>
      </c>
      <c r="D171" s="14" t="s">
        <v>267</v>
      </c>
      <c r="E171" s="15">
        <v>10518.2</v>
      </c>
      <c r="F171" s="15">
        <f t="shared" si="8"/>
        <v>165026</v>
      </c>
      <c r="G171" s="15">
        <v>44271.200000000004</v>
      </c>
      <c r="H171" s="15">
        <f t="shared" si="9"/>
        <v>582348</v>
      </c>
      <c r="I171" s="16">
        <f>IFERROR(VLOOKUP($C171,[1]dados_2023!$C$3:$H$357,4,0),"-")</f>
        <v>59844</v>
      </c>
      <c r="J171" s="16">
        <f>IFERROR(VLOOKUP($C171,[1]dados_2023!$C$3:$H$357,6,0),"-")</f>
        <v>139636</v>
      </c>
    </row>
    <row r="172" spans="1:10" ht="18" customHeight="1" x14ac:dyDescent="0.3">
      <c r="A172" s="11">
        <v>5</v>
      </c>
      <c r="B172" s="12" t="s">
        <v>265</v>
      </c>
      <c r="C172" s="13">
        <v>1176101</v>
      </c>
      <c r="D172" s="14" t="s">
        <v>268</v>
      </c>
      <c r="E172" s="15">
        <v>10982.2</v>
      </c>
      <c r="F172" s="15">
        <f t="shared" si="8"/>
        <v>138535</v>
      </c>
      <c r="G172" s="15">
        <v>33352.6</v>
      </c>
      <c r="H172" s="15">
        <f t="shared" si="9"/>
        <v>400523</v>
      </c>
      <c r="I172" s="16">
        <f>IFERROR(VLOOKUP($C172,[1]dados_2023!$C$3:$H$357,4,0),"-")</f>
        <v>28713</v>
      </c>
      <c r="J172" s="16">
        <f>IFERROR(VLOOKUP($C172,[1]dados_2023!$C$3:$H$357,6,0),"-")</f>
        <v>66997</v>
      </c>
    </row>
    <row r="173" spans="1:10" ht="18" customHeight="1" x14ac:dyDescent="0.3">
      <c r="A173" s="11">
        <v>5</v>
      </c>
      <c r="B173" s="12" t="s">
        <v>265</v>
      </c>
      <c r="C173" s="13">
        <v>1112211</v>
      </c>
      <c r="D173" s="14" t="s">
        <v>269</v>
      </c>
      <c r="E173" s="15">
        <v>9420</v>
      </c>
      <c r="F173" s="15">
        <f t="shared" si="8"/>
        <v>139476</v>
      </c>
      <c r="G173" s="15">
        <v>40317.600000000006</v>
      </c>
      <c r="H173" s="15">
        <f t="shared" si="9"/>
        <v>508820.00000000006</v>
      </c>
      <c r="I173" s="16">
        <f>IFERROR(VLOOKUP($C173,[1]dados_2023!$C$3:$H$357,4,0),"-")</f>
        <v>45276</v>
      </c>
      <c r="J173" s="16">
        <f>IFERROR(VLOOKUP($C173,[1]dados_2023!$C$3:$H$357,6,0),"-")</f>
        <v>105644</v>
      </c>
    </row>
    <row r="174" spans="1:10" ht="18" customHeight="1" x14ac:dyDescent="0.3">
      <c r="A174" s="11">
        <v>5</v>
      </c>
      <c r="B174" s="12" t="s">
        <v>265</v>
      </c>
      <c r="C174" s="13">
        <v>1112009</v>
      </c>
      <c r="D174" s="14" t="s">
        <v>270</v>
      </c>
      <c r="E174" s="15">
        <v>4502.7999999999993</v>
      </c>
      <c r="F174" s="15">
        <f t="shared" si="8"/>
        <v>79834</v>
      </c>
      <c r="G174" s="15">
        <v>20809.400000000001</v>
      </c>
      <c r="H174" s="15">
        <f t="shared" si="9"/>
        <v>289308</v>
      </c>
      <c r="I174" s="16">
        <f>IFERROR(VLOOKUP($C174,[1]dados_2023!$C$3:$H$357,4,0),"-")</f>
        <v>34806</v>
      </c>
      <c r="J174" s="16">
        <f>IFERROR(VLOOKUP($C174,[1]dados_2023!$C$3:$H$357,6,0),"-")</f>
        <v>81214</v>
      </c>
    </row>
    <row r="175" spans="1:10" ht="18" customHeight="1" x14ac:dyDescent="0.3">
      <c r="A175" s="11">
        <v>5</v>
      </c>
      <c r="B175" s="12" t="s">
        <v>265</v>
      </c>
      <c r="C175" s="13">
        <v>1111940</v>
      </c>
      <c r="D175" s="14" t="s">
        <v>271</v>
      </c>
      <c r="E175" s="15">
        <v>8335</v>
      </c>
      <c r="F175" s="15">
        <f t="shared" si="8"/>
        <v>116662</v>
      </c>
      <c r="G175" s="15">
        <v>35131.200000000004</v>
      </c>
      <c r="H175" s="15">
        <f t="shared" si="9"/>
        <v>429040.00000000006</v>
      </c>
      <c r="I175" s="16">
        <f>IFERROR(VLOOKUP($C175,[1]dados_2023!$C$3:$H$357,4,0),"-")</f>
        <v>33312</v>
      </c>
      <c r="J175" s="16">
        <f>IFERROR(VLOOKUP($C175,[1]dados_2023!$C$3:$H$357,6,0),"-")</f>
        <v>77728</v>
      </c>
    </row>
    <row r="176" spans="1:10" ht="18" customHeight="1" x14ac:dyDescent="0.3">
      <c r="A176" s="11">
        <v>5</v>
      </c>
      <c r="B176" s="12" t="s">
        <v>265</v>
      </c>
      <c r="C176" s="13">
        <v>1112084</v>
      </c>
      <c r="D176" s="14" t="s">
        <v>272</v>
      </c>
      <c r="E176" s="15">
        <v>9102</v>
      </c>
      <c r="F176" s="15">
        <f t="shared" si="8"/>
        <v>122154</v>
      </c>
      <c r="G176" s="15">
        <v>31959.200000000004</v>
      </c>
      <c r="H176" s="15">
        <f t="shared" si="9"/>
        <v>392238.00000000006</v>
      </c>
      <c r="I176" s="16">
        <f>IFERROR(VLOOKUP($C176,[1]dados_2023!$C$3:$H$357,4,0),"-")</f>
        <v>31134</v>
      </c>
      <c r="J176" s="16">
        <f>IFERROR(VLOOKUP($C176,[1]dados_2023!$C$3:$H$357,6,0),"-")</f>
        <v>72646</v>
      </c>
    </row>
    <row r="177" spans="1:10" ht="18" customHeight="1" x14ac:dyDescent="0.3">
      <c r="A177" s="11">
        <v>5</v>
      </c>
      <c r="B177" s="12" t="s">
        <v>265</v>
      </c>
      <c r="C177" s="13">
        <v>1177091</v>
      </c>
      <c r="D177" s="14" t="s">
        <v>245</v>
      </c>
      <c r="E177" s="15">
        <v>11128.8</v>
      </c>
      <c r="F177" s="15">
        <f t="shared" si="8"/>
        <v>157677</v>
      </c>
      <c r="G177" s="15">
        <v>46083.000000000007</v>
      </c>
      <c r="H177" s="15">
        <f t="shared" si="9"/>
        <v>569071</v>
      </c>
      <c r="I177" s="16">
        <f>IFERROR(VLOOKUP($C177,[1]dados_2023!$C$3:$H$357,4,0),"-")</f>
        <v>46389</v>
      </c>
      <c r="J177" s="16">
        <f>IFERROR(VLOOKUP($C177,[1]dados_2023!$C$3:$H$357,6,0),"-")</f>
        <v>108241</v>
      </c>
    </row>
    <row r="178" spans="1:10" ht="18" customHeight="1" x14ac:dyDescent="0.3">
      <c r="A178" s="11">
        <v>5</v>
      </c>
      <c r="B178" s="12" t="s">
        <v>265</v>
      </c>
      <c r="C178" s="13">
        <v>1176081</v>
      </c>
      <c r="D178" s="14" t="s">
        <v>273</v>
      </c>
      <c r="E178" s="15">
        <v>22595.000000000004</v>
      </c>
      <c r="F178" s="15">
        <f t="shared" si="8"/>
        <v>289805</v>
      </c>
      <c r="G178" s="15">
        <v>70795.399999999994</v>
      </c>
      <c r="H178" s="15">
        <f t="shared" si="9"/>
        <v>856949</v>
      </c>
      <c r="I178" s="16">
        <f>IFERROR(VLOOKUP($C178,[1]dados_2023!$C$3:$H$357,4,0),"-")</f>
        <v>63855</v>
      </c>
      <c r="J178" s="16">
        <f>IFERROR(VLOOKUP($C178,[1]dados_2023!$C$3:$H$357,6,0),"-")</f>
        <v>148995</v>
      </c>
    </row>
    <row r="179" spans="1:10" ht="18" customHeight="1" x14ac:dyDescent="0.3">
      <c r="A179" s="11">
        <v>5</v>
      </c>
      <c r="B179" s="12" t="s">
        <v>265</v>
      </c>
      <c r="C179" s="22">
        <v>1111738</v>
      </c>
      <c r="D179" s="14" t="s">
        <v>274</v>
      </c>
      <c r="E179" s="15">
        <v>22894.200000000004</v>
      </c>
      <c r="F179" s="15">
        <f t="shared" si="8"/>
        <v>276498.00000000006</v>
      </c>
      <c r="G179" s="15">
        <v>71605.600000000006</v>
      </c>
      <c r="H179" s="15">
        <f t="shared" si="9"/>
        <v>827020</v>
      </c>
      <c r="I179" s="16">
        <f>IFERROR(VLOOKUP($C179,[1]dados_2023!$C$3:$H$357,4,0),"-")</f>
        <v>47556</v>
      </c>
      <c r="J179" s="16">
        <f>IFERROR(VLOOKUP($C179,[1]dados_2023!$C$3:$H$357,6,0),"-")</f>
        <v>110964</v>
      </c>
    </row>
    <row r="180" spans="1:10" ht="18" customHeight="1" x14ac:dyDescent="0.3">
      <c r="A180" s="11">
        <v>5</v>
      </c>
      <c r="B180" s="12" t="s">
        <v>275</v>
      </c>
      <c r="C180" s="13">
        <v>1111347</v>
      </c>
      <c r="D180" s="14" t="s">
        <v>276</v>
      </c>
      <c r="E180" s="15">
        <v>9904.7999999999993</v>
      </c>
      <c r="F180" s="15">
        <f t="shared" si="8"/>
        <v>131937</v>
      </c>
      <c r="G180" s="15">
        <v>38510.800000000003</v>
      </c>
      <c r="H180" s="15">
        <f t="shared" si="9"/>
        <v>461849</v>
      </c>
      <c r="I180" s="16">
        <f>IFERROR(VLOOKUP($C180,[1]dados_2023!$C$3:$H$357,4,0),"-")</f>
        <v>32889</v>
      </c>
      <c r="J180" s="16">
        <f>IFERROR(VLOOKUP($C180,[1]dados_2023!$C$3:$H$357,6,0),"-")</f>
        <v>76741</v>
      </c>
    </row>
    <row r="181" spans="1:10" ht="18" customHeight="1" x14ac:dyDescent="0.3">
      <c r="A181" s="11">
        <v>5</v>
      </c>
      <c r="B181" s="12" t="s">
        <v>275</v>
      </c>
      <c r="C181" s="13">
        <v>1178751</v>
      </c>
      <c r="D181" s="14" t="s">
        <v>277</v>
      </c>
      <c r="E181" s="15">
        <v>4100</v>
      </c>
      <c r="F181" s="15">
        <f t="shared" si="8"/>
        <v>61649</v>
      </c>
      <c r="G181" s="15">
        <v>18398.400000000001</v>
      </c>
      <c r="H181" s="15">
        <f t="shared" si="9"/>
        <v>232165</v>
      </c>
      <c r="I181" s="16">
        <f>IFERROR(VLOOKUP($C181,[1]dados_2023!$C$3:$H$357,4,0),"-")</f>
        <v>20649</v>
      </c>
      <c r="J181" s="16">
        <f>IFERROR(VLOOKUP($C181,[1]dados_2023!$C$3:$H$357,6,0),"-")</f>
        <v>48181</v>
      </c>
    </row>
    <row r="182" spans="1:10" ht="18" customHeight="1" x14ac:dyDescent="0.3">
      <c r="A182" s="11">
        <v>5</v>
      </c>
      <c r="B182" s="12" t="s">
        <v>278</v>
      </c>
      <c r="C182" s="13">
        <v>1112262</v>
      </c>
      <c r="D182" s="14" t="s">
        <v>279</v>
      </c>
      <c r="E182" s="15">
        <v>4750.6000000000004</v>
      </c>
      <c r="F182" s="15">
        <f t="shared" si="8"/>
        <v>59533</v>
      </c>
      <c r="G182" s="15">
        <v>17400</v>
      </c>
      <c r="H182" s="15">
        <f t="shared" si="9"/>
        <v>202063</v>
      </c>
      <c r="I182" s="16">
        <f>IFERROR(VLOOKUP($C182,[1]dados_2023!$C$3:$H$357,4,0),"-")</f>
        <v>12027</v>
      </c>
      <c r="J182" s="16">
        <f>IFERROR(VLOOKUP($C182,[1]dados_2023!$C$3:$H$357,6,0),"-")</f>
        <v>28063</v>
      </c>
    </row>
    <row r="183" spans="1:10" ht="18" customHeight="1" x14ac:dyDescent="0.3">
      <c r="A183" s="11">
        <v>5</v>
      </c>
      <c r="B183" s="12" t="s">
        <v>280</v>
      </c>
      <c r="C183" s="13">
        <v>1112408</v>
      </c>
      <c r="D183" s="14" t="s">
        <v>281</v>
      </c>
      <c r="E183" s="15">
        <v>8328.4</v>
      </c>
      <c r="F183" s="15">
        <f t="shared" si="8"/>
        <v>119902</v>
      </c>
      <c r="G183" s="15">
        <v>33745.200000000004</v>
      </c>
      <c r="H183" s="15">
        <f t="shared" si="9"/>
        <v>422894.00000000006</v>
      </c>
      <c r="I183" s="16">
        <f>IFERROR(VLOOKUP($C183,[1]dados_2023!$C$3:$H$357,4,0),"-")</f>
        <v>36618</v>
      </c>
      <c r="J183" s="16">
        <f>IFERROR(VLOOKUP($C183,[1]dados_2023!$C$3:$H$357,6,0),"-")</f>
        <v>85442</v>
      </c>
    </row>
    <row r="184" spans="1:10" ht="18" customHeight="1" x14ac:dyDescent="0.3">
      <c r="A184" s="11">
        <v>5</v>
      </c>
      <c r="B184" s="12" t="s">
        <v>282</v>
      </c>
      <c r="C184" s="13">
        <v>1158688</v>
      </c>
      <c r="D184" s="14" t="s">
        <v>283</v>
      </c>
      <c r="E184" s="15">
        <v>6982.2</v>
      </c>
      <c r="F184" s="15">
        <f t="shared" si="8"/>
        <v>89799</v>
      </c>
      <c r="G184" s="15">
        <v>24358.800000000003</v>
      </c>
      <c r="H184" s="15">
        <f t="shared" si="9"/>
        <v>290201</v>
      </c>
      <c r="I184" s="16">
        <f>IFERROR(VLOOKUP($C184,[1]dados_2023!$C$3:$H$357,4,0),"-")</f>
        <v>19977</v>
      </c>
      <c r="J184" s="16">
        <f>IFERROR(VLOOKUP($C184,[1]dados_2023!$C$3:$H$357,6,0),"-")</f>
        <v>46613</v>
      </c>
    </row>
    <row r="185" spans="1:10" ht="18" customHeight="1" x14ac:dyDescent="0.3">
      <c r="A185" s="11">
        <v>5</v>
      </c>
      <c r="B185" s="12" t="s">
        <v>284</v>
      </c>
      <c r="C185" s="13">
        <v>1112602</v>
      </c>
      <c r="D185" s="14" t="s">
        <v>285</v>
      </c>
      <c r="E185" s="15">
        <v>2426.1999999999998</v>
      </c>
      <c r="F185" s="15">
        <f t="shared" si="8"/>
        <v>36898</v>
      </c>
      <c r="G185" s="15">
        <v>10732.800000000001</v>
      </c>
      <c r="H185" s="15">
        <f t="shared" si="9"/>
        <v>136812</v>
      </c>
      <c r="I185" s="16">
        <f>IFERROR(VLOOKUP($C185,[1]dados_2023!$C$3:$H$357,4,0),"-")</f>
        <v>12636</v>
      </c>
      <c r="J185" s="16">
        <f>IFERROR(VLOOKUP($C185,[1]dados_2023!$C$3:$H$357,6,0),"-")</f>
        <v>29484</v>
      </c>
    </row>
    <row r="186" spans="1:10" ht="18" customHeight="1" x14ac:dyDescent="0.3">
      <c r="A186" s="11">
        <v>5</v>
      </c>
      <c r="B186" s="12" t="s">
        <v>286</v>
      </c>
      <c r="C186" s="13">
        <v>1159277</v>
      </c>
      <c r="D186" s="14" t="s">
        <v>287</v>
      </c>
      <c r="E186" s="15">
        <v>6022.8</v>
      </c>
      <c r="F186" s="15">
        <f t="shared" si="8"/>
        <v>74115</v>
      </c>
      <c r="G186" s="15">
        <v>20533.2</v>
      </c>
      <c r="H186" s="15">
        <f t="shared" si="9"/>
        <v>237735</v>
      </c>
      <c r="I186" s="16">
        <f>IFERROR(VLOOKUP($C186,[1]dados_2023!$C$3:$H$357,4,0),"-")</f>
        <v>13887</v>
      </c>
      <c r="J186" s="16">
        <f>IFERROR(VLOOKUP($C186,[1]dados_2023!$C$3:$H$357,6,0),"-")</f>
        <v>32403</v>
      </c>
    </row>
    <row r="187" spans="1:10" ht="18" customHeight="1" x14ac:dyDescent="0.3">
      <c r="A187" s="11">
        <v>5</v>
      </c>
      <c r="B187" s="12" t="s">
        <v>288</v>
      </c>
      <c r="C187" s="13">
        <v>1179678</v>
      </c>
      <c r="D187" s="14" t="s">
        <v>289</v>
      </c>
      <c r="E187" s="15">
        <v>4977.8</v>
      </c>
      <c r="F187" s="15">
        <f t="shared" si="8"/>
        <v>60995</v>
      </c>
      <c r="G187" s="15">
        <v>18174.400000000001</v>
      </c>
      <c r="H187" s="15">
        <f t="shared" si="9"/>
        <v>207917</v>
      </c>
      <c r="I187" s="16">
        <f>IFERROR(VLOOKUP($C187,[1]dados_2023!$C$3:$H$357,4,0),"-")</f>
        <v>11217</v>
      </c>
      <c r="J187" s="16">
        <f>IFERROR(VLOOKUP($C187,[1]dados_2023!$C$3:$H$357,6,0),"-")</f>
        <v>26173</v>
      </c>
    </row>
    <row r="188" spans="1:10" ht="18" customHeight="1" x14ac:dyDescent="0.3">
      <c r="A188" s="11">
        <v>5</v>
      </c>
      <c r="B188" s="12" t="s">
        <v>288</v>
      </c>
      <c r="C188" s="13">
        <v>1159641</v>
      </c>
      <c r="D188" s="14" t="s">
        <v>290</v>
      </c>
      <c r="E188" s="15">
        <v>4110.0000000000009</v>
      </c>
      <c r="F188" s="15">
        <f t="shared" si="8"/>
        <v>48645.000000000007</v>
      </c>
      <c r="G188" s="15">
        <v>11790</v>
      </c>
      <c r="H188" s="15">
        <f t="shared" si="9"/>
        <v>135505</v>
      </c>
      <c r="I188" s="16">
        <f>IFERROR(VLOOKUP($C188,[1]dados_2023!$C$3:$H$357,4,0),"-")</f>
        <v>7545</v>
      </c>
      <c r="J188" s="16">
        <f>IFERROR(VLOOKUP($C188,[1]dados_2023!$C$3:$H$357,6,0),"-")</f>
        <v>17605</v>
      </c>
    </row>
    <row r="189" spans="1:10" ht="18" customHeight="1" x14ac:dyDescent="0.3">
      <c r="A189" s="11">
        <v>5</v>
      </c>
      <c r="B189" s="12" t="s">
        <v>291</v>
      </c>
      <c r="C189" s="13">
        <v>1159587</v>
      </c>
      <c r="D189" s="14" t="s">
        <v>292</v>
      </c>
      <c r="E189" s="15">
        <v>2883.2000000000007</v>
      </c>
      <c r="F189" s="15">
        <f t="shared" si="8"/>
        <v>35741.000000000007</v>
      </c>
      <c r="G189" s="15">
        <v>9152.6</v>
      </c>
      <c r="H189" s="15">
        <f t="shared" si="9"/>
        <v>107647</v>
      </c>
      <c r="I189" s="16">
        <f>IFERROR(VLOOKUP($C189,[1]dados_2023!$C$3:$H$357,4,0),"-")</f>
        <v>6909</v>
      </c>
      <c r="J189" s="16">
        <f>IFERROR(VLOOKUP($C189,[1]dados_2023!$C$3:$H$357,6,0),"-")</f>
        <v>16121</v>
      </c>
    </row>
    <row r="190" spans="1:10" ht="18" customHeight="1" x14ac:dyDescent="0.3">
      <c r="A190" s="11">
        <v>5</v>
      </c>
      <c r="B190" s="12" t="s">
        <v>291</v>
      </c>
      <c r="C190" s="13">
        <v>1159617</v>
      </c>
      <c r="D190" s="14" t="s">
        <v>293</v>
      </c>
      <c r="E190" s="15">
        <v>5775.8</v>
      </c>
      <c r="F190" s="15">
        <f t="shared" si="8"/>
        <v>77939</v>
      </c>
      <c r="G190" s="15">
        <v>22423</v>
      </c>
      <c r="H190" s="15">
        <f t="shared" si="9"/>
        <v>271319</v>
      </c>
      <c r="I190" s="16">
        <f>IFERROR(VLOOKUP($C190,[1]dados_2023!$C$3:$H$357,4,0),"-")</f>
        <v>20181</v>
      </c>
      <c r="J190" s="16">
        <f>IFERROR(VLOOKUP($C190,[1]dados_2023!$C$3:$H$357,6,0),"-")</f>
        <v>47089</v>
      </c>
    </row>
    <row r="191" spans="1:10" ht="18" customHeight="1" x14ac:dyDescent="0.3">
      <c r="A191" s="11">
        <v>5</v>
      </c>
      <c r="B191" s="12" t="s">
        <v>294</v>
      </c>
      <c r="C191" s="13">
        <v>1177077</v>
      </c>
      <c r="D191" s="14" t="s">
        <v>295</v>
      </c>
      <c r="E191" s="15">
        <v>4192.8</v>
      </c>
      <c r="F191" s="15">
        <f t="shared" si="8"/>
        <v>58491</v>
      </c>
      <c r="G191" s="15">
        <v>15650.800000000003</v>
      </c>
      <c r="H191" s="15">
        <f t="shared" si="9"/>
        <v>195155.00000000003</v>
      </c>
      <c r="I191" s="16">
        <f>IFERROR(VLOOKUP($C191,[1]dados_2023!$C$3:$H$357,4,0),"-")</f>
        <v>16563</v>
      </c>
      <c r="J191" s="16">
        <f>IFERROR(VLOOKUP($C191,[1]dados_2023!$C$3:$H$357,6,0),"-")</f>
        <v>38647</v>
      </c>
    </row>
    <row r="192" spans="1:10" ht="18" customHeight="1" x14ac:dyDescent="0.3">
      <c r="A192" s="11">
        <v>5</v>
      </c>
      <c r="B192" s="12" t="s">
        <v>296</v>
      </c>
      <c r="C192" s="13">
        <v>1177004</v>
      </c>
      <c r="D192" s="14" t="s">
        <v>297</v>
      </c>
      <c r="E192" s="15">
        <v>4298.3999999999996</v>
      </c>
      <c r="F192" s="15">
        <f t="shared" si="8"/>
        <v>60321</v>
      </c>
      <c r="G192" s="15">
        <v>19774.800000000003</v>
      </c>
      <c r="H192" s="15">
        <f t="shared" si="9"/>
        <v>238201.00000000003</v>
      </c>
      <c r="I192" s="16">
        <f>IFERROR(VLOOKUP($C192,[1]dados_2023!$C$3:$H$357,4,0),"-")</f>
        <v>17337</v>
      </c>
      <c r="J192" s="16">
        <f>IFERROR(VLOOKUP($C192,[1]dados_2023!$C$3:$H$357,6,0),"-")</f>
        <v>40453</v>
      </c>
    </row>
    <row r="193" spans="1:10" ht="18" customHeight="1" x14ac:dyDescent="0.3">
      <c r="A193" s="11">
        <v>5</v>
      </c>
      <c r="B193" s="12" t="s">
        <v>298</v>
      </c>
      <c r="C193" s="13">
        <v>1170912</v>
      </c>
      <c r="D193" s="14" t="s">
        <v>299</v>
      </c>
      <c r="E193" s="15">
        <v>4253.4000000000005</v>
      </c>
      <c r="F193" s="15">
        <f t="shared" si="8"/>
        <v>55872.000000000007</v>
      </c>
      <c r="G193" s="15">
        <v>14028.400000000001</v>
      </c>
      <c r="H193" s="15">
        <f t="shared" si="9"/>
        <v>171406</v>
      </c>
      <c r="I193" s="16">
        <f>IFERROR(VLOOKUP($C193,[1]dados_2023!$C$3:$H$357,4,0),"-")</f>
        <v>13338</v>
      </c>
      <c r="J193" s="16">
        <f>IFERROR(VLOOKUP($C193,[1]dados_2023!$C$3:$H$357,6,0),"-")</f>
        <v>31122</v>
      </c>
    </row>
    <row r="194" spans="1:10" ht="18" customHeight="1" x14ac:dyDescent="0.3">
      <c r="A194" s="11">
        <v>5</v>
      </c>
      <c r="B194" s="12" t="s">
        <v>300</v>
      </c>
      <c r="C194" s="13">
        <v>1112777</v>
      </c>
      <c r="D194" s="14" t="s">
        <v>301</v>
      </c>
      <c r="E194" s="15">
        <v>8761</v>
      </c>
      <c r="F194" s="15">
        <f t="shared" si="8"/>
        <v>127678</v>
      </c>
      <c r="G194" s="15">
        <v>36587.000000000007</v>
      </c>
      <c r="H194" s="15">
        <f t="shared" si="9"/>
        <v>459362.00000000006</v>
      </c>
      <c r="I194" s="16">
        <f>IFERROR(VLOOKUP($C194,[1]dados_2023!$C$3:$H$357,4,0),"-")</f>
        <v>40068</v>
      </c>
      <c r="J194" s="16">
        <f>IFERROR(VLOOKUP($C194,[1]dados_2023!$C$3:$H$357,6,0),"-")</f>
        <v>93492</v>
      </c>
    </row>
    <row r="195" spans="1:10" ht="18" customHeight="1" x14ac:dyDescent="0.3">
      <c r="A195" s="11">
        <v>5</v>
      </c>
      <c r="B195" s="12" t="s">
        <v>302</v>
      </c>
      <c r="C195" s="13">
        <v>1139136</v>
      </c>
      <c r="D195" s="14" t="s">
        <v>303</v>
      </c>
      <c r="E195" s="15">
        <v>8577</v>
      </c>
      <c r="F195" s="15">
        <f t="shared" si="8"/>
        <v>124365</v>
      </c>
      <c r="G195" s="15">
        <v>37725</v>
      </c>
      <c r="H195" s="15">
        <f t="shared" si="9"/>
        <v>467305</v>
      </c>
      <c r="I195" s="16">
        <f>IFERROR(VLOOKUP($C195,[1]dados_2023!$C$3:$H$357,4,0),"-")</f>
        <v>38595</v>
      </c>
      <c r="J195" s="16">
        <f>IFERROR(VLOOKUP($C195,[1]dados_2023!$C$3:$H$357,6,0),"-")</f>
        <v>90055</v>
      </c>
    </row>
    <row r="196" spans="1:10" ht="18" customHeight="1" x14ac:dyDescent="0.3">
      <c r="A196" s="11">
        <v>5</v>
      </c>
      <c r="B196" s="12" t="s">
        <v>304</v>
      </c>
      <c r="C196" s="13">
        <v>1159790</v>
      </c>
      <c r="D196" s="14" t="s">
        <v>305</v>
      </c>
      <c r="E196" s="15">
        <v>7947</v>
      </c>
      <c r="F196" s="15">
        <f t="shared" si="8"/>
        <v>118155</v>
      </c>
      <c r="G196" s="15">
        <v>31096.600000000002</v>
      </c>
      <c r="H196" s="15">
        <f t="shared" si="9"/>
        <v>401231</v>
      </c>
      <c r="I196" s="16">
        <f>IFERROR(VLOOKUP($C196,[1]dados_2023!$C$3:$H$357,4,0),"-")</f>
        <v>38685</v>
      </c>
      <c r="J196" s="16">
        <f>IFERROR(VLOOKUP($C196,[1]dados_2023!$C$3:$H$357,6,0),"-")</f>
        <v>90265</v>
      </c>
    </row>
    <row r="197" spans="1:10" ht="18" customHeight="1" x14ac:dyDescent="0.3">
      <c r="A197" s="11">
        <v>5</v>
      </c>
      <c r="B197" s="12" t="s">
        <v>304</v>
      </c>
      <c r="C197" s="13">
        <v>1179595</v>
      </c>
      <c r="D197" s="14" t="s">
        <v>306</v>
      </c>
      <c r="E197" s="15">
        <v>4830.6000000000004</v>
      </c>
      <c r="F197" s="15">
        <f t="shared" si="8"/>
        <v>59250</v>
      </c>
      <c r="G197" s="15">
        <v>16989.2</v>
      </c>
      <c r="H197" s="15">
        <f t="shared" si="9"/>
        <v>195428</v>
      </c>
      <c r="I197" s="16">
        <f>IFERROR(VLOOKUP($C197,[1]dados_2023!$C$3:$H$357,4,0),"-")</f>
        <v>10944</v>
      </c>
      <c r="J197" s="16">
        <f>IFERROR(VLOOKUP($C197,[1]dados_2023!$C$3:$H$357,6,0),"-")</f>
        <v>25536</v>
      </c>
    </row>
    <row r="198" spans="1:10" ht="18" customHeight="1" x14ac:dyDescent="0.3">
      <c r="A198" s="11">
        <v>5</v>
      </c>
      <c r="B198" s="12" t="s">
        <v>239</v>
      </c>
      <c r="C198" s="13">
        <v>1178186</v>
      </c>
      <c r="D198" s="14" t="s">
        <v>307</v>
      </c>
      <c r="E198" s="15">
        <v>4269.6000000000004</v>
      </c>
      <c r="F198" s="15">
        <f t="shared" ref="F198:F261" si="10">E198*10</f>
        <v>42696</v>
      </c>
      <c r="G198" s="15">
        <v>9698.4</v>
      </c>
      <c r="H198" s="15">
        <f t="shared" ref="H198:H261" si="11">G198*10</f>
        <v>96984</v>
      </c>
      <c r="I198" s="16" t="str">
        <f>IFERROR(VLOOKUP($C198,[1]dados_2023!$C$3:$H$357,4,0),"-")</f>
        <v>-</v>
      </c>
      <c r="J198" s="16" t="str">
        <f>IFERROR(VLOOKUP($C198,[1]dados_2023!$C$3:$H$357,6,0),"-")</f>
        <v>-</v>
      </c>
    </row>
    <row r="199" spans="1:10" ht="18" customHeight="1" x14ac:dyDescent="0.3">
      <c r="A199" s="11">
        <v>5</v>
      </c>
      <c r="B199" s="12" t="s">
        <v>253</v>
      </c>
      <c r="C199" s="13">
        <v>1179628</v>
      </c>
      <c r="D199" s="14" t="s">
        <v>308</v>
      </c>
      <c r="E199" s="15">
        <v>11902.4</v>
      </c>
      <c r="F199" s="15">
        <f t="shared" ref="F199:F204" si="12">E199*10+I199</f>
        <v>143555</v>
      </c>
      <c r="G199" s="15">
        <v>25742.400000000001</v>
      </c>
      <c r="H199" s="15">
        <f t="shared" ref="H199:H204" si="13">G199*10+J199</f>
        <v>314663</v>
      </c>
      <c r="I199" s="16">
        <f>IFERROR(VLOOKUP($C199,[1]dados_2023!$C$3:$H$357,4,0),"-")</f>
        <v>24531</v>
      </c>
      <c r="J199" s="16">
        <f>IFERROR(VLOOKUP($C199,[1]dados_2023!$C$3:$H$357,6,0),"-")</f>
        <v>57239</v>
      </c>
    </row>
    <row r="200" spans="1:10" ht="18" customHeight="1" x14ac:dyDescent="0.3">
      <c r="A200" s="11">
        <v>5</v>
      </c>
      <c r="B200" s="12" t="s">
        <v>253</v>
      </c>
      <c r="C200" s="13">
        <v>1179275</v>
      </c>
      <c r="D200" s="14" t="s">
        <v>309</v>
      </c>
      <c r="E200" s="15">
        <v>6174.8</v>
      </c>
      <c r="F200" s="15">
        <f t="shared" si="12"/>
        <v>78572</v>
      </c>
      <c r="G200" s="15">
        <v>13354.8</v>
      </c>
      <c r="H200" s="15">
        <f t="shared" si="13"/>
        <v>172804</v>
      </c>
      <c r="I200" s="16">
        <f>IFERROR(VLOOKUP($C200,[1]dados_2023!$C$3:$H$357,4,0),"-")</f>
        <v>16824</v>
      </c>
      <c r="J200" s="16">
        <f>IFERROR(VLOOKUP($C200,[1]dados_2023!$C$3:$H$357,6,0),"-")</f>
        <v>39256</v>
      </c>
    </row>
    <row r="201" spans="1:10" ht="18" customHeight="1" x14ac:dyDescent="0.3">
      <c r="A201" s="11">
        <v>5</v>
      </c>
      <c r="B201" s="12" t="s">
        <v>253</v>
      </c>
      <c r="C201" s="13">
        <v>1178075</v>
      </c>
      <c r="D201" s="14" t="s">
        <v>310</v>
      </c>
      <c r="E201" s="15">
        <v>11300.399999999998</v>
      </c>
      <c r="F201" s="15">
        <f t="shared" si="12"/>
        <v>137996.99999999997</v>
      </c>
      <c r="G201" s="15">
        <v>24440.400000000001</v>
      </c>
      <c r="H201" s="15">
        <f t="shared" si="13"/>
        <v>302721</v>
      </c>
      <c r="I201" s="16">
        <f>IFERROR(VLOOKUP($C201,[1]dados_2023!$C$3:$H$357,4,0),"-")</f>
        <v>24993</v>
      </c>
      <c r="J201" s="16">
        <f>IFERROR(VLOOKUP($C201,[1]dados_2023!$C$3:$H$357,6,0),"-")</f>
        <v>58317</v>
      </c>
    </row>
    <row r="202" spans="1:10" ht="18" customHeight="1" x14ac:dyDescent="0.3">
      <c r="A202" s="11">
        <v>5</v>
      </c>
      <c r="B202" s="12" t="s">
        <v>253</v>
      </c>
      <c r="C202" s="13">
        <v>1179622</v>
      </c>
      <c r="D202" s="14" t="s">
        <v>311</v>
      </c>
      <c r="E202" s="15">
        <v>4506.3999999999996</v>
      </c>
      <c r="F202" s="15">
        <f t="shared" si="12"/>
        <v>54946</v>
      </c>
      <c r="G202" s="15">
        <v>9746.4000000000015</v>
      </c>
      <c r="H202" s="15">
        <f t="shared" si="13"/>
        <v>120522.00000000001</v>
      </c>
      <c r="I202" s="16">
        <f>IFERROR(VLOOKUP($C202,[1]dados_2023!$C$3:$H$357,4,0),"-")</f>
        <v>9882</v>
      </c>
      <c r="J202" s="16">
        <f>IFERROR(VLOOKUP($C202,[1]dados_2023!$C$3:$H$357,6,0),"-")</f>
        <v>23058</v>
      </c>
    </row>
    <row r="203" spans="1:10" ht="18" customHeight="1" x14ac:dyDescent="0.3">
      <c r="A203" s="11">
        <v>5</v>
      </c>
      <c r="B203" s="12" t="s">
        <v>294</v>
      </c>
      <c r="C203" s="13">
        <v>1177011</v>
      </c>
      <c r="D203" s="14" t="s">
        <v>312</v>
      </c>
      <c r="E203" s="15">
        <v>7924.8</v>
      </c>
      <c r="F203" s="15">
        <f t="shared" si="12"/>
        <v>107361</v>
      </c>
      <c r="G203" s="15">
        <v>17294.400000000001</v>
      </c>
      <c r="H203" s="15">
        <f t="shared" si="13"/>
        <v>238541</v>
      </c>
      <c r="I203" s="16">
        <f>IFERROR(VLOOKUP($C203,[1]dados_2023!$C$3:$H$357,4,0),"-")</f>
        <v>28113</v>
      </c>
      <c r="J203" s="16">
        <f>IFERROR(VLOOKUP($C203,[1]dados_2023!$C$3:$H$357,6,0),"-")</f>
        <v>65597</v>
      </c>
    </row>
    <row r="204" spans="1:10" ht="18" customHeight="1" x14ac:dyDescent="0.3">
      <c r="A204" s="11">
        <v>5</v>
      </c>
      <c r="B204" s="12" t="s">
        <v>288</v>
      </c>
      <c r="C204" s="13">
        <v>1159668</v>
      </c>
      <c r="D204" s="14" t="s">
        <v>313</v>
      </c>
      <c r="E204" s="15">
        <v>6794</v>
      </c>
      <c r="F204" s="15">
        <f t="shared" si="12"/>
        <v>85277</v>
      </c>
      <c r="G204" s="15">
        <v>14694</v>
      </c>
      <c r="H204" s="15">
        <f t="shared" si="13"/>
        <v>187393</v>
      </c>
      <c r="I204" s="16">
        <f>IFERROR(VLOOKUP($C204,[1]dados_2023!$C$3:$H$357,4,0),"-")</f>
        <v>17337</v>
      </c>
      <c r="J204" s="16">
        <f>IFERROR(VLOOKUP($C204,[1]dados_2023!$C$3:$H$357,6,0),"-")</f>
        <v>40453</v>
      </c>
    </row>
    <row r="205" spans="1:10" ht="18" customHeight="1" x14ac:dyDescent="0.3">
      <c r="A205" s="11">
        <v>5</v>
      </c>
      <c r="B205" s="12" t="s">
        <v>265</v>
      </c>
      <c r="C205" s="13">
        <v>1146698</v>
      </c>
      <c r="D205" s="14" t="s">
        <v>314</v>
      </c>
      <c r="E205" s="23">
        <v>2584.0000000000005</v>
      </c>
      <c r="F205" s="15">
        <f t="shared" si="10"/>
        <v>25840.000000000004</v>
      </c>
      <c r="G205" s="23">
        <v>7486</v>
      </c>
      <c r="H205" s="15">
        <f t="shared" si="11"/>
        <v>74860</v>
      </c>
      <c r="I205" s="16" t="str">
        <f>IFERROR(VLOOKUP($C205,[1]dados_2023!$C$3:$H$357,4,0),"-")</f>
        <v>-</v>
      </c>
      <c r="J205" s="16" t="str">
        <f>IFERROR(VLOOKUP($C205,[1]dados_2023!$C$3:$H$357,6,0),"-")</f>
        <v>-</v>
      </c>
    </row>
    <row r="206" spans="1:10" ht="18" customHeight="1" x14ac:dyDescent="0.3">
      <c r="A206" s="11">
        <v>6</v>
      </c>
      <c r="B206" s="12" t="s">
        <v>315</v>
      </c>
      <c r="C206" s="13">
        <v>1108966</v>
      </c>
      <c r="D206" s="14" t="s">
        <v>316</v>
      </c>
      <c r="E206" s="15">
        <v>5156.2</v>
      </c>
      <c r="F206" s="15">
        <f t="shared" si="10"/>
        <v>51562</v>
      </c>
      <c r="G206" s="15">
        <v>19303.200000000004</v>
      </c>
      <c r="H206" s="15">
        <f t="shared" si="11"/>
        <v>193032.00000000006</v>
      </c>
      <c r="I206" s="16" t="str">
        <f>IFERROR(VLOOKUP($C206,[1]dados_2023!$C$3:$H$357,4,0),"-")</f>
        <v>-</v>
      </c>
      <c r="J206" s="16" t="str">
        <f>IFERROR(VLOOKUP($C206,[1]dados_2023!$C$3:$H$357,6,0),"-")</f>
        <v>-</v>
      </c>
    </row>
    <row r="207" spans="1:10" ht="18" customHeight="1" x14ac:dyDescent="0.3">
      <c r="A207" s="11">
        <v>6</v>
      </c>
      <c r="B207" s="12" t="s">
        <v>317</v>
      </c>
      <c r="C207" s="13">
        <v>1110049</v>
      </c>
      <c r="D207" s="14" t="s">
        <v>318</v>
      </c>
      <c r="E207" s="15">
        <v>16074.800000000001</v>
      </c>
      <c r="F207" s="15">
        <f t="shared" si="10"/>
        <v>160748</v>
      </c>
      <c r="G207" s="15">
        <v>65965.2</v>
      </c>
      <c r="H207" s="15">
        <f t="shared" si="11"/>
        <v>659652</v>
      </c>
      <c r="I207" s="16" t="str">
        <f>IFERROR(VLOOKUP($C207,[1]dados_2023!$C$3:$H$357,4,0),"-")</f>
        <v>-</v>
      </c>
      <c r="J207" s="16" t="str">
        <f>IFERROR(VLOOKUP($C207,[1]dados_2023!$C$3:$H$357,6,0),"-")</f>
        <v>-</v>
      </c>
    </row>
    <row r="208" spans="1:10" ht="18" customHeight="1" x14ac:dyDescent="0.3">
      <c r="A208" s="11">
        <v>6</v>
      </c>
      <c r="B208" s="12" t="s">
        <v>319</v>
      </c>
      <c r="C208" s="13">
        <v>1110111</v>
      </c>
      <c r="D208" s="14" t="s">
        <v>320</v>
      </c>
      <c r="E208" s="15">
        <v>9690</v>
      </c>
      <c r="F208" s="15">
        <f t="shared" si="10"/>
        <v>96900</v>
      </c>
      <c r="G208" s="15">
        <v>41473.200000000004</v>
      </c>
      <c r="H208" s="15">
        <f t="shared" si="11"/>
        <v>414732.00000000006</v>
      </c>
      <c r="I208" s="16" t="str">
        <f>IFERROR(VLOOKUP($C208,[1]dados_2023!$C$3:$H$357,4,0),"-")</f>
        <v>-</v>
      </c>
      <c r="J208" s="16" t="str">
        <f>IFERROR(VLOOKUP($C208,[1]dados_2023!$C$3:$H$357,6,0),"-")</f>
        <v>-</v>
      </c>
    </row>
    <row r="209" spans="1:10" ht="18" customHeight="1" x14ac:dyDescent="0.3">
      <c r="A209" s="11">
        <v>6</v>
      </c>
      <c r="B209" s="12" t="s">
        <v>319</v>
      </c>
      <c r="C209" s="13">
        <v>1109814</v>
      </c>
      <c r="D209" s="14" t="s">
        <v>321</v>
      </c>
      <c r="E209" s="15">
        <v>12381.600000000002</v>
      </c>
      <c r="F209" s="15">
        <f t="shared" si="10"/>
        <v>123816.00000000003</v>
      </c>
      <c r="G209" s="15">
        <v>48002.600000000006</v>
      </c>
      <c r="H209" s="15">
        <f t="shared" si="11"/>
        <v>480026.00000000006</v>
      </c>
      <c r="I209" s="16" t="str">
        <f>IFERROR(VLOOKUP($C209,[1]dados_2023!$C$3:$H$357,4,0),"-")</f>
        <v>-</v>
      </c>
      <c r="J209" s="16" t="str">
        <f>IFERROR(VLOOKUP($C209,[1]dados_2023!$C$3:$H$357,6,0),"-")</f>
        <v>-</v>
      </c>
    </row>
    <row r="210" spans="1:10" ht="18" customHeight="1" x14ac:dyDescent="0.3">
      <c r="A210" s="11">
        <v>6</v>
      </c>
      <c r="B210" s="12" t="s">
        <v>322</v>
      </c>
      <c r="C210" s="13">
        <v>1179138</v>
      </c>
      <c r="D210" s="14" t="s">
        <v>323</v>
      </c>
      <c r="E210" s="15">
        <v>4003.6</v>
      </c>
      <c r="F210" s="15">
        <f t="shared" si="10"/>
        <v>40036</v>
      </c>
      <c r="G210" s="15">
        <v>18394</v>
      </c>
      <c r="H210" s="15">
        <f t="shared" si="11"/>
        <v>183940</v>
      </c>
      <c r="I210" s="16" t="str">
        <f>IFERROR(VLOOKUP($C210,[1]dados_2023!$C$3:$H$357,4,0),"-")</f>
        <v>-</v>
      </c>
      <c r="J210" s="16" t="str">
        <f>IFERROR(VLOOKUP($C210,[1]dados_2023!$C$3:$H$357,6,0),"-")</f>
        <v>-</v>
      </c>
    </row>
    <row r="211" spans="1:10" ht="18" customHeight="1" x14ac:dyDescent="0.3">
      <c r="A211" s="11">
        <v>6</v>
      </c>
      <c r="B211" s="12" t="s">
        <v>322</v>
      </c>
      <c r="C211" s="13">
        <v>1178010</v>
      </c>
      <c r="D211" s="14" t="s">
        <v>324</v>
      </c>
      <c r="E211" s="15">
        <v>9321.6</v>
      </c>
      <c r="F211" s="15">
        <f t="shared" si="10"/>
        <v>93216</v>
      </c>
      <c r="G211" s="15">
        <v>29730.6</v>
      </c>
      <c r="H211" s="15">
        <f t="shared" si="11"/>
        <v>297306</v>
      </c>
      <c r="I211" s="16" t="str">
        <f>IFERROR(VLOOKUP($C211,[1]dados_2023!$C$3:$H$357,4,0),"-")</f>
        <v>-</v>
      </c>
      <c r="J211" s="16" t="str">
        <f>IFERROR(VLOOKUP($C211,[1]dados_2023!$C$3:$H$357,6,0),"-")</f>
        <v>-</v>
      </c>
    </row>
    <row r="212" spans="1:10" ht="18" customHeight="1" x14ac:dyDescent="0.3">
      <c r="A212" s="11">
        <v>6</v>
      </c>
      <c r="B212" s="12" t="s">
        <v>325</v>
      </c>
      <c r="C212" s="13">
        <v>1178082</v>
      </c>
      <c r="D212" s="14" t="s">
        <v>326</v>
      </c>
      <c r="E212" s="15">
        <v>4417.8</v>
      </c>
      <c r="F212" s="15">
        <f t="shared" si="10"/>
        <v>44178</v>
      </c>
      <c r="G212" s="15">
        <v>16401.2</v>
      </c>
      <c r="H212" s="15">
        <f t="shared" si="11"/>
        <v>164012</v>
      </c>
      <c r="I212" s="16" t="str">
        <f>IFERROR(VLOOKUP($C212,[1]dados_2023!$C$3:$H$357,4,0),"-")</f>
        <v>-</v>
      </c>
      <c r="J212" s="16" t="str">
        <f>IFERROR(VLOOKUP($C212,[1]dados_2023!$C$3:$H$357,6,0),"-")</f>
        <v>-</v>
      </c>
    </row>
    <row r="213" spans="1:10" ht="18" customHeight="1" x14ac:dyDescent="0.3">
      <c r="A213" s="11">
        <v>6</v>
      </c>
      <c r="B213" s="12" t="s">
        <v>327</v>
      </c>
      <c r="C213" s="13">
        <v>1110251</v>
      </c>
      <c r="D213" s="14" t="s">
        <v>328</v>
      </c>
      <c r="E213" s="15">
        <v>8741.7999999999993</v>
      </c>
      <c r="F213" s="15">
        <f t="shared" si="10"/>
        <v>87418</v>
      </c>
      <c r="G213" s="15">
        <v>37863</v>
      </c>
      <c r="H213" s="15">
        <f t="shared" si="11"/>
        <v>378630</v>
      </c>
      <c r="I213" s="16" t="str">
        <f>IFERROR(VLOOKUP($C213,[1]dados_2023!$C$3:$H$357,4,0),"-")</f>
        <v>-</v>
      </c>
      <c r="J213" s="16" t="str">
        <f>IFERROR(VLOOKUP($C213,[1]dados_2023!$C$3:$H$357,6,0),"-")</f>
        <v>-</v>
      </c>
    </row>
    <row r="214" spans="1:10" ht="18" customHeight="1" x14ac:dyDescent="0.3">
      <c r="A214" s="11">
        <v>6</v>
      </c>
      <c r="B214" s="12" t="s">
        <v>329</v>
      </c>
      <c r="C214" s="13">
        <v>1109229</v>
      </c>
      <c r="D214" s="14" t="s">
        <v>330</v>
      </c>
      <c r="E214" s="15">
        <v>6639.8</v>
      </c>
      <c r="F214" s="15">
        <f t="shared" si="10"/>
        <v>66398</v>
      </c>
      <c r="G214" s="15">
        <v>24716.800000000003</v>
      </c>
      <c r="H214" s="15">
        <f t="shared" si="11"/>
        <v>247168.00000000003</v>
      </c>
      <c r="I214" s="16" t="str">
        <f>IFERROR(VLOOKUP($C214,[1]dados_2023!$C$3:$H$357,4,0),"-")</f>
        <v>-</v>
      </c>
      <c r="J214" s="16" t="str">
        <f>IFERROR(VLOOKUP($C214,[1]dados_2023!$C$3:$H$357,6,0),"-")</f>
        <v>-</v>
      </c>
    </row>
    <row r="215" spans="1:10" ht="18" customHeight="1" x14ac:dyDescent="0.3">
      <c r="A215" s="11">
        <v>6</v>
      </c>
      <c r="B215" s="12" t="s">
        <v>331</v>
      </c>
      <c r="C215" s="13">
        <v>1110499</v>
      </c>
      <c r="D215" s="14" t="s">
        <v>332</v>
      </c>
      <c r="E215" s="15">
        <v>8017.8000000000011</v>
      </c>
      <c r="F215" s="15">
        <f t="shared" si="10"/>
        <v>80178.000000000015</v>
      </c>
      <c r="G215" s="15">
        <v>28169.8</v>
      </c>
      <c r="H215" s="15">
        <f t="shared" si="11"/>
        <v>281698</v>
      </c>
      <c r="I215" s="16" t="str">
        <f>IFERROR(VLOOKUP($C215,[1]dados_2023!$C$3:$H$357,4,0),"-")</f>
        <v>-</v>
      </c>
      <c r="J215" s="16" t="str">
        <f>IFERROR(VLOOKUP($C215,[1]dados_2023!$C$3:$H$357,6,0),"-")</f>
        <v>-</v>
      </c>
    </row>
    <row r="216" spans="1:10" ht="18" customHeight="1" x14ac:dyDescent="0.3">
      <c r="A216" s="11">
        <v>6</v>
      </c>
      <c r="B216" s="12" t="s">
        <v>333</v>
      </c>
      <c r="C216" s="13">
        <v>1158270</v>
      </c>
      <c r="D216" s="14" t="s">
        <v>334</v>
      </c>
      <c r="E216" s="15">
        <v>4374.8</v>
      </c>
      <c r="F216" s="15">
        <f t="shared" si="10"/>
        <v>43748</v>
      </c>
      <c r="G216" s="15">
        <v>17629.400000000001</v>
      </c>
      <c r="H216" s="15">
        <f t="shared" si="11"/>
        <v>176294</v>
      </c>
      <c r="I216" s="16" t="str">
        <f>IFERROR(VLOOKUP($C216,[1]dados_2023!$C$3:$H$357,4,0),"-")</f>
        <v>-</v>
      </c>
      <c r="J216" s="16" t="str">
        <f>IFERROR(VLOOKUP($C216,[1]dados_2023!$C$3:$H$357,6,0),"-")</f>
        <v>-</v>
      </c>
    </row>
    <row r="217" spans="1:10" ht="18" customHeight="1" x14ac:dyDescent="0.3">
      <c r="A217" s="11">
        <v>6</v>
      </c>
      <c r="B217" s="12" t="s">
        <v>335</v>
      </c>
      <c r="C217" s="13">
        <v>1178081</v>
      </c>
      <c r="D217" s="14" t="s">
        <v>336</v>
      </c>
      <c r="E217" s="15">
        <v>12776</v>
      </c>
      <c r="F217" s="15">
        <f t="shared" si="10"/>
        <v>127760</v>
      </c>
      <c r="G217" s="15">
        <v>56637.2</v>
      </c>
      <c r="H217" s="15">
        <f t="shared" si="11"/>
        <v>566372</v>
      </c>
      <c r="I217" s="16" t="str">
        <f>IFERROR(VLOOKUP($C217,[1]dados_2023!$C$3:$H$357,4,0),"-")</f>
        <v>-</v>
      </c>
      <c r="J217" s="16" t="str">
        <f>IFERROR(VLOOKUP($C217,[1]dados_2023!$C$3:$H$357,6,0),"-")</f>
        <v>-</v>
      </c>
    </row>
    <row r="218" spans="1:10" ht="18" customHeight="1" x14ac:dyDescent="0.3">
      <c r="A218" s="11">
        <v>6</v>
      </c>
      <c r="B218" s="12" t="s">
        <v>337</v>
      </c>
      <c r="C218" s="13">
        <v>1117396</v>
      </c>
      <c r="D218" s="14" t="s">
        <v>338</v>
      </c>
      <c r="E218" s="15">
        <v>10402</v>
      </c>
      <c r="F218" s="15">
        <f t="shared" si="10"/>
        <v>104020</v>
      </c>
      <c r="G218" s="15">
        <v>35196.800000000003</v>
      </c>
      <c r="H218" s="15">
        <f t="shared" si="11"/>
        <v>351968</v>
      </c>
      <c r="I218" s="16" t="str">
        <f>IFERROR(VLOOKUP($C218,[1]dados_2023!$C$3:$H$357,4,0),"-")</f>
        <v>-</v>
      </c>
      <c r="J218" s="16" t="str">
        <f>IFERROR(VLOOKUP($C218,[1]dados_2023!$C$3:$H$357,6,0),"-")</f>
        <v>-</v>
      </c>
    </row>
    <row r="219" spans="1:10" ht="18" customHeight="1" x14ac:dyDescent="0.3">
      <c r="A219" s="11">
        <v>6</v>
      </c>
      <c r="B219" s="12" t="s">
        <v>339</v>
      </c>
      <c r="C219" s="13">
        <v>1110677</v>
      </c>
      <c r="D219" s="14" t="s">
        <v>340</v>
      </c>
      <c r="E219" s="15">
        <v>7025.4000000000005</v>
      </c>
      <c r="F219" s="15">
        <f t="shared" si="10"/>
        <v>70254</v>
      </c>
      <c r="G219" s="15">
        <v>25747.8</v>
      </c>
      <c r="H219" s="15">
        <f t="shared" si="11"/>
        <v>257478</v>
      </c>
      <c r="I219" s="16" t="str">
        <f>IFERROR(VLOOKUP($C219,[1]dados_2023!$C$3:$H$357,4,0),"-")</f>
        <v>-</v>
      </c>
      <c r="J219" s="16" t="str">
        <f>IFERROR(VLOOKUP($C219,[1]dados_2023!$C$3:$H$357,6,0),"-")</f>
        <v>-</v>
      </c>
    </row>
    <row r="220" spans="1:10" ht="18" customHeight="1" x14ac:dyDescent="0.3">
      <c r="A220" s="11">
        <v>6</v>
      </c>
      <c r="B220" s="12" t="s">
        <v>341</v>
      </c>
      <c r="C220" s="13">
        <v>1111070</v>
      </c>
      <c r="D220" s="14" t="s">
        <v>342</v>
      </c>
      <c r="E220" s="15">
        <v>13770</v>
      </c>
      <c r="F220" s="15">
        <f t="shared" si="10"/>
        <v>137700</v>
      </c>
      <c r="G220" s="15">
        <v>58935.600000000006</v>
      </c>
      <c r="H220" s="15">
        <f t="shared" si="11"/>
        <v>589356</v>
      </c>
      <c r="I220" s="16" t="str">
        <f>IFERROR(VLOOKUP($C220,[1]dados_2023!$C$3:$H$357,4,0),"-")</f>
        <v>-</v>
      </c>
      <c r="J220" s="16" t="str">
        <f>IFERROR(VLOOKUP($C220,[1]dados_2023!$C$3:$H$357,6,0),"-")</f>
        <v>-</v>
      </c>
    </row>
    <row r="221" spans="1:10" ht="18" customHeight="1" x14ac:dyDescent="0.3">
      <c r="A221" s="11">
        <v>6</v>
      </c>
      <c r="B221" s="12" t="s">
        <v>341</v>
      </c>
      <c r="C221" s="13">
        <v>1179284</v>
      </c>
      <c r="D221" s="14" t="s">
        <v>343</v>
      </c>
      <c r="E221" s="15">
        <v>7040</v>
      </c>
      <c r="F221" s="15">
        <f t="shared" si="10"/>
        <v>70400</v>
      </c>
      <c r="G221" s="15">
        <v>30131.200000000004</v>
      </c>
      <c r="H221" s="15">
        <f t="shared" si="11"/>
        <v>301312.00000000006</v>
      </c>
      <c r="I221" s="16" t="str">
        <f>IFERROR(VLOOKUP($C221,[1]dados_2023!$C$3:$H$357,4,0),"-")</f>
        <v>-</v>
      </c>
      <c r="J221" s="16" t="str">
        <f>IFERROR(VLOOKUP($C221,[1]dados_2023!$C$3:$H$357,6,0),"-")</f>
        <v>-</v>
      </c>
    </row>
    <row r="222" spans="1:10" ht="18" customHeight="1" x14ac:dyDescent="0.3">
      <c r="A222" s="11">
        <v>6</v>
      </c>
      <c r="B222" s="12" t="s">
        <v>341</v>
      </c>
      <c r="C222" s="13">
        <v>1179139</v>
      </c>
      <c r="D222" s="14" t="s">
        <v>344</v>
      </c>
      <c r="E222" s="15">
        <v>4331.2000000000007</v>
      </c>
      <c r="F222" s="15">
        <f t="shared" si="10"/>
        <v>43312.000000000007</v>
      </c>
      <c r="G222" s="15">
        <v>17360.599999999999</v>
      </c>
      <c r="H222" s="15">
        <f t="shared" si="11"/>
        <v>173606</v>
      </c>
      <c r="I222" s="16" t="str">
        <f>IFERROR(VLOOKUP($C222,[1]dados_2023!$C$3:$H$357,4,0),"-")</f>
        <v>-</v>
      </c>
      <c r="J222" s="16" t="str">
        <f>IFERROR(VLOOKUP($C222,[1]dados_2023!$C$3:$H$357,6,0),"-")</f>
        <v>-</v>
      </c>
    </row>
    <row r="223" spans="1:10" ht="18" customHeight="1" x14ac:dyDescent="0.3">
      <c r="A223" s="11">
        <v>6</v>
      </c>
      <c r="B223" s="12" t="s">
        <v>341</v>
      </c>
      <c r="C223" s="13">
        <v>1111045</v>
      </c>
      <c r="D223" s="14" t="s">
        <v>345</v>
      </c>
      <c r="E223" s="15">
        <v>9360.4</v>
      </c>
      <c r="F223" s="15">
        <f t="shared" si="10"/>
        <v>93604</v>
      </c>
      <c r="G223" s="15">
        <v>42305.8</v>
      </c>
      <c r="H223" s="15">
        <f t="shared" si="11"/>
        <v>423058</v>
      </c>
      <c r="I223" s="16" t="str">
        <f>IFERROR(VLOOKUP($C223,[1]dados_2023!$C$3:$H$357,4,0),"-")</f>
        <v>-</v>
      </c>
      <c r="J223" s="16" t="str">
        <f>IFERROR(VLOOKUP($C223,[1]dados_2023!$C$3:$H$357,6,0),"-")</f>
        <v>-</v>
      </c>
    </row>
    <row r="224" spans="1:10" ht="18" customHeight="1" x14ac:dyDescent="0.3">
      <c r="A224" s="11">
        <v>6</v>
      </c>
      <c r="B224" s="12" t="s">
        <v>341</v>
      </c>
      <c r="C224" s="13">
        <v>1178011</v>
      </c>
      <c r="D224" s="14" t="s">
        <v>346</v>
      </c>
      <c r="E224" s="15">
        <v>4163.6000000000004</v>
      </c>
      <c r="F224" s="15">
        <f t="shared" si="10"/>
        <v>41636</v>
      </c>
      <c r="G224" s="15">
        <v>16588.400000000001</v>
      </c>
      <c r="H224" s="15">
        <f t="shared" si="11"/>
        <v>165884</v>
      </c>
      <c r="I224" s="16" t="str">
        <f>IFERROR(VLOOKUP($C224,[1]dados_2023!$C$3:$H$357,4,0),"-")</f>
        <v>-</v>
      </c>
      <c r="J224" s="16" t="str">
        <f>IFERROR(VLOOKUP($C224,[1]dados_2023!$C$3:$H$357,6,0),"-")</f>
        <v>-</v>
      </c>
    </row>
    <row r="225" spans="1:10" ht="18" customHeight="1" x14ac:dyDescent="0.3">
      <c r="A225" s="11">
        <v>6</v>
      </c>
      <c r="B225" s="12" t="s">
        <v>347</v>
      </c>
      <c r="C225" s="13">
        <v>1110685</v>
      </c>
      <c r="D225" s="14" t="s">
        <v>348</v>
      </c>
      <c r="E225" s="15">
        <v>6746.4</v>
      </c>
      <c r="F225" s="15">
        <f t="shared" si="10"/>
        <v>67464</v>
      </c>
      <c r="G225" s="15">
        <v>27347.800000000003</v>
      </c>
      <c r="H225" s="15">
        <f t="shared" si="11"/>
        <v>273478</v>
      </c>
      <c r="I225" s="16" t="str">
        <f>IFERROR(VLOOKUP($C225,[1]dados_2023!$C$3:$H$357,4,0),"-")</f>
        <v>-</v>
      </c>
      <c r="J225" s="16" t="str">
        <f>IFERROR(VLOOKUP($C225,[1]dados_2023!$C$3:$H$357,6,0),"-")</f>
        <v>-</v>
      </c>
    </row>
    <row r="226" spans="1:10" ht="18" customHeight="1" x14ac:dyDescent="0.3">
      <c r="A226" s="11">
        <v>6</v>
      </c>
      <c r="B226" s="12" t="s">
        <v>349</v>
      </c>
      <c r="C226" s="13">
        <v>1142862</v>
      </c>
      <c r="D226" s="14" t="s">
        <v>350</v>
      </c>
      <c r="E226" s="15">
        <v>10007</v>
      </c>
      <c r="F226" s="15">
        <f t="shared" si="10"/>
        <v>100070</v>
      </c>
      <c r="G226" s="15">
        <v>22745.4</v>
      </c>
      <c r="H226" s="15">
        <f t="shared" si="11"/>
        <v>227454</v>
      </c>
      <c r="I226" s="16" t="str">
        <f>IFERROR(VLOOKUP($C226,[1]dados_2023!$C$3:$H$357,4,0),"-")</f>
        <v>-</v>
      </c>
      <c r="J226" s="16" t="str">
        <f>IFERROR(VLOOKUP($C226,[1]dados_2023!$C$3:$H$357,6,0),"-")</f>
        <v>-</v>
      </c>
    </row>
    <row r="227" spans="1:10" ht="18" customHeight="1" x14ac:dyDescent="0.3">
      <c r="A227" s="11">
        <v>6</v>
      </c>
      <c r="B227" s="12" t="s">
        <v>341</v>
      </c>
      <c r="C227" s="13">
        <v>1179311</v>
      </c>
      <c r="D227" s="14" t="s">
        <v>351</v>
      </c>
      <c r="E227" s="15">
        <v>1062</v>
      </c>
      <c r="F227" s="15">
        <f t="shared" si="10"/>
        <v>10620</v>
      </c>
      <c r="G227" s="15">
        <v>2451.6</v>
      </c>
      <c r="H227" s="15">
        <f t="shared" si="11"/>
        <v>24516</v>
      </c>
      <c r="I227" s="16" t="str">
        <f>IFERROR(VLOOKUP($C227,[1]dados_2023!$C$3:$H$357,4,0),"-")</f>
        <v>-</v>
      </c>
      <c r="J227" s="16" t="str">
        <f>IFERROR(VLOOKUP($C227,[1]dados_2023!$C$3:$H$357,6,0),"-")</f>
        <v>-</v>
      </c>
    </row>
    <row r="228" spans="1:10" ht="18" customHeight="1" x14ac:dyDescent="0.3">
      <c r="A228" s="11">
        <v>6</v>
      </c>
      <c r="B228" s="12" t="s">
        <v>341</v>
      </c>
      <c r="C228" s="13">
        <v>1179116</v>
      </c>
      <c r="D228" s="14" t="s">
        <v>352</v>
      </c>
      <c r="E228" s="15">
        <v>3314.8</v>
      </c>
      <c r="F228" s="15">
        <f t="shared" si="10"/>
        <v>33148</v>
      </c>
      <c r="G228" s="15">
        <v>7942.8000000000011</v>
      </c>
      <c r="H228" s="15">
        <f t="shared" si="11"/>
        <v>79428.000000000015</v>
      </c>
      <c r="I228" s="16" t="str">
        <f>IFERROR(VLOOKUP($C228,[1]dados_2023!$C$3:$H$357,4,0),"-")</f>
        <v>-</v>
      </c>
      <c r="J228" s="16" t="str">
        <f>IFERROR(VLOOKUP($C228,[1]dados_2023!$C$3:$H$357,6,0),"-")</f>
        <v>-</v>
      </c>
    </row>
    <row r="229" spans="1:10" ht="18" customHeight="1" x14ac:dyDescent="0.3">
      <c r="A229" s="11">
        <v>7</v>
      </c>
      <c r="B229" s="12" t="s">
        <v>353</v>
      </c>
      <c r="C229" s="13">
        <v>1178090</v>
      </c>
      <c r="D229" s="14" t="s">
        <v>354</v>
      </c>
      <c r="E229" s="15">
        <v>9761.8000000000011</v>
      </c>
      <c r="F229" s="15">
        <f t="shared" si="10"/>
        <v>97618.000000000015</v>
      </c>
      <c r="G229" s="15">
        <v>31904.600000000002</v>
      </c>
      <c r="H229" s="15">
        <f t="shared" si="11"/>
        <v>319046</v>
      </c>
      <c r="I229" s="16" t="str">
        <f>IFERROR(VLOOKUP($C229,[1]dados_2023!$C$3:$H$357,4,0),"-")</f>
        <v>-</v>
      </c>
      <c r="J229" s="16" t="str">
        <f>IFERROR(VLOOKUP($C229,[1]dados_2023!$C$3:$H$357,6,0),"-")</f>
        <v>-</v>
      </c>
    </row>
    <row r="230" spans="1:10" ht="18" customHeight="1" x14ac:dyDescent="0.3">
      <c r="A230" s="11">
        <v>7</v>
      </c>
      <c r="B230" s="12" t="s">
        <v>353</v>
      </c>
      <c r="C230" s="13">
        <v>1179279</v>
      </c>
      <c r="D230" s="14" t="s">
        <v>355</v>
      </c>
      <c r="E230" s="15">
        <v>2579.6</v>
      </c>
      <c r="F230" s="15">
        <f t="shared" si="10"/>
        <v>25796</v>
      </c>
      <c r="G230" s="15">
        <v>11704</v>
      </c>
      <c r="H230" s="15">
        <f t="shared" si="11"/>
        <v>117040</v>
      </c>
      <c r="I230" s="16" t="str">
        <f>IFERROR(VLOOKUP($C230,[1]dados_2023!$C$3:$H$357,4,0),"-")</f>
        <v>-</v>
      </c>
      <c r="J230" s="16" t="str">
        <f>IFERROR(VLOOKUP($C230,[1]dados_2023!$C$3:$H$357,6,0),"-")</f>
        <v>-</v>
      </c>
    </row>
    <row r="231" spans="1:10" ht="18" customHeight="1" x14ac:dyDescent="0.3">
      <c r="A231" s="11">
        <v>7</v>
      </c>
      <c r="B231" s="12" t="s">
        <v>356</v>
      </c>
      <c r="C231" s="13">
        <v>1113102</v>
      </c>
      <c r="D231" s="14" t="s">
        <v>357</v>
      </c>
      <c r="E231" s="15">
        <v>11479.6</v>
      </c>
      <c r="F231" s="15">
        <f t="shared" si="10"/>
        <v>114796</v>
      </c>
      <c r="G231" s="15">
        <v>43959.8</v>
      </c>
      <c r="H231" s="15">
        <f t="shared" si="11"/>
        <v>439598</v>
      </c>
      <c r="I231" s="16" t="str">
        <f>IFERROR(VLOOKUP($C231,[1]dados_2023!$C$3:$H$357,4,0),"-")</f>
        <v>-</v>
      </c>
      <c r="J231" s="16" t="str">
        <f>IFERROR(VLOOKUP($C231,[1]dados_2023!$C$3:$H$357,6,0),"-")</f>
        <v>-</v>
      </c>
    </row>
    <row r="232" spans="1:10" ht="18" customHeight="1" x14ac:dyDescent="0.3">
      <c r="A232" s="11">
        <v>7</v>
      </c>
      <c r="B232" s="12" t="s">
        <v>358</v>
      </c>
      <c r="C232" s="13">
        <v>1178216</v>
      </c>
      <c r="D232" s="14" t="s">
        <v>359</v>
      </c>
      <c r="E232" s="15">
        <v>3652.6</v>
      </c>
      <c r="F232" s="15">
        <f t="shared" si="10"/>
        <v>36526</v>
      </c>
      <c r="G232" s="15">
        <v>15998.8</v>
      </c>
      <c r="H232" s="15">
        <f t="shared" si="11"/>
        <v>159988</v>
      </c>
      <c r="I232" s="16" t="str">
        <f>IFERROR(VLOOKUP($C232,[1]dados_2023!$C$3:$H$357,4,0),"-")</f>
        <v>-</v>
      </c>
      <c r="J232" s="16" t="str">
        <f>IFERROR(VLOOKUP($C232,[1]dados_2023!$C$3:$H$357,6,0),"-")</f>
        <v>-</v>
      </c>
    </row>
    <row r="233" spans="1:10" ht="18" customHeight="1" x14ac:dyDescent="0.3">
      <c r="A233" s="11">
        <v>7</v>
      </c>
      <c r="B233" s="12" t="s">
        <v>360</v>
      </c>
      <c r="C233" s="13">
        <v>1178109</v>
      </c>
      <c r="D233" s="14" t="s">
        <v>361</v>
      </c>
      <c r="E233" s="15">
        <v>13428.2</v>
      </c>
      <c r="F233" s="15">
        <f t="shared" si="10"/>
        <v>134282</v>
      </c>
      <c r="G233" s="15">
        <v>48075.399999999994</v>
      </c>
      <c r="H233" s="15">
        <f t="shared" si="11"/>
        <v>480753.99999999994</v>
      </c>
      <c r="I233" s="16" t="str">
        <f>IFERROR(VLOOKUP($C233,[1]dados_2023!$C$3:$H$357,4,0),"-")</f>
        <v>-</v>
      </c>
      <c r="J233" s="16" t="str">
        <f>IFERROR(VLOOKUP($C233,[1]dados_2023!$C$3:$H$357,6,0),"-")</f>
        <v>-</v>
      </c>
    </row>
    <row r="234" spans="1:10" ht="18" customHeight="1" x14ac:dyDescent="0.3">
      <c r="A234" s="11">
        <v>7</v>
      </c>
      <c r="B234" s="12" t="s">
        <v>360</v>
      </c>
      <c r="C234" s="13">
        <v>1176400</v>
      </c>
      <c r="D234" s="14" t="s">
        <v>362</v>
      </c>
      <c r="E234" s="15">
        <v>5026.8</v>
      </c>
      <c r="F234" s="15">
        <f t="shared" si="10"/>
        <v>50268</v>
      </c>
      <c r="G234" s="15">
        <v>18734.400000000001</v>
      </c>
      <c r="H234" s="15">
        <f t="shared" si="11"/>
        <v>187344</v>
      </c>
      <c r="I234" s="16" t="str">
        <f>IFERROR(VLOOKUP($C234,[1]dados_2023!$C$3:$H$357,4,0),"-")</f>
        <v>-</v>
      </c>
      <c r="J234" s="16" t="str">
        <f>IFERROR(VLOOKUP($C234,[1]dados_2023!$C$3:$H$357,6,0),"-")</f>
        <v>-</v>
      </c>
    </row>
    <row r="235" spans="1:10" ht="18" customHeight="1" x14ac:dyDescent="0.3">
      <c r="A235" s="11">
        <v>7</v>
      </c>
      <c r="B235" s="12" t="s">
        <v>360</v>
      </c>
      <c r="C235" s="13">
        <v>1179481</v>
      </c>
      <c r="D235" s="14" t="s">
        <v>363</v>
      </c>
      <c r="E235" s="15">
        <v>17097.599999999999</v>
      </c>
      <c r="F235" s="15">
        <f t="shared" si="10"/>
        <v>170976</v>
      </c>
      <c r="G235" s="15">
        <v>56546</v>
      </c>
      <c r="H235" s="15">
        <f t="shared" si="11"/>
        <v>565460</v>
      </c>
      <c r="I235" s="16" t="str">
        <f>IFERROR(VLOOKUP($C235,[1]dados_2023!$C$3:$H$357,4,0),"-")</f>
        <v>-</v>
      </c>
      <c r="J235" s="16" t="str">
        <f>IFERROR(VLOOKUP($C235,[1]dados_2023!$C$3:$H$357,6,0),"-")</f>
        <v>-</v>
      </c>
    </row>
    <row r="236" spans="1:10" ht="18" customHeight="1" x14ac:dyDescent="0.3">
      <c r="A236" s="11">
        <v>7</v>
      </c>
      <c r="B236" s="12" t="s">
        <v>364</v>
      </c>
      <c r="C236" s="13">
        <v>1113200</v>
      </c>
      <c r="D236" s="14" t="s">
        <v>365</v>
      </c>
      <c r="E236" s="15">
        <v>11783</v>
      </c>
      <c r="F236" s="15">
        <f t="shared" si="10"/>
        <v>117830</v>
      </c>
      <c r="G236" s="15">
        <v>39904.800000000003</v>
      </c>
      <c r="H236" s="15">
        <f t="shared" si="11"/>
        <v>399048</v>
      </c>
      <c r="I236" s="16" t="str">
        <f>IFERROR(VLOOKUP($C236,[1]dados_2023!$C$3:$H$357,4,0),"-")</f>
        <v>-</v>
      </c>
      <c r="J236" s="16" t="str">
        <f>IFERROR(VLOOKUP($C236,[1]dados_2023!$C$3:$H$357,6,0),"-")</f>
        <v>-</v>
      </c>
    </row>
    <row r="237" spans="1:10" ht="18" customHeight="1" x14ac:dyDescent="0.3">
      <c r="A237" s="11">
        <v>7</v>
      </c>
      <c r="B237" s="12" t="s">
        <v>366</v>
      </c>
      <c r="C237" s="13">
        <v>1170157</v>
      </c>
      <c r="D237" s="14" t="s">
        <v>367</v>
      </c>
      <c r="E237" s="15">
        <v>5050</v>
      </c>
      <c r="F237" s="15">
        <f t="shared" si="10"/>
        <v>50500</v>
      </c>
      <c r="G237" s="15">
        <v>20497.400000000001</v>
      </c>
      <c r="H237" s="15">
        <f t="shared" si="11"/>
        <v>204974</v>
      </c>
      <c r="I237" s="16" t="str">
        <f>IFERROR(VLOOKUP($C237,[1]dados_2023!$C$3:$H$357,4,0),"-")</f>
        <v>-</v>
      </c>
      <c r="J237" s="16" t="str">
        <f>IFERROR(VLOOKUP($C237,[1]dados_2023!$C$3:$H$357,6,0),"-")</f>
        <v>-</v>
      </c>
    </row>
    <row r="238" spans="1:10" ht="18" customHeight="1" x14ac:dyDescent="0.3">
      <c r="A238" s="11">
        <v>7</v>
      </c>
      <c r="B238" s="12" t="s">
        <v>368</v>
      </c>
      <c r="C238" s="13">
        <v>1157525</v>
      </c>
      <c r="D238" s="14" t="s">
        <v>369</v>
      </c>
      <c r="E238" s="15">
        <v>1725.2</v>
      </c>
      <c r="F238" s="15">
        <f t="shared" si="10"/>
        <v>17252</v>
      </c>
      <c r="G238" s="15">
        <v>7690.0000000000009</v>
      </c>
      <c r="H238" s="15">
        <f t="shared" si="11"/>
        <v>76900.000000000015</v>
      </c>
      <c r="I238" s="16" t="str">
        <f>IFERROR(VLOOKUP($C238,[1]dados_2023!$C$3:$H$357,4,0),"-")</f>
        <v>-</v>
      </c>
      <c r="J238" s="16" t="str">
        <f>IFERROR(VLOOKUP($C238,[1]dados_2023!$C$3:$H$357,6,0),"-")</f>
        <v>-</v>
      </c>
    </row>
    <row r="239" spans="1:10" ht="18" customHeight="1" x14ac:dyDescent="0.3">
      <c r="A239" s="11">
        <v>7</v>
      </c>
      <c r="B239" s="12" t="s">
        <v>370</v>
      </c>
      <c r="C239" s="13">
        <v>1179661</v>
      </c>
      <c r="D239" s="14" t="s">
        <v>371</v>
      </c>
      <c r="E239" s="15">
        <v>7579.6</v>
      </c>
      <c r="F239" s="15">
        <f t="shared" si="10"/>
        <v>75796</v>
      </c>
      <c r="G239" s="15">
        <v>32643.4</v>
      </c>
      <c r="H239" s="15">
        <f t="shared" si="11"/>
        <v>326434</v>
      </c>
      <c r="I239" s="16" t="str">
        <f>IFERROR(VLOOKUP($C239,[1]dados_2023!$C$3:$H$357,4,0),"-")</f>
        <v>-</v>
      </c>
      <c r="J239" s="16" t="str">
        <f>IFERROR(VLOOKUP($C239,[1]dados_2023!$C$3:$H$357,6,0),"-")</f>
        <v>-</v>
      </c>
    </row>
    <row r="240" spans="1:10" ht="18" customHeight="1" x14ac:dyDescent="0.3">
      <c r="A240" s="11">
        <v>7</v>
      </c>
      <c r="B240" s="12" t="s">
        <v>372</v>
      </c>
      <c r="C240" s="13">
        <v>1178427</v>
      </c>
      <c r="D240" s="14" t="s">
        <v>373</v>
      </c>
      <c r="E240" s="15">
        <v>378.4</v>
      </c>
      <c r="F240" s="15">
        <f t="shared" si="10"/>
        <v>3784</v>
      </c>
      <c r="G240" s="15">
        <v>1721.6000000000001</v>
      </c>
      <c r="H240" s="15">
        <f t="shared" si="11"/>
        <v>17216</v>
      </c>
      <c r="I240" s="16" t="str">
        <f>IFERROR(VLOOKUP($C240,[1]dados_2023!$C$3:$H$357,4,0),"-")</f>
        <v>-</v>
      </c>
      <c r="J240" s="16" t="str">
        <f>IFERROR(VLOOKUP($C240,[1]dados_2023!$C$3:$H$357,6,0),"-")</f>
        <v>-</v>
      </c>
    </row>
    <row r="241" spans="1:10" ht="18" customHeight="1" x14ac:dyDescent="0.3">
      <c r="A241" s="11">
        <v>7</v>
      </c>
      <c r="B241" s="12" t="s">
        <v>372</v>
      </c>
      <c r="C241" s="13">
        <v>1178093</v>
      </c>
      <c r="D241" s="14" t="s">
        <v>374</v>
      </c>
      <c r="E241" s="15">
        <v>9982.7999999999993</v>
      </c>
      <c r="F241" s="15">
        <f t="shared" si="10"/>
        <v>99828</v>
      </c>
      <c r="G241" s="15">
        <v>45311.600000000006</v>
      </c>
      <c r="H241" s="15">
        <f t="shared" si="11"/>
        <v>453116.00000000006</v>
      </c>
      <c r="I241" s="16" t="str">
        <f>IFERROR(VLOOKUP($C241,[1]dados_2023!$C$3:$H$357,4,0),"-")</f>
        <v>-</v>
      </c>
      <c r="J241" s="16" t="str">
        <f>IFERROR(VLOOKUP($C241,[1]dados_2023!$C$3:$H$357,6,0),"-")</f>
        <v>-</v>
      </c>
    </row>
    <row r="242" spans="1:10" ht="18" customHeight="1" x14ac:dyDescent="0.3">
      <c r="A242" s="11">
        <v>7</v>
      </c>
      <c r="B242" s="12" t="s">
        <v>372</v>
      </c>
      <c r="C242" s="13">
        <v>1157746</v>
      </c>
      <c r="D242" s="14" t="s">
        <v>375</v>
      </c>
      <c r="E242" s="15">
        <v>5907.8</v>
      </c>
      <c r="F242" s="15">
        <f t="shared" si="10"/>
        <v>59078</v>
      </c>
      <c r="G242" s="15">
        <v>20024.800000000003</v>
      </c>
      <c r="H242" s="15">
        <f t="shared" si="11"/>
        <v>200248.00000000003</v>
      </c>
      <c r="I242" s="16" t="str">
        <f>IFERROR(VLOOKUP($C242,[1]dados_2023!$C$3:$H$357,4,0),"-")</f>
        <v>-</v>
      </c>
      <c r="J242" s="16" t="str">
        <f>IFERROR(VLOOKUP($C242,[1]dados_2023!$C$3:$H$357,6,0),"-")</f>
        <v>-</v>
      </c>
    </row>
    <row r="243" spans="1:10" ht="18" customHeight="1" x14ac:dyDescent="0.3">
      <c r="A243" s="11">
        <v>7</v>
      </c>
      <c r="B243" s="12" t="s">
        <v>376</v>
      </c>
      <c r="C243" s="13">
        <v>1113579</v>
      </c>
      <c r="D243" s="14" t="s">
        <v>377</v>
      </c>
      <c r="E243" s="15">
        <v>4772</v>
      </c>
      <c r="F243" s="15">
        <f t="shared" si="10"/>
        <v>47720</v>
      </c>
      <c r="G243" s="15">
        <v>21359.600000000002</v>
      </c>
      <c r="H243" s="15">
        <f t="shared" si="11"/>
        <v>213596.00000000003</v>
      </c>
      <c r="I243" s="16" t="str">
        <f>IFERROR(VLOOKUP($C243,[1]dados_2023!$C$3:$H$357,4,0),"-")</f>
        <v>-</v>
      </c>
      <c r="J243" s="16" t="str">
        <f>IFERROR(VLOOKUP($C243,[1]dados_2023!$C$3:$H$357,6,0),"-")</f>
        <v>-</v>
      </c>
    </row>
    <row r="244" spans="1:10" ht="18" customHeight="1" x14ac:dyDescent="0.3">
      <c r="A244" s="11">
        <v>7</v>
      </c>
      <c r="B244" s="12" t="s">
        <v>376</v>
      </c>
      <c r="C244" s="13">
        <v>1136480</v>
      </c>
      <c r="D244" s="14" t="s">
        <v>378</v>
      </c>
      <c r="E244" s="15">
        <v>9264.2000000000007</v>
      </c>
      <c r="F244" s="15">
        <f t="shared" si="10"/>
        <v>92642</v>
      </c>
      <c r="G244" s="15">
        <v>40764.800000000003</v>
      </c>
      <c r="H244" s="15">
        <f t="shared" si="11"/>
        <v>407648</v>
      </c>
      <c r="I244" s="16" t="str">
        <f>IFERROR(VLOOKUP($C244,[1]dados_2023!$C$3:$H$357,4,0),"-")</f>
        <v>-</v>
      </c>
      <c r="J244" s="16" t="str">
        <f>IFERROR(VLOOKUP($C244,[1]dados_2023!$C$3:$H$357,6,0),"-")</f>
        <v>-</v>
      </c>
    </row>
    <row r="245" spans="1:10" ht="18" customHeight="1" x14ac:dyDescent="0.3">
      <c r="A245" s="11">
        <v>7</v>
      </c>
      <c r="B245" s="12" t="s">
        <v>376</v>
      </c>
      <c r="C245" s="13">
        <v>1178036</v>
      </c>
      <c r="D245" s="14" t="s">
        <v>379</v>
      </c>
      <c r="E245" s="15">
        <v>3704.6000000000004</v>
      </c>
      <c r="F245" s="15">
        <f t="shared" si="10"/>
        <v>37046</v>
      </c>
      <c r="G245" s="15">
        <v>14731.2</v>
      </c>
      <c r="H245" s="15">
        <f t="shared" si="11"/>
        <v>147312</v>
      </c>
      <c r="I245" s="16" t="str">
        <f>IFERROR(VLOOKUP($C245,[1]dados_2023!$C$3:$H$357,4,0),"-")</f>
        <v>-</v>
      </c>
      <c r="J245" s="16" t="str">
        <f>IFERROR(VLOOKUP($C245,[1]dados_2023!$C$3:$H$357,6,0),"-")</f>
        <v>-</v>
      </c>
    </row>
    <row r="246" spans="1:10" ht="18" customHeight="1" x14ac:dyDescent="0.3">
      <c r="A246" s="11">
        <v>7</v>
      </c>
      <c r="B246" s="12" t="s">
        <v>380</v>
      </c>
      <c r="C246" s="13">
        <v>1179686</v>
      </c>
      <c r="D246" s="14" t="s">
        <v>381</v>
      </c>
      <c r="E246" s="15">
        <v>1997.2</v>
      </c>
      <c r="F246" s="15">
        <f t="shared" si="10"/>
        <v>19972</v>
      </c>
      <c r="G246" s="15">
        <v>7955.2000000000007</v>
      </c>
      <c r="H246" s="15">
        <f t="shared" si="11"/>
        <v>79552</v>
      </c>
      <c r="I246" s="16" t="str">
        <f>IFERROR(VLOOKUP($C246,[1]dados_2023!$C$3:$H$357,4,0),"-")</f>
        <v>-</v>
      </c>
      <c r="J246" s="16" t="str">
        <f>IFERROR(VLOOKUP($C246,[1]dados_2023!$C$3:$H$357,6,0),"-")</f>
        <v>-</v>
      </c>
    </row>
    <row r="247" spans="1:10" ht="18" customHeight="1" x14ac:dyDescent="0.3">
      <c r="A247" s="11">
        <v>7</v>
      </c>
      <c r="B247" s="12" t="s">
        <v>380</v>
      </c>
      <c r="C247" s="13">
        <v>1178182</v>
      </c>
      <c r="D247" s="14" t="s">
        <v>382</v>
      </c>
      <c r="E247" s="15">
        <v>1073.8</v>
      </c>
      <c r="F247" s="15">
        <f t="shared" si="10"/>
        <v>10738</v>
      </c>
      <c r="G247" s="15">
        <v>5097.6000000000004</v>
      </c>
      <c r="H247" s="15">
        <f t="shared" si="11"/>
        <v>50976</v>
      </c>
      <c r="I247" s="16" t="str">
        <f>IFERROR(VLOOKUP($C247,[1]dados_2023!$C$3:$H$357,4,0),"-")</f>
        <v>-</v>
      </c>
      <c r="J247" s="16" t="str">
        <f>IFERROR(VLOOKUP($C247,[1]dados_2023!$C$3:$H$357,6,0),"-")</f>
        <v>-</v>
      </c>
    </row>
    <row r="248" spans="1:10" ht="18" customHeight="1" x14ac:dyDescent="0.3">
      <c r="A248" s="11">
        <v>7</v>
      </c>
      <c r="B248" s="12" t="s">
        <v>380</v>
      </c>
      <c r="C248" s="13">
        <v>1113749</v>
      </c>
      <c r="D248" s="14" t="s">
        <v>383</v>
      </c>
      <c r="E248" s="15">
        <v>11651.2</v>
      </c>
      <c r="F248" s="15">
        <f t="shared" si="10"/>
        <v>116512</v>
      </c>
      <c r="G248" s="15">
        <v>43477.600000000006</v>
      </c>
      <c r="H248" s="15">
        <f t="shared" si="11"/>
        <v>434776.00000000006</v>
      </c>
      <c r="I248" s="16" t="str">
        <f>IFERROR(VLOOKUP($C248,[1]dados_2023!$C$3:$H$357,4,0),"-")</f>
        <v>-</v>
      </c>
      <c r="J248" s="16" t="str">
        <f>IFERROR(VLOOKUP($C248,[1]dados_2023!$C$3:$H$357,6,0),"-")</f>
        <v>-</v>
      </c>
    </row>
    <row r="249" spans="1:10" ht="18" customHeight="1" x14ac:dyDescent="0.3">
      <c r="A249" s="11">
        <v>7</v>
      </c>
      <c r="B249" s="12" t="s">
        <v>384</v>
      </c>
      <c r="C249" s="13">
        <v>1176425</v>
      </c>
      <c r="D249" s="14" t="s">
        <v>385</v>
      </c>
      <c r="E249" s="15">
        <v>9400</v>
      </c>
      <c r="F249" s="15">
        <f t="shared" si="10"/>
        <v>94000</v>
      </c>
      <c r="G249" s="15">
        <v>40232</v>
      </c>
      <c r="H249" s="15">
        <f t="shared" si="11"/>
        <v>402320</v>
      </c>
      <c r="I249" s="16" t="str">
        <f>IFERROR(VLOOKUP($C249,[1]dados_2023!$C$3:$H$357,4,0),"-")</f>
        <v>-</v>
      </c>
      <c r="J249" s="16" t="str">
        <f>IFERROR(VLOOKUP($C249,[1]dados_2023!$C$3:$H$357,6,0),"-")</f>
        <v>-</v>
      </c>
    </row>
    <row r="250" spans="1:10" ht="18" customHeight="1" x14ac:dyDescent="0.3">
      <c r="A250" s="11">
        <v>7</v>
      </c>
      <c r="B250" s="12" t="s">
        <v>384</v>
      </c>
      <c r="C250" s="13">
        <v>1113803</v>
      </c>
      <c r="D250" s="14" t="s">
        <v>386</v>
      </c>
      <c r="E250" s="15">
        <v>13258.6</v>
      </c>
      <c r="F250" s="15">
        <f t="shared" si="10"/>
        <v>132586</v>
      </c>
      <c r="G250" s="15">
        <v>53305</v>
      </c>
      <c r="H250" s="15">
        <f t="shared" si="11"/>
        <v>533050</v>
      </c>
      <c r="I250" s="16" t="str">
        <f>IFERROR(VLOOKUP($C250,[1]dados_2023!$C$3:$H$357,4,0),"-")</f>
        <v>-</v>
      </c>
      <c r="J250" s="16" t="str">
        <f>IFERROR(VLOOKUP($C250,[1]dados_2023!$C$3:$H$357,6,0),"-")</f>
        <v>-</v>
      </c>
    </row>
    <row r="251" spans="1:10" ht="18" customHeight="1" x14ac:dyDescent="0.3">
      <c r="A251" s="11">
        <v>7</v>
      </c>
      <c r="B251" s="12" t="s">
        <v>384</v>
      </c>
      <c r="C251" s="13">
        <v>1113846</v>
      </c>
      <c r="D251" s="14" t="s">
        <v>387</v>
      </c>
      <c r="E251" s="15">
        <v>20598</v>
      </c>
      <c r="F251" s="15">
        <f t="shared" si="10"/>
        <v>205980</v>
      </c>
      <c r="G251" s="15">
        <v>75811.8</v>
      </c>
      <c r="H251" s="15">
        <f t="shared" si="11"/>
        <v>758118</v>
      </c>
      <c r="I251" s="16" t="str">
        <f>IFERROR(VLOOKUP($C251,[1]dados_2023!$C$3:$H$357,4,0),"-")</f>
        <v>-</v>
      </c>
      <c r="J251" s="16" t="str">
        <f>IFERROR(VLOOKUP($C251,[1]dados_2023!$C$3:$H$357,6,0),"-")</f>
        <v>-</v>
      </c>
    </row>
    <row r="252" spans="1:10" ht="18" customHeight="1" x14ac:dyDescent="0.3">
      <c r="A252" s="11">
        <v>7</v>
      </c>
      <c r="B252" s="12" t="s">
        <v>384</v>
      </c>
      <c r="C252" s="13">
        <v>1113684</v>
      </c>
      <c r="D252" s="14" t="s">
        <v>388</v>
      </c>
      <c r="E252" s="15">
        <v>6553</v>
      </c>
      <c r="F252" s="15">
        <f t="shared" si="10"/>
        <v>65530</v>
      </c>
      <c r="G252" s="15">
        <v>24106.800000000003</v>
      </c>
      <c r="H252" s="15">
        <f t="shared" si="11"/>
        <v>241068.00000000003</v>
      </c>
      <c r="I252" s="16" t="str">
        <f>IFERROR(VLOOKUP($C252,[1]dados_2023!$C$3:$H$357,4,0),"-")</f>
        <v>-</v>
      </c>
      <c r="J252" s="16" t="str">
        <f>IFERROR(VLOOKUP($C252,[1]dados_2023!$C$3:$H$357,6,0),"-")</f>
        <v>-</v>
      </c>
    </row>
    <row r="253" spans="1:10" ht="18" customHeight="1" x14ac:dyDescent="0.3">
      <c r="A253" s="11">
        <v>7</v>
      </c>
      <c r="B253" s="12" t="s">
        <v>384</v>
      </c>
      <c r="C253" s="13">
        <v>1176217</v>
      </c>
      <c r="D253" s="14" t="s">
        <v>389</v>
      </c>
      <c r="E253" s="15">
        <v>21349</v>
      </c>
      <c r="F253" s="15">
        <f t="shared" si="10"/>
        <v>213490</v>
      </c>
      <c r="G253" s="15">
        <v>85452.6</v>
      </c>
      <c r="H253" s="15">
        <f t="shared" si="11"/>
        <v>854526</v>
      </c>
      <c r="I253" s="16" t="str">
        <f>IFERROR(VLOOKUP($C253,[1]dados_2023!$C$3:$H$357,4,0),"-")</f>
        <v>-</v>
      </c>
      <c r="J253" s="16" t="str">
        <f>IFERROR(VLOOKUP($C253,[1]dados_2023!$C$3:$H$357,6,0),"-")</f>
        <v>-</v>
      </c>
    </row>
    <row r="254" spans="1:10" ht="18" customHeight="1" x14ac:dyDescent="0.3">
      <c r="A254" s="11">
        <v>7</v>
      </c>
      <c r="B254" s="12" t="s">
        <v>384</v>
      </c>
      <c r="C254" s="13">
        <v>1176218</v>
      </c>
      <c r="D254" s="14" t="s">
        <v>390</v>
      </c>
      <c r="E254" s="15">
        <v>12605.6</v>
      </c>
      <c r="F254" s="15">
        <f t="shared" si="10"/>
        <v>126056</v>
      </c>
      <c r="G254" s="15">
        <v>37829.4</v>
      </c>
      <c r="H254" s="15">
        <f t="shared" si="11"/>
        <v>378294</v>
      </c>
      <c r="I254" s="16" t="str">
        <f>IFERROR(VLOOKUP($C254,[1]dados_2023!$C$3:$H$357,4,0),"-")</f>
        <v>-</v>
      </c>
      <c r="J254" s="16" t="str">
        <f>IFERROR(VLOOKUP($C254,[1]dados_2023!$C$3:$H$357,6,0),"-")</f>
        <v>-</v>
      </c>
    </row>
    <row r="255" spans="1:10" ht="18" customHeight="1" x14ac:dyDescent="0.3">
      <c r="A255" s="11">
        <v>7</v>
      </c>
      <c r="B255" s="12" t="s">
        <v>384</v>
      </c>
      <c r="C255" s="13">
        <v>1179713</v>
      </c>
      <c r="D255" s="14" t="s">
        <v>391</v>
      </c>
      <c r="E255" s="15">
        <v>5500</v>
      </c>
      <c r="F255" s="15">
        <f t="shared" si="10"/>
        <v>55000</v>
      </c>
      <c r="G255" s="15">
        <v>23540</v>
      </c>
      <c r="H255" s="15">
        <f t="shared" si="11"/>
        <v>235400</v>
      </c>
      <c r="I255" s="16" t="str">
        <f>IFERROR(VLOOKUP($C255,[1]dados_2023!$C$3:$H$357,4,0),"-")</f>
        <v>-</v>
      </c>
      <c r="J255" s="16" t="str">
        <f>IFERROR(VLOOKUP($C255,[1]dados_2023!$C$3:$H$357,6,0),"-")</f>
        <v>-</v>
      </c>
    </row>
    <row r="256" spans="1:10" ht="18" customHeight="1" x14ac:dyDescent="0.3">
      <c r="A256" s="11">
        <v>7</v>
      </c>
      <c r="B256" s="12" t="s">
        <v>392</v>
      </c>
      <c r="C256" s="13">
        <v>1176142</v>
      </c>
      <c r="D256" s="14" t="s">
        <v>393</v>
      </c>
      <c r="E256" s="15">
        <v>852.8</v>
      </c>
      <c r="F256" s="15">
        <f t="shared" si="10"/>
        <v>8528</v>
      </c>
      <c r="G256" s="15">
        <v>4534.4000000000005</v>
      </c>
      <c r="H256" s="15">
        <f t="shared" si="11"/>
        <v>45344.000000000007</v>
      </c>
      <c r="I256" s="16" t="str">
        <f>IFERROR(VLOOKUP($C256,[1]dados_2023!$C$3:$H$357,4,0),"-")</f>
        <v>-</v>
      </c>
      <c r="J256" s="16" t="str">
        <f>IFERROR(VLOOKUP($C256,[1]dados_2023!$C$3:$H$357,6,0),"-")</f>
        <v>-</v>
      </c>
    </row>
    <row r="257" spans="1:10" ht="18" customHeight="1" x14ac:dyDescent="0.3">
      <c r="A257" s="11">
        <v>7</v>
      </c>
      <c r="B257" s="12" t="s">
        <v>392</v>
      </c>
      <c r="C257" s="13">
        <v>1178272</v>
      </c>
      <c r="D257" s="14" t="s">
        <v>394</v>
      </c>
      <c r="E257" s="15">
        <v>2317.7999999999997</v>
      </c>
      <c r="F257" s="15">
        <f t="shared" si="10"/>
        <v>23177.999999999996</v>
      </c>
      <c r="G257" s="15">
        <v>7643</v>
      </c>
      <c r="H257" s="15">
        <f t="shared" si="11"/>
        <v>76430</v>
      </c>
      <c r="I257" s="16" t="str">
        <f>IFERROR(VLOOKUP($C257,[1]dados_2023!$C$3:$H$357,4,0),"-")</f>
        <v>-</v>
      </c>
      <c r="J257" s="16" t="str">
        <f>IFERROR(VLOOKUP($C257,[1]dados_2023!$C$3:$H$357,6,0),"-")</f>
        <v>-</v>
      </c>
    </row>
    <row r="258" spans="1:10" ht="18" customHeight="1" x14ac:dyDescent="0.3">
      <c r="A258" s="11">
        <v>7</v>
      </c>
      <c r="B258" s="12" t="s">
        <v>380</v>
      </c>
      <c r="C258" s="13">
        <v>1179452</v>
      </c>
      <c r="D258" s="14" t="s">
        <v>395</v>
      </c>
      <c r="E258" s="15">
        <v>3061.6000000000004</v>
      </c>
      <c r="F258" s="15">
        <f t="shared" si="10"/>
        <v>30616.000000000004</v>
      </c>
      <c r="G258" s="15">
        <v>6621.6000000000013</v>
      </c>
      <c r="H258" s="15">
        <f t="shared" si="11"/>
        <v>66216.000000000015</v>
      </c>
      <c r="I258" s="16" t="str">
        <f>IFERROR(VLOOKUP($C258,[1]dados_2023!$C$3:$H$357,4,0),"-")</f>
        <v>-</v>
      </c>
      <c r="J258" s="16" t="str">
        <f>IFERROR(VLOOKUP($C258,[1]dados_2023!$C$3:$H$357,6,0),"-")</f>
        <v>-</v>
      </c>
    </row>
    <row r="259" spans="1:10" ht="18" customHeight="1" x14ac:dyDescent="0.3">
      <c r="A259" s="11">
        <v>7</v>
      </c>
      <c r="B259" s="12" t="s">
        <v>380</v>
      </c>
      <c r="C259" s="13">
        <v>1178128</v>
      </c>
      <c r="D259" s="14" t="s">
        <v>396</v>
      </c>
      <c r="E259" s="15">
        <v>2923.9999999999995</v>
      </c>
      <c r="F259" s="15">
        <f t="shared" si="10"/>
        <v>29239.999999999996</v>
      </c>
      <c r="G259" s="15">
        <v>6323.9999999999991</v>
      </c>
      <c r="H259" s="15">
        <f t="shared" si="11"/>
        <v>63239.999999999993</v>
      </c>
      <c r="I259" s="16" t="str">
        <f>IFERROR(VLOOKUP($C259,[1]dados_2023!$C$3:$H$357,4,0),"-")</f>
        <v>-</v>
      </c>
      <c r="J259" s="16" t="str">
        <f>IFERROR(VLOOKUP($C259,[1]dados_2023!$C$3:$H$357,6,0),"-")</f>
        <v>-</v>
      </c>
    </row>
    <row r="260" spans="1:10" ht="18" customHeight="1" x14ac:dyDescent="0.3">
      <c r="A260" s="11">
        <v>7</v>
      </c>
      <c r="B260" s="12" t="s">
        <v>380</v>
      </c>
      <c r="C260" s="13">
        <v>1178127</v>
      </c>
      <c r="D260" s="14" t="s">
        <v>397</v>
      </c>
      <c r="E260" s="15">
        <v>3869.9999999999995</v>
      </c>
      <c r="F260" s="15">
        <f t="shared" si="10"/>
        <v>38699.999999999993</v>
      </c>
      <c r="G260" s="15">
        <v>8370</v>
      </c>
      <c r="H260" s="15">
        <f t="shared" si="11"/>
        <v>83700</v>
      </c>
      <c r="I260" s="16" t="str">
        <f>IFERROR(VLOOKUP($C260,[1]dados_2023!$C$3:$H$357,4,0),"-")</f>
        <v>-</v>
      </c>
      <c r="J260" s="16" t="str">
        <f>IFERROR(VLOOKUP($C260,[1]dados_2023!$C$3:$H$357,6,0),"-")</f>
        <v>-</v>
      </c>
    </row>
    <row r="261" spans="1:10" ht="18" customHeight="1" x14ac:dyDescent="0.3">
      <c r="A261" s="11">
        <v>7</v>
      </c>
      <c r="B261" s="12" t="s">
        <v>380</v>
      </c>
      <c r="C261" s="13">
        <v>1178223</v>
      </c>
      <c r="D261" s="14" t="s">
        <v>398</v>
      </c>
      <c r="E261" s="15">
        <v>8187.2000000000007</v>
      </c>
      <c r="F261" s="15">
        <f t="shared" si="10"/>
        <v>81872</v>
      </c>
      <c r="G261" s="15">
        <v>17707.2</v>
      </c>
      <c r="H261" s="15">
        <f t="shared" si="11"/>
        <v>177072</v>
      </c>
      <c r="I261" s="16" t="str">
        <f>IFERROR(VLOOKUP($C261,[1]dados_2023!$C$3:$H$357,4,0),"-")</f>
        <v>-</v>
      </c>
      <c r="J261" s="16" t="str">
        <f>IFERROR(VLOOKUP($C261,[1]dados_2023!$C$3:$H$357,6,0),"-")</f>
        <v>-</v>
      </c>
    </row>
    <row r="262" spans="1:10" ht="18" customHeight="1" x14ac:dyDescent="0.3">
      <c r="A262" s="11">
        <v>7</v>
      </c>
      <c r="B262" s="12" t="s">
        <v>380</v>
      </c>
      <c r="C262" s="13">
        <v>1179368</v>
      </c>
      <c r="D262" s="14" t="s">
        <v>399</v>
      </c>
      <c r="E262" s="15">
        <v>5400.8</v>
      </c>
      <c r="F262" s="15">
        <f t="shared" ref="F262:F325" si="14">E262*10</f>
        <v>54008</v>
      </c>
      <c r="G262" s="15">
        <v>11680.800000000001</v>
      </c>
      <c r="H262" s="15">
        <f t="shared" ref="H262:H325" si="15">G262*10</f>
        <v>116808.00000000001</v>
      </c>
      <c r="I262" s="16" t="str">
        <f>IFERROR(VLOOKUP($C262,[1]dados_2023!$C$3:$H$357,4,0),"-")</f>
        <v>-</v>
      </c>
      <c r="J262" s="16" t="str">
        <f>IFERROR(VLOOKUP($C262,[1]dados_2023!$C$3:$H$357,6,0),"-")</f>
        <v>-</v>
      </c>
    </row>
    <row r="263" spans="1:10" ht="18" customHeight="1" x14ac:dyDescent="0.3">
      <c r="A263" s="11">
        <v>7</v>
      </c>
      <c r="B263" s="12" t="s">
        <v>380</v>
      </c>
      <c r="C263" s="13">
        <v>1179453</v>
      </c>
      <c r="D263" s="14" t="s">
        <v>400</v>
      </c>
      <c r="E263" s="15">
        <v>7722.8</v>
      </c>
      <c r="F263" s="15">
        <f t="shared" si="14"/>
        <v>77228</v>
      </c>
      <c r="G263" s="15">
        <v>16702.800000000003</v>
      </c>
      <c r="H263" s="15">
        <f t="shared" si="15"/>
        <v>167028.00000000003</v>
      </c>
      <c r="I263" s="16" t="str">
        <f>IFERROR(VLOOKUP($C263,[1]dados_2023!$C$3:$H$357,4,0),"-")</f>
        <v>-</v>
      </c>
      <c r="J263" s="16" t="str">
        <f>IFERROR(VLOOKUP($C263,[1]dados_2023!$C$3:$H$357,6,0),"-")</f>
        <v>-</v>
      </c>
    </row>
    <row r="264" spans="1:10" ht="18" customHeight="1" x14ac:dyDescent="0.3">
      <c r="A264" s="11">
        <v>8</v>
      </c>
      <c r="B264" s="12" t="s">
        <v>401</v>
      </c>
      <c r="C264" s="13">
        <v>1118449</v>
      </c>
      <c r="D264" s="14" t="s">
        <v>402</v>
      </c>
      <c r="E264" s="15">
        <v>2583</v>
      </c>
      <c r="F264" s="15">
        <f t="shared" si="14"/>
        <v>25830</v>
      </c>
      <c r="G264" s="15">
        <v>11608</v>
      </c>
      <c r="H264" s="15">
        <f t="shared" si="15"/>
        <v>116080</v>
      </c>
      <c r="I264" s="16" t="str">
        <f>IFERROR(VLOOKUP($C264,[1]dados_2023!$C$3:$H$357,4,0),"-")</f>
        <v>-</v>
      </c>
      <c r="J264" s="16" t="str">
        <f>IFERROR(VLOOKUP($C264,[1]dados_2023!$C$3:$H$357,6,0),"-")</f>
        <v>-</v>
      </c>
    </row>
    <row r="265" spans="1:10" ht="18" customHeight="1" x14ac:dyDescent="0.3">
      <c r="A265" s="11">
        <v>8</v>
      </c>
      <c r="B265" s="12" t="s">
        <v>403</v>
      </c>
      <c r="C265" s="13">
        <v>1118511</v>
      </c>
      <c r="D265" s="14" t="s">
        <v>404</v>
      </c>
      <c r="E265" s="15">
        <v>4666.2000000000007</v>
      </c>
      <c r="F265" s="15">
        <f t="shared" si="14"/>
        <v>46662.000000000007</v>
      </c>
      <c r="G265" s="15">
        <v>15370.599999999999</v>
      </c>
      <c r="H265" s="15">
        <f t="shared" si="15"/>
        <v>153706</v>
      </c>
      <c r="I265" s="16" t="str">
        <f>IFERROR(VLOOKUP($C265,[1]dados_2023!$C$3:$H$357,4,0),"-")</f>
        <v>-</v>
      </c>
      <c r="J265" s="16" t="str">
        <f>IFERROR(VLOOKUP($C265,[1]dados_2023!$C$3:$H$357,6,0),"-")</f>
        <v>-</v>
      </c>
    </row>
    <row r="266" spans="1:10" ht="18" customHeight="1" x14ac:dyDescent="0.3">
      <c r="A266" s="11">
        <v>8</v>
      </c>
      <c r="B266" s="12" t="s">
        <v>405</v>
      </c>
      <c r="C266" s="13">
        <v>1118546</v>
      </c>
      <c r="D266" s="14" t="s">
        <v>406</v>
      </c>
      <c r="E266" s="15">
        <v>7257.2000000000007</v>
      </c>
      <c r="F266" s="15">
        <f t="shared" si="14"/>
        <v>72572</v>
      </c>
      <c r="G266" s="15">
        <v>26928.800000000003</v>
      </c>
      <c r="H266" s="15">
        <f t="shared" si="15"/>
        <v>269288</v>
      </c>
      <c r="I266" s="16" t="str">
        <f>IFERROR(VLOOKUP($C266,[1]dados_2023!$C$3:$H$357,4,0),"-")</f>
        <v>-</v>
      </c>
      <c r="J266" s="16" t="str">
        <f>IFERROR(VLOOKUP($C266,[1]dados_2023!$C$3:$H$357,6,0),"-")</f>
        <v>-</v>
      </c>
    </row>
    <row r="267" spans="1:10" ht="18" customHeight="1" x14ac:dyDescent="0.3">
      <c r="A267" s="11">
        <v>8</v>
      </c>
      <c r="B267" s="12" t="s">
        <v>407</v>
      </c>
      <c r="C267" s="13">
        <v>1118619</v>
      </c>
      <c r="D267" s="14" t="s">
        <v>408</v>
      </c>
      <c r="E267" s="15">
        <v>8381.6</v>
      </c>
      <c r="F267" s="15">
        <f t="shared" si="14"/>
        <v>83816</v>
      </c>
      <c r="G267" s="15">
        <v>37472</v>
      </c>
      <c r="H267" s="15">
        <f t="shared" si="15"/>
        <v>374720</v>
      </c>
      <c r="I267" s="16" t="str">
        <f>IFERROR(VLOOKUP($C267,[1]dados_2023!$C$3:$H$357,4,0),"-")</f>
        <v>-</v>
      </c>
      <c r="J267" s="16" t="str">
        <f>IFERROR(VLOOKUP($C267,[1]dados_2023!$C$3:$H$357,6,0),"-")</f>
        <v>-</v>
      </c>
    </row>
    <row r="268" spans="1:10" ht="18" customHeight="1" x14ac:dyDescent="0.3">
      <c r="A268" s="11">
        <v>8</v>
      </c>
      <c r="B268" s="12" t="s">
        <v>409</v>
      </c>
      <c r="C268" s="13">
        <v>1118791</v>
      </c>
      <c r="D268" s="14" t="s">
        <v>410</v>
      </c>
      <c r="E268" s="15">
        <v>10280.4</v>
      </c>
      <c r="F268" s="15">
        <f t="shared" si="14"/>
        <v>102804</v>
      </c>
      <c r="G268" s="15">
        <v>44969.8</v>
      </c>
      <c r="H268" s="15">
        <f t="shared" si="15"/>
        <v>449698</v>
      </c>
      <c r="I268" s="16" t="str">
        <f>IFERROR(VLOOKUP($C268,[1]dados_2023!$C$3:$H$357,4,0),"-")</f>
        <v>-</v>
      </c>
      <c r="J268" s="16" t="str">
        <f>IFERROR(VLOOKUP($C268,[1]dados_2023!$C$3:$H$357,6,0),"-")</f>
        <v>-</v>
      </c>
    </row>
    <row r="269" spans="1:10" ht="18" customHeight="1" x14ac:dyDescent="0.3">
      <c r="A269" s="11">
        <v>8</v>
      </c>
      <c r="B269" s="12" t="s">
        <v>411</v>
      </c>
      <c r="C269" s="13">
        <v>1118899</v>
      </c>
      <c r="D269" s="14" t="s">
        <v>412</v>
      </c>
      <c r="E269" s="15">
        <v>6874</v>
      </c>
      <c r="F269" s="15">
        <f t="shared" si="14"/>
        <v>68740</v>
      </c>
      <c r="G269" s="15">
        <v>30406.799999999999</v>
      </c>
      <c r="H269" s="15">
        <f t="shared" si="15"/>
        <v>304068</v>
      </c>
      <c r="I269" s="16" t="str">
        <f>IFERROR(VLOOKUP($C269,[1]dados_2023!$C$3:$H$357,4,0),"-")</f>
        <v>-</v>
      </c>
      <c r="J269" s="16" t="str">
        <f>IFERROR(VLOOKUP($C269,[1]dados_2023!$C$3:$H$357,6,0),"-")</f>
        <v>-</v>
      </c>
    </row>
    <row r="270" spans="1:10" ht="18" customHeight="1" x14ac:dyDescent="0.3">
      <c r="A270" s="11">
        <v>8</v>
      </c>
      <c r="B270" s="12" t="s">
        <v>411</v>
      </c>
      <c r="C270" s="13">
        <v>1176427</v>
      </c>
      <c r="D270" s="14" t="s">
        <v>245</v>
      </c>
      <c r="E270" s="15">
        <v>11450.8</v>
      </c>
      <c r="F270" s="15">
        <f t="shared" si="14"/>
        <v>114508</v>
      </c>
      <c r="G270" s="15">
        <v>51084.4</v>
      </c>
      <c r="H270" s="15">
        <f t="shared" si="15"/>
        <v>510844</v>
      </c>
      <c r="I270" s="16" t="str">
        <f>IFERROR(VLOOKUP($C270,[1]dados_2023!$C$3:$H$357,4,0),"-")</f>
        <v>-</v>
      </c>
      <c r="J270" s="16" t="str">
        <f>IFERROR(VLOOKUP($C270,[1]dados_2023!$C$3:$H$357,6,0),"-")</f>
        <v>-</v>
      </c>
    </row>
    <row r="271" spans="1:10" ht="18" customHeight="1" x14ac:dyDescent="0.3">
      <c r="A271" s="11">
        <v>8</v>
      </c>
      <c r="B271" s="12" t="s">
        <v>411</v>
      </c>
      <c r="C271" s="13">
        <v>1119119</v>
      </c>
      <c r="D271" s="14" t="s">
        <v>413</v>
      </c>
      <c r="E271" s="15">
        <v>4911.8</v>
      </c>
      <c r="F271" s="15">
        <f t="shared" si="14"/>
        <v>49118</v>
      </c>
      <c r="G271" s="15">
        <v>21864.400000000001</v>
      </c>
      <c r="H271" s="15">
        <f t="shared" si="15"/>
        <v>218644</v>
      </c>
      <c r="I271" s="16" t="str">
        <f>IFERROR(VLOOKUP($C271,[1]dados_2023!$C$3:$H$357,4,0),"-")</f>
        <v>-</v>
      </c>
      <c r="J271" s="16" t="str">
        <f>IFERROR(VLOOKUP($C271,[1]dados_2023!$C$3:$H$357,6,0),"-")</f>
        <v>-</v>
      </c>
    </row>
    <row r="272" spans="1:10" ht="18" customHeight="1" x14ac:dyDescent="0.3">
      <c r="A272" s="11">
        <v>8</v>
      </c>
      <c r="B272" s="12" t="s">
        <v>414</v>
      </c>
      <c r="C272" s="13">
        <v>1166613</v>
      </c>
      <c r="D272" s="14" t="s">
        <v>415</v>
      </c>
      <c r="E272" s="15">
        <v>9661.6000000000022</v>
      </c>
      <c r="F272" s="15">
        <f t="shared" si="14"/>
        <v>96616.000000000029</v>
      </c>
      <c r="G272" s="15">
        <v>35707</v>
      </c>
      <c r="H272" s="15">
        <f t="shared" si="15"/>
        <v>357070</v>
      </c>
      <c r="I272" s="16" t="str">
        <f>IFERROR(VLOOKUP($C272,[1]dados_2023!$C$3:$H$357,4,0),"-")</f>
        <v>-</v>
      </c>
      <c r="J272" s="16" t="str">
        <f>IFERROR(VLOOKUP($C272,[1]dados_2023!$C$3:$H$357,6,0),"-")</f>
        <v>-</v>
      </c>
    </row>
    <row r="273" spans="1:10" ht="18" customHeight="1" x14ac:dyDescent="0.3">
      <c r="A273" s="11">
        <v>8</v>
      </c>
      <c r="B273" s="12" t="s">
        <v>416</v>
      </c>
      <c r="C273" s="13">
        <v>1119283</v>
      </c>
      <c r="D273" s="14" t="s">
        <v>417</v>
      </c>
      <c r="E273" s="15">
        <v>10840</v>
      </c>
      <c r="F273" s="15">
        <f t="shared" si="14"/>
        <v>108400</v>
      </c>
      <c r="G273" s="15">
        <v>46395.200000000004</v>
      </c>
      <c r="H273" s="15">
        <f t="shared" si="15"/>
        <v>463952.00000000006</v>
      </c>
      <c r="I273" s="16" t="str">
        <f>IFERROR(VLOOKUP($C273,[1]dados_2023!$C$3:$H$357,4,0),"-")</f>
        <v>-</v>
      </c>
      <c r="J273" s="16" t="str">
        <f>IFERROR(VLOOKUP($C273,[1]dados_2023!$C$3:$H$357,6,0),"-")</f>
        <v>-</v>
      </c>
    </row>
    <row r="274" spans="1:10" ht="18" customHeight="1" x14ac:dyDescent="0.3">
      <c r="A274" s="11">
        <v>8</v>
      </c>
      <c r="B274" s="12" t="s">
        <v>416</v>
      </c>
      <c r="C274" s="13">
        <v>1178120</v>
      </c>
      <c r="D274" s="14" t="s">
        <v>418</v>
      </c>
      <c r="E274" s="15">
        <v>2145.8000000000002</v>
      </c>
      <c r="F274" s="15">
        <f t="shared" si="14"/>
        <v>21458</v>
      </c>
      <c r="G274" s="15">
        <v>9770.7999999999993</v>
      </c>
      <c r="H274" s="15">
        <f t="shared" si="15"/>
        <v>97708</v>
      </c>
      <c r="I274" s="16" t="str">
        <f>IFERROR(VLOOKUP($C274,[1]dados_2023!$C$3:$H$357,4,0),"-")</f>
        <v>-</v>
      </c>
      <c r="J274" s="16" t="str">
        <f>IFERROR(VLOOKUP($C274,[1]dados_2023!$C$3:$H$357,6,0),"-")</f>
        <v>-</v>
      </c>
    </row>
    <row r="275" spans="1:10" ht="18" customHeight="1" x14ac:dyDescent="0.3">
      <c r="A275" s="11">
        <v>8</v>
      </c>
      <c r="B275" s="12" t="s">
        <v>419</v>
      </c>
      <c r="C275" s="13">
        <v>1119380</v>
      </c>
      <c r="D275" s="14" t="s">
        <v>420</v>
      </c>
      <c r="E275" s="15">
        <v>6166.2</v>
      </c>
      <c r="F275" s="15">
        <f t="shared" si="14"/>
        <v>61662</v>
      </c>
      <c r="G275" s="15">
        <v>27294.800000000003</v>
      </c>
      <c r="H275" s="15">
        <f t="shared" si="15"/>
        <v>272948</v>
      </c>
      <c r="I275" s="16" t="str">
        <f>IFERROR(VLOOKUP($C275,[1]dados_2023!$C$3:$H$357,4,0),"-")</f>
        <v>-</v>
      </c>
      <c r="J275" s="16" t="str">
        <f>IFERROR(VLOOKUP($C275,[1]dados_2023!$C$3:$H$357,6,0),"-")</f>
        <v>-</v>
      </c>
    </row>
    <row r="276" spans="1:10" ht="18" customHeight="1" x14ac:dyDescent="0.3">
      <c r="A276" s="11">
        <v>8</v>
      </c>
      <c r="B276" s="12" t="s">
        <v>421</v>
      </c>
      <c r="C276" s="13">
        <v>1178270</v>
      </c>
      <c r="D276" s="14" t="s">
        <v>422</v>
      </c>
      <c r="E276" s="15">
        <v>3193.8</v>
      </c>
      <c r="F276" s="15">
        <f t="shared" si="14"/>
        <v>31938</v>
      </c>
      <c r="G276" s="15">
        <v>14171.2</v>
      </c>
      <c r="H276" s="15">
        <f t="shared" si="15"/>
        <v>141712</v>
      </c>
      <c r="I276" s="16" t="str">
        <f>IFERROR(VLOOKUP($C276,[1]dados_2023!$C$3:$H$357,4,0),"-")</f>
        <v>-</v>
      </c>
      <c r="J276" s="16" t="str">
        <f>IFERROR(VLOOKUP($C276,[1]dados_2023!$C$3:$H$357,6,0),"-")</f>
        <v>-</v>
      </c>
    </row>
    <row r="277" spans="1:10" ht="18" customHeight="1" x14ac:dyDescent="0.3">
      <c r="A277" s="11">
        <v>8</v>
      </c>
      <c r="B277" s="12" t="s">
        <v>423</v>
      </c>
      <c r="C277" s="13">
        <v>1118830</v>
      </c>
      <c r="D277" s="14" t="s">
        <v>424</v>
      </c>
      <c r="E277" s="15">
        <v>5673.4</v>
      </c>
      <c r="F277" s="15">
        <f t="shared" si="14"/>
        <v>56734</v>
      </c>
      <c r="G277" s="15">
        <v>25022.000000000004</v>
      </c>
      <c r="H277" s="15">
        <f t="shared" si="15"/>
        <v>250220.00000000003</v>
      </c>
      <c r="I277" s="16" t="str">
        <f>IFERROR(VLOOKUP($C277,[1]dados_2023!$C$3:$H$357,4,0),"-")</f>
        <v>-</v>
      </c>
      <c r="J277" s="16" t="str">
        <f>IFERROR(VLOOKUP($C277,[1]dados_2023!$C$3:$H$357,6,0),"-")</f>
        <v>-</v>
      </c>
    </row>
    <row r="278" spans="1:10" ht="18" customHeight="1" x14ac:dyDescent="0.3">
      <c r="A278" s="11">
        <v>8</v>
      </c>
      <c r="B278" s="12" t="s">
        <v>425</v>
      </c>
      <c r="C278" s="13">
        <v>1118872</v>
      </c>
      <c r="D278" s="14" t="s">
        <v>426</v>
      </c>
      <c r="E278" s="15">
        <v>5202.6000000000004</v>
      </c>
      <c r="F278" s="15">
        <f t="shared" si="14"/>
        <v>52026</v>
      </c>
      <c r="G278" s="15">
        <v>20731.599999999999</v>
      </c>
      <c r="H278" s="15">
        <f t="shared" si="15"/>
        <v>207316</v>
      </c>
      <c r="I278" s="16" t="str">
        <f>IFERROR(VLOOKUP($C278,[1]dados_2023!$C$3:$H$357,4,0),"-")</f>
        <v>-</v>
      </c>
      <c r="J278" s="16" t="str">
        <f>IFERROR(VLOOKUP($C278,[1]dados_2023!$C$3:$H$357,6,0),"-")</f>
        <v>-</v>
      </c>
    </row>
    <row r="279" spans="1:10" ht="18" customHeight="1" x14ac:dyDescent="0.3">
      <c r="A279" s="11">
        <v>8</v>
      </c>
      <c r="B279" s="12" t="s">
        <v>427</v>
      </c>
      <c r="C279" s="13">
        <v>1112785</v>
      </c>
      <c r="D279" s="14" t="s">
        <v>377</v>
      </c>
      <c r="E279" s="15">
        <v>2185</v>
      </c>
      <c r="F279" s="15">
        <f t="shared" si="14"/>
        <v>21850</v>
      </c>
      <c r="G279" s="15">
        <v>9989.6</v>
      </c>
      <c r="H279" s="15">
        <f t="shared" si="15"/>
        <v>99896</v>
      </c>
      <c r="I279" s="16" t="str">
        <f>IFERROR(VLOOKUP($C279,[1]dados_2023!$C$3:$H$357,4,0),"-")</f>
        <v>-</v>
      </c>
      <c r="J279" s="16" t="str">
        <f>IFERROR(VLOOKUP($C279,[1]dados_2023!$C$3:$H$357,6,0),"-")</f>
        <v>-</v>
      </c>
    </row>
    <row r="280" spans="1:10" ht="18" customHeight="1" x14ac:dyDescent="0.3">
      <c r="A280" s="11">
        <v>9</v>
      </c>
      <c r="B280" s="12" t="s">
        <v>428</v>
      </c>
      <c r="C280" s="13">
        <v>1167180</v>
      </c>
      <c r="D280" s="14" t="s">
        <v>429</v>
      </c>
      <c r="E280" s="15">
        <v>7110</v>
      </c>
      <c r="F280" s="15">
        <f t="shared" si="14"/>
        <v>71100</v>
      </c>
      <c r="G280" s="15">
        <v>30430.800000000003</v>
      </c>
      <c r="H280" s="15">
        <f t="shared" si="15"/>
        <v>304308</v>
      </c>
      <c r="I280" s="16" t="str">
        <f>IFERROR(VLOOKUP($C280,[1]dados_2023!$C$3:$H$357,4,0),"-")</f>
        <v>-</v>
      </c>
      <c r="J280" s="16" t="str">
        <f>IFERROR(VLOOKUP($C280,[1]dados_2023!$C$3:$H$357,6,0),"-")</f>
        <v>-</v>
      </c>
    </row>
    <row r="281" spans="1:10" ht="18" customHeight="1" x14ac:dyDescent="0.3">
      <c r="A281" s="11">
        <v>9</v>
      </c>
      <c r="B281" s="12" t="s">
        <v>428</v>
      </c>
      <c r="C281" s="13">
        <v>1109199</v>
      </c>
      <c r="D281" s="14" t="s">
        <v>430</v>
      </c>
      <c r="E281" s="15">
        <v>12919.6</v>
      </c>
      <c r="F281" s="15">
        <f t="shared" si="14"/>
        <v>129196</v>
      </c>
      <c r="G281" s="15">
        <v>42028.2</v>
      </c>
      <c r="H281" s="15">
        <f t="shared" si="15"/>
        <v>420282</v>
      </c>
      <c r="I281" s="16" t="str">
        <f>IFERROR(VLOOKUP($C281,[1]dados_2023!$C$3:$H$357,4,0),"-")</f>
        <v>-</v>
      </c>
      <c r="J281" s="16" t="str">
        <f>IFERROR(VLOOKUP($C281,[1]dados_2023!$C$3:$H$357,6,0),"-")</f>
        <v>-</v>
      </c>
    </row>
    <row r="282" spans="1:10" ht="18" customHeight="1" x14ac:dyDescent="0.3">
      <c r="A282" s="11">
        <v>9</v>
      </c>
      <c r="B282" s="12" t="s">
        <v>428</v>
      </c>
      <c r="C282" s="13">
        <v>1145462</v>
      </c>
      <c r="D282" s="14" t="s">
        <v>431</v>
      </c>
      <c r="E282" s="15">
        <v>10778.4</v>
      </c>
      <c r="F282" s="15">
        <f t="shared" si="14"/>
        <v>107784</v>
      </c>
      <c r="G282" s="15">
        <v>48486.200000000004</v>
      </c>
      <c r="H282" s="15">
        <f t="shared" si="15"/>
        <v>484862.00000000006</v>
      </c>
      <c r="I282" s="16" t="str">
        <f>IFERROR(VLOOKUP($C282,[1]dados_2023!$C$3:$H$357,4,0),"-")</f>
        <v>-</v>
      </c>
      <c r="J282" s="16" t="str">
        <f>IFERROR(VLOOKUP($C282,[1]dados_2023!$C$3:$H$357,6,0),"-")</f>
        <v>-</v>
      </c>
    </row>
    <row r="283" spans="1:10" ht="18" customHeight="1" x14ac:dyDescent="0.3">
      <c r="A283" s="11">
        <v>9</v>
      </c>
      <c r="B283" s="12" t="s">
        <v>432</v>
      </c>
      <c r="C283" s="13">
        <v>1176399</v>
      </c>
      <c r="D283" s="14" t="s">
        <v>433</v>
      </c>
      <c r="E283" s="15">
        <v>6886.4000000000005</v>
      </c>
      <c r="F283" s="15">
        <f t="shared" si="14"/>
        <v>68864</v>
      </c>
      <c r="G283" s="15">
        <v>25130.6</v>
      </c>
      <c r="H283" s="15">
        <f t="shared" si="15"/>
        <v>251306</v>
      </c>
      <c r="I283" s="16" t="str">
        <f>IFERROR(VLOOKUP($C283,[1]dados_2023!$C$3:$H$357,4,0),"-")</f>
        <v>-</v>
      </c>
      <c r="J283" s="16" t="str">
        <f>IFERROR(VLOOKUP($C283,[1]dados_2023!$C$3:$H$357,6,0),"-")</f>
        <v>-</v>
      </c>
    </row>
    <row r="284" spans="1:10" ht="18" customHeight="1" x14ac:dyDescent="0.3">
      <c r="A284" s="11">
        <v>9</v>
      </c>
      <c r="B284" s="12" t="s">
        <v>432</v>
      </c>
      <c r="C284" s="13">
        <v>1117175</v>
      </c>
      <c r="D284" s="14" t="s">
        <v>434</v>
      </c>
      <c r="E284" s="15">
        <v>5836.2000000000007</v>
      </c>
      <c r="F284" s="15">
        <f t="shared" si="14"/>
        <v>58362.000000000007</v>
      </c>
      <c r="G284" s="15">
        <v>23884</v>
      </c>
      <c r="H284" s="15">
        <f t="shared" si="15"/>
        <v>238840</v>
      </c>
      <c r="I284" s="16" t="str">
        <f>IFERROR(VLOOKUP($C284,[1]dados_2023!$C$3:$H$357,4,0),"-")</f>
        <v>-</v>
      </c>
      <c r="J284" s="16" t="str">
        <f>IFERROR(VLOOKUP($C284,[1]dados_2023!$C$3:$H$357,6,0),"-")</f>
        <v>-</v>
      </c>
    </row>
    <row r="285" spans="1:10" ht="18" customHeight="1" x14ac:dyDescent="0.3">
      <c r="A285" s="11">
        <v>9</v>
      </c>
      <c r="B285" s="12" t="s">
        <v>435</v>
      </c>
      <c r="C285" s="13">
        <v>1178045</v>
      </c>
      <c r="D285" s="14" t="s">
        <v>436</v>
      </c>
      <c r="E285" s="15">
        <v>5157.8</v>
      </c>
      <c r="F285" s="15">
        <f t="shared" si="14"/>
        <v>51578</v>
      </c>
      <c r="G285" s="15">
        <v>16978.800000000003</v>
      </c>
      <c r="H285" s="15">
        <f t="shared" si="15"/>
        <v>169788.00000000003</v>
      </c>
      <c r="I285" s="16" t="str">
        <f>IFERROR(VLOOKUP($C285,[1]dados_2023!$C$3:$H$357,4,0),"-")</f>
        <v>-</v>
      </c>
      <c r="J285" s="16" t="str">
        <f>IFERROR(VLOOKUP($C285,[1]dados_2023!$C$3:$H$357,6,0),"-")</f>
        <v>-</v>
      </c>
    </row>
    <row r="286" spans="1:10" ht="18" customHeight="1" x14ac:dyDescent="0.3">
      <c r="A286" s="11">
        <v>9</v>
      </c>
      <c r="B286" s="12" t="s">
        <v>437</v>
      </c>
      <c r="C286" s="13">
        <v>1109423</v>
      </c>
      <c r="D286" s="14" t="s">
        <v>438</v>
      </c>
      <c r="E286" s="15">
        <v>8966.4000000000015</v>
      </c>
      <c r="F286" s="15">
        <f t="shared" si="14"/>
        <v>89664.000000000015</v>
      </c>
      <c r="G286" s="15">
        <v>27347.4</v>
      </c>
      <c r="H286" s="15">
        <f t="shared" si="15"/>
        <v>273474</v>
      </c>
      <c r="I286" s="16" t="str">
        <f>IFERROR(VLOOKUP($C286,[1]dados_2023!$C$3:$H$357,4,0),"-")</f>
        <v>-</v>
      </c>
      <c r="J286" s="16" t="str">
        <f>IFERROR(VLOOKUP($C286,[1]dados_2023!$C$3:$H$357,6,0),"-")</f>
        <v>-</v>
      </c>
    </row>
    <row r="287" spans="1:10" ht="18" customHeight="1" x14ac:dyDescent="0.3">
      <c r="A287" s="11">
        <v>9</v>
      </c>
      <c r="B287" s="12" t="s">
        <v>439</v>
      </c>
      <c r="C287" s="13">
        <v>1176366</v>
      </c>
      <c r="D287" s="14" t="s">
        <v>440</v>
      </c>
      <c r="E287" s="15">
        <v>3005.8</v>
      </c>
      <c r="F287" s="15">
        <f t="shared" si="14"/>
        <v>30058</v>
      </c>
      <c r="G287" s="15">
        <v>13451.600000000002</v>
      </c>
      <c r="H287" s="15">
        <f t="shared" si="15"/>
        <v>134516.00000000003</v>
      </c>
      <c r="I287" s="16" t="str">
        <f>IFERROR(VLOOKUP($C287,[1]dados_2023!$C$3:$H$357,4,0),"-")</f>
        <v>-</v>
      </c>
      <c r="J287" s="16" t="str">
        <f>IFERROR(VLOOKUP($C287,[1]dados_2023!$C$3:$H$357,6,0),"-")</f>
        <v>-</v>
      </c>
    </row>
    <row r="288" spans="1:10" ht="18" customHeight="1" x14ac:dyDescent="0.3">
      <c r="A288" s="11">
        <v>9</v>
      </c>
      <c r="B288" s="12" t="s">
        <v>441</v>
      </c>
      <c r="C288" s="13">
        <v>1119470</v>
      </c>
      <c r="D288" s="14" t="s">
        <v>442</v>
      </c>
      <c r="E288" s="15">
        <v>3602.4</v>
      </c>
      <c r="F288" s="15">
        <f t="shared" si="14"/>
        <v>36024</v>
      </c>
      <c r="G288" s="15">
        <v>15690.400000000001</v>
      </c>
      <c r="H288" s="15">
        <f t="shared" si="15"/>
        <v>156904</v>
      </c>
      <c r="I288" s="16" t="str">
        <f>IFERROR(VLOOKUP($C288,[1]dados_2023!$C$3:$H$357,4,0),"-")</f>
        <v>-</v>
      </c>
      <c r="J288" s="16" t="str">
        <f>IFERROR(VLOOKUP($C288,[1]dados_2023!$C$3:$H$357,6,0),"-")</f>
        <v>-</v>
      </c>
    </row>
    <row r="289" spans="1:10" ht="18" customHeight="1" x14ac:dyDescent="0.3">
      <c r="A289" s="11">
        <v>9</v>
      </c>
      <c r="B289" s="12" t="s">
        <v>443</v>
      </c>
      <c r="C289" s="13">
        <v>1117566</v>
      </c>
      <c r="D289" s="14" t="s">
        <v>444</v>
      </c>
      <c r="E289" s="15">
        <v>4867.2</v>
      </c>
      <c r="F289" s="15">
        <f t="shared" si="14"/>
        <v>48672</v>
      </c>
      <c r="G289" s="15">
        <v>20435.2</v>
      </c>
      <c r="H289" s="15">
        <f t="shared" si="15"/>
        <v>204352</v>
      </c>
      <c r="I289" s="16" t="str">
        <f>IFERROR(VLOOKUP($C289,[1]dados_2023!$C$3:$H$357,4,0),"-")</f>
        <v>-</v>
      </c>
      <c r="J289" s="16" t="str">
        <f>IFERROR(VLOOKUP($C289,[1]dados_2023!$C$3:$H$357,6,0),"-")</f>
        <v>-</v>
      </c>
    </row>
    <row r="290" spans="1:10" ht="18" customHeight="1" x14ac:dyDescent="0.3">
      <c r="A290" s="11">
        <v>9</v>
      </c>
      <c r="B290" s="12" t="s">
        <v>445</v>
      </c>
      <c r="C290" s="13">
        <v>1119445</v>
      </c>
      <c r="D290" s="14" t="s">
        <v>446</v>
      </c>
      <c r="E290" s="15">
        <v>12384.2</v>
      </c>
      <c r="F290" s="15">
        <f t="shared" si="14"/>
        <v>123842</v>
      </c>
      <c r="G290" s="15">
        <v>53268</v>
      </c>
      <c r="H290" s="15">
        <f t="shared" si="15"/>
        <v>532680</v>
      </c>
      <c r="I290" s="16" t="str">
        <f>IFERROR(VLOOKUP($C290,[1]dados_2023!$C$3:$H$357,4,0),"-")</f>
        <v>-</v>
      </c>
      <c r="J290" s="16" t="str">
        <f>IFERROR(VLOOKUP($C290,[1]dados_2023!$C$3:$H$357,6,0),"-")</f>
        <v>-</v>
      </c>
    </row>
    <row r="291" spans="1:10" ht="18" customHeight="1" x14ac:dyDescent="0.3">
      <c r="A291" s="11">
        <v>9</v>
      </c>
      <c r="B291" s="12" t="s">
        <v>445</v>
      </c>
      <c r="C291" s="13">
        <v>1118007</v>
      </c>
      <c r="D291" s="14" t="s">
        <v>447</v>
      </c>
      <c r="E291" s="15">
        <v>4160</v>
      </c>
      <c r="F291" s="15">
        <f t="shared" si="14"/>
        <v>41600</v>
      </c>
      <c r="G291" s="15">
        <v>17804.8</v>
      </c>
      <c r="H291" s="15">
        <f t="shared" si="15"/>
        <v>178048</v>
      </c>
      <c r="I291" s="16" t="str">
        <f>IFERROR(VLOOKUP($C291,[1]dados_2023!$C$3:$H$357,4,0),"-")</f>
        <v>-</v>
      </c>
      <c r="J291" s="16" t="str">
        <f>IFERROR(VLOOKUP($C291,[1]dados_2023!$C$3:$H$357,6,0),"-")</f>
        <v>-</v>
      </c>
    </row>
    <row r="292" spans="1:10" ht="18" customHeight="1" x14ac:dyDescent="0.3">
      <c r="A292" s="11">
        <v>9</v>
      </c>
      <c r="B292" s="12" t="s">
        <v>445</v>
      </c>
      <c r="C292" s="13">
        <v>1118023</v>
      </c>
      <c r="D292" s="14" t="s">
        <v>448</v>
      </c>
      <c r="E292" s="15">
        <v>4706</v>
      </c>
      <c r="F292" s="15">
        <f t="shared" si="14"/>
        <v>47060</v>
      </c>
      <c r="G292" s="15">
        <v>20919.2</v>
      </c>
      <c r="H292" s="15">
        <f t="shared" si="15"/>
        <v>209192</v>
      </c>
      <c r="I292" s="16" t="str">
        <f>IFERROR(VLOOKUP($C292,[1]dados_2023!$C$3:$H$357,4,0),"-")</f>
        <v>-</v>
      </c>
      <c r="J292" s="16" t="str">
        <f>IFERROR(VLOOKUP($C292,[1]dados_2023!$C$3:$H$357,6,0),"-")</f>
        <v>-</v>
      </c>
    </row>
    <row r="293" spans="1:10" ht="18" customHeight="1" x14ac:dyDescent="0.3">
      <c r="A293" s="11">
        <v>9</v>
      </c>
      <c r="B293" s="12" t="s">
        <v>445</v>
      </c>
      <c r="C293" s="13">
        <v>1119461</v>
      </c>
      <c r="D293" s="14" t="s">
        <v>449</v>
      </c>
      <c r="E293" s="15">
        <v>8054</v>
      </c>
      <c r="F293" s="15">
        <f t="shared" si="14"/>
        <v>80540</v>
      </c>
      <c r="G293" s="15">
        <v>34701</v>
      </c>
      <c r="H293" s="15">
        <f t="shared" si="15"/>
        <v>347010</v>
      </c>
      <c r="I293" s="16" t="str">
        <f>IFERROR(VLOOKUP($C293,[1]dados_2023!$C$3:$H$357,4,0),"-")</f>
        <v>-</v>
      </c>
      <c r="J293" s="16" t="str">
        <f>IFERROR(VLOOKUP($C293,[1]dados_2023!$C$3:$H$357,6,0),"-")</f>
        <v>-</v>
      </c>
    </row>
    <row r="294" spans="1:10" ht="18" customHeight="1" x14ac:dyDescent="0.3">
      <c r="A294" s="11">
        <v>9</v>
      </c>
      <c r="B294" s="12" t="s">
        <v>450</v>
      </c>
      <c r="C294" s="13">
        <v>1110308</v>
      </c>
      <c r="D294" s="14" t="s">
        <v>451</v>
      </c>
      <c r="E294" s="15">
        <v>9968.2000000000007</v>
      </c>
      <c r="F294" s="15">
        <f t="shared" si="14"/>
        <v>99682</v>
      </c>
      <c r="G294" s="15">
        <v>37097.4</v>
      </c>
      <c r="H294" s="15">
        <f t="shared" si="15"/>
        <v>370974</v>
      </c>
      <c r="I294" s="16" t="str">
        <f>IFERROR(VLOOKUP($C294,[1]dados_2023!$C$3:$H$357,4,0),"-")</f>
        <v>-</v>
      </c>
      <c r="J294" s="16" t="str">
        <f>IFERROR(VLOOKUP($C294,[1]dados_2023!$C$3:$H$357,6,0),"-")</f>
        <v>-</v>
      </c>
    </row>
    <row r="295" spans="1:10" ht="18" customHeight="1" x14ac:dyDescent="0.3">
      <c r="A295" s="11">
        <v>9</v>
      </c>
      <c r="B295" s="12" t="s">
        <v>452</v>
      </c>
      <c r="C295" s="13">
        <v>1118066</v>
      </c>
      <c r="D295" s="14" t="s">
        <v>453</v>
      </c>
      <c r="E295" s="15">
        <v>1652.4</v>
      </c>
      <c r="F295" s="15">
        <f t="shared" si="14"/>
        <v>16524</v>
      </c>
      <c r="G295" s="15">
        <v>7344.4000000000005</v>
      </c>
      <c r="H295" s="15">
        <f t="shared" si="15"/>
        <v>73444</v>
      </c>
      <c r="I295" s="16" t="str">
        <f>IFERROR(VLOOKUP($C295,[1]dados_2023!$C$3:$H$357,4,0),"-")</f>
        <v>-</v>
      </c>
      <c r="J295" s="16" t="str">
        <f>IFERROR(VLOOKUP($C295,[1]dados_2023!$C$3:$H$357,6,0),"-")</f>
        <v>-</v>
      </c>
    </row>
    <row r="296" spans="1:10" ht="18" customHeight="1" x14ac:dyDescent="0.3">
      <c r="A296" s="11">
        <v>9</v>
      </c>
      <c r="B296" s="12" t="s">
        <v>454</v>
      </c>
      <c r="C296" s="13">
        <v>1110359</v>
      </c>
      <c r="D296" s="14" t="s">
        <v>455</v>
      </c>
      <c r="E296" s="15">
        <v>1750</v>
      </c>
      <c r="F296" s="15">
        <f t="shared" si="14"/>
        <v>17500</v>
      </c>
      <c r="G296" s="15">
        <v>7490</v>
      </c>
      <c r="H296" s="15">
        <f t="shared" si="15"/>
        <v>74900</v>
      </c>
      <c r="I296" s="16" t="str">
        <f>IFERROR(VLOOKUP($C296,[1]dados_2023!$C$3:$H$357,4,0),"-")</f>
        <v>-</v>
      </c>
      <c r="J296" s="16" t="str">
        <f>IFERROR(VLOOKUP($C296,[1]dados_2023!$C$3:$H$357,6,0),"-")</f>
        <v>-</v>
      </c>
    </row>
    <row r="297" spans="1:10" ht="18" customHeight="1" x14ac:dyDescent="0.3">
      <c r="A297" s="11">
        <v>9</v>
      </c>
      <c r="B297" s="12" t="s">
        <v>454</v>
      </c>
      <c r="C297" s="13">
        <v>1178269</v>
      </c>
      <c r="D297" s="14" t="s">
        <v>456</v>
      </c>
      <c r="E297" s="15">
        <v>10678.6</v>
      </c>
      <c r="F297" s="15">
        <f t="shared" si="14"/>
        <v>106786</v>
      </c>
      <c r="G297" s="15">
        <v>45570</v>
      </c>
      <c r="H297" s="15">
        <f t="shared" si="15"/>
        <v>455700</v>
      </c>
      <c r="I297" s="16" t="str">
        <f>IFERROR(VLOOKUP($C297,[1]dados_2023!$C$3:$H$357,4,0),"-")</f>
        <v>-</v>
      </c>
      <c r="J297" s="16" t="str">
        <f>IFERROR(VLOOKUP($C297,[1]dados_2023!$C$3:$H$357,6,0),"-")</f>
        <v>-</v>
      </c>
    </row>
    <row r="298" spans="1:10" ht="18" customHeight="1" x14ac:dyDescent="0.3">
      <c r="A298" s="11">
        <v>9</v>
      </c>
      <c r="B298" s="12" t="s">
        <v>457</v>
      </c>
      <c r="C298" s="13">
        <v>1166796</v>
      </c>
      <c r="D298" s="14" t="s">
        <v>458</v>
      </c>
      <c r="E298" s="15">
        <v>3553.8</v>
      </c>
      <c r="F298" s="15">
        <f t="shared" si="14"/>
        <v>35538</v>
      </c>
      <c r="G298" s="15">
        <v>16137.199999999999</v>
      </c>
      <c r="H298" s="15">
        <f t="shared" si="15"/>
        <v>161372</v>
      </c>
      <c r="I298" s="16" t="str">
        <f>IFERROR(VLOOKUP($C298,[1]dados_2023!$C$3:$H$357,4,0),"-")</f>
        <v>-</v>
      </c>
      <c r="J298" s="16" t="str">
        <f>IFERROR(VLOOKUP($C298,[1]dados_2023!$C$3:$H$357,6,0),"-")</f>
        <v>-</v>
      </c>
    </row>
    <row r="299" spans="1:10" ht="18" customHeight="1" x14ac:dyDescent="0.3">
      <c r="A299" s="11">
        <v>9</v>
      </c>
      <c r="B299" s="12" t="s">
        <v>459</v>
      </c>
      <c r="C299" s="13">
        <v>1176455</v>
      </c>
      <c r="D299" s="14" t="s">
        <v>460</v>
      </c>
      <c r="E299" s="15">
        <v>8668.6</v>
      </c>
      <c r="F299" s="15">
        <f t="shared" si="14"/>
        <v>86686</v>
      </c>
      <c r="G299" s="15">
        <v>37722.400000000001</v>
      </c>
      <c r="H299" s="15">
        <f t="shared" si="15"/>
        <v>377224</v>
      </c>
      <c r="I299" s="16" t="str">
        <f>IFERROR(VLOOKUP($C299,[1]dados_2023!$C$3:$H$357,4,0),"-")</f>
        <v>-</v>
      </c>
      <c r="J299" s="16" t="str">
        <f>IFERROR(VLOOKUP($C299,[1]dados_2023!$C$3:$H$357,6,0),"-")</f>
        <v>-</v>
      </c>
    </row>
    <row r="300" spans="1:10" ht="18" customHeight="1" x14ac:dyDescent="0.3">
      <c r="A300" s="11">
        <v>9</v>
      </c>
      <c r="B300" s="12" t="s">
        <v>459</v>
      </c>
      <c r="C300" s="13">
        <v>1118171</v>
      </c>
      <c r="D300" s="14" t="s">
        <v>434</v>
      </c>
      <c r="E300" s="15">
        <v>3290</v>
      </c>
      <c r="F300" s="15">
        <f t="shared" si="14"/>
        <v>32900</v>
      </c>
      <c r="G300" s="15">
        <v>14081.2</v>
      </c>
      <c r="H300" s="15">
        <f t="shared" si="15"/>
        <v>140812</v>
      </c>
      <c r="I300" s="16" t="str">
        <f>IFERROR(VLOOKUP($C300,[1]dados_2023!$C$3:$H$357,4,0),"-")</f>
        <v>-</v>
      </c>
      <c r="J300" s="16" t="str">
        <f>IFERROR(VLOOKUP($C300,[1]dados_2023!$C$3:$H$357,6,0),"-")</f>
        <v>-</v>
      </c>
    </row>
    <row r="301" spans="1:10" ht="18" customHeight="1" x14ac:dyDescent="0.3">
      <c r="A301" s="11">
        <v>9</v>
      </c>
      <c r="B301" s="12" t="s">
        <v>461</v>
      </c>
      <c r="C301" s="13">
        <v>1179694</v>
      </c>
      <c r="D301" s="14" t="s">
        <v>462</v>
      </c>
      <c r="E301" s="15">
        <v>8425.6</v>
      </c>
      <c r="F301" s="15">
        <f t="shared" si="14"/>
        <v>84256</v>
      </c>
      <c r="G301" s="15">
        <v>27770.6</v>
      </c>
      <c r="H301" s="15">
        <f t="shared" si="15"/>
        <v>277706</v>
      </c>
      <c r="I301" s="16" t="str">
        <f>IFERROR(VLOOKUP($C301,[1]dados_2023!$C$3:$H$357,4,0),"-")</f>
        <v>-</v>
      </c>
      <c r="J301" s="16" t="str">
        <f>IFERROR(VLOOKUP($C301,[1]dados_2023!$C$3:$H$357,6,0),"-")</f>
        <v>-</v>
      </c>
    </row>
    <row r="302" spans="1:10" ht="18" customHeight="1" x14ac:dyDescent="0.3">
      <c r="A302" s="11">
        <v>9</v>
      </c>
      <c r="B302" s="12" t="s">
        <v>463</v>
      </c>
      <c r="C302" s="13">
        <v>1177069</v>
      </c>
      <c r="D302" s="14" t="s">
        <v>464</v>
      </c>
      <c r="E302" s="15">
        <v>9749.7999999999993</v>
      </c>
      <c r="F302" s="15">
        <f t="shared" si="14"/>
        <v>97498</v>
      </c>
      <c r="G302" s="15">
        <v>39469.200000000004</v>
      </c>
      <c r="H302" s="15">
        <f t="shared" si="15"/>
        <v>394692.00000000006</v>
      </c>
      <c r="I302" s="16" t="str">
        <f>IFERROR(VLOOKUP($C302,[1]dados_2023!$C$3:$H$357,4,0),"-")</f>
        <v>-</v>
      </c>
      <c r="J302" s="16" t="str">
        <f>IFERROR(VLOOKUP($C302,[1]dados_2023!$C$3:$H$357,6,0),"-")</f>
        <v>-</v>
      </c>
    </row>
    <row r="303" spans="1:10" ht="18" customHeight="1" x14ac:dyDescent="0.3">
      <c r="A303" s="11">
        <v>9</v>
      </c>
      <c r="B303" s="12" t="s">
        <v>465</v>
      </c>
      <c r="C303" s="13">
        <v>1118414</v>
      </c>
      <c r="D303" s="14" t="s">
        <v>35</v>
      </c>
      <c r="E303" s="15">
        <v>7687.6</v>
      </c>
      <c r="F303" s="15">
        <f t="shared" si="14"/>
        <v>76876</v>
      </c>
      <c r="G303" s="15">
        <v>22896</v>
      </c>
      <c r="H303" s="15">
        <f t="shared" si="15"/>
        <v>228960</v>
      </c>
      <c r="I303" s="16" t="str">
        <f>IFERROR(VLOOKUP($C303,[1]dados_2023!$C$3:$H$357,4,0),"-")</f>
        <v>-</v>
      </c>
      <c r="J303" s="16" t="str">
        <f>IFERROR(VLOOKUP($C303,[1]dados_2023!$C$3:$H$357,6,0),"-")</f>
        <v>-</v>
      </c>
    </row>
    <row r="304" spans="1:10" ht="18" customHeight="1" x14ac:dyDescent="0.3">
      <c r="A304" s="11">
        <v>9</v>
      </c>
      <c r="B304" s="12" t="s">
        <v>466</v>
      </c>
      <c r="C304" s="13">
        <v>1166877</v>
      </c>
      <c r="D304" s="14" t="s">
        <v>467</v>
      </c>
      <c r="E304" s="15">
        <v>4120</v>
      </c>
      <c r="F304" s="15">
        <f t="shared" si="14"/>
        <v>41200</v>
      </c>
      <c r="G304" s="15">
        <v>18058.800000000003</v>
      </c>
      <c r="H304" s="15">
        <f t="shared" si="15"/>
        <v>180588.00000000003</v>
      </c>
      <c r="I304" s="16" t="str">
        <f>IFERROR(VLOOKUP($C304,[1]dados_2023!$C$3:$H$357,4,0),"-")</f>
        <v>-</v>
      </c>
      <c r="J304" s="16" t="str">
        <f>IFERROR(VLOOKUP($C304,[1]dados_2023!$C$3:$H$357,6,0),"-")</f>
        <v>-</v>
      </c>
    </row>
    <row r="305" spans="1:10" ht="18" customHeight="1" x14ac:dyDescent="0.3">
      <c r="A305" s="11">
        <v>9</v>
      </c>
      <c r="B305" s="12" t="s">
        <v>468</v>
      </c>
      <c r="C305" s="13">
        <v>1118287</v>
      </c>
      <c r="D305" s="14" t="s">
        <v>469</v>
      </c>
      <c r="E305" s="15">
        <v>5717.6</v>
      </c>
      <c r="F305" s="15">
        <f t="shared" si="14"/>
        <v>57176</v>
      </c>
      <c r="G305" s="15">
        <v>19936.2</v>
      </c>
      <c r="H305" s="15">
        <f t="shared" si="15"/>
        <v>199362</v>
      </c>
      <c r="I305" s="16" t="str">
        <f>IFERROR(VLOOKUP($C305,[1]dados_2023!$C$3:$H$357,4,0),"-")</f>
        <v>-</v>
      </c>
      <c r="J305" s="16" t="str">
        <f>IFERROR(VLOOKUP($C305,[1]dados_2023!$C$3:$H$357,6,0),"-")</f>
        <v>-</v>
      </c>
    </row>
    <row r="306" spans="1:10" ht="18" customHeight="1" x14ac:dyDescent="0.3">
      <c r="A306" s="11">
        <v>9</v>
      </c>
      <c r="B306" s="12" t="s">
        <v>470</v>
      </c>
      <c r="C306" s="13">
        <v>1109563</v>
      </c>
      <c r="D306" s="14" t="s">
        <v>471</v>
      </c>
      <c r="E306" s="15">
        <v>3960</v>
      </c>
      <c r="F306" s="15">
        <f t="shared" si="14"/>
        <v>39600</v>
      </c>
      <c r="G306" s="15">
        <v>17799.2</v>
      </c>
      <c r="H306" s="15">
        <f t="shared" si="15"/>
        <v>177992</v>
      </c>
      <c r="I306" s="16" t="str">
        <f>IFERROR(VLOOKUP($C306,[1]dados_2023!$C$3:$H$357,4,0),"-")</f>
        <v>-</v>
      </c>
      <c r="J306" s="16" t="str">
        <f>IFERROR(VLOOKUP($C306,[1]dados_2023!$C$3:$H$357,6,0),"-")</f>
        <v>-</v>
      </c>
    </row>
    <row r="307" spans="1:10" ht="18" customHeight="1" x14ac:dyDescent="0.3">
      <c r="A307" s="11">
        <v>9</v>
      </c>
      <c r="B307" s="12" t="s">
        <v>472</v>
      </c>
      <c r="C307" s="13">
        <v>1110529</v>
      </c>
      <c r="D307" s="14" t="s">
        <v>473</v>
      </c>
      <c r="E307" s="15">
        <v>7217.2000000000007</v>
      </c>
      <c r="F307" s="15">
        <f t="shared" si="14"/>
        <v>72172</v>
      </c>
      <c r="G307" s="15">
        <v>31344.600000000002</v>
      </c>
      <c r="H307" s="15">
        <f t="shared" si="15"/>
        <v>313446</v>
      </c>
      <c r="I307" s="16" t="str">
        <f>IFERROR(VLOOKUP($C307,[1]dados_2023!$C$3:$H$357,4,0),"-")</f>
        <v>-</v>
      </c>
      <c r="J307" s="16" t="str">
        <f>IFERROR(VLOOKUP($C307,[1]dados_2023!$C$3:$H$357,6,0),"-")</f>
        <v>-</v>
      </c>
    </row>
    <row r="308" spans="1:10" ht="18" customHeight="1" x14ac:dyDescent="0.3">
      <c r="A308" s="11">
        <v>10</v>
      </c>
      <c r="B308" s="12" t="s">
        <v>474</v>
      </c>
      <c r="C308" s="13">
        <v>1178278</v>
      </c>
      <c r="D308" s="14" t="s">
        <v>475</v>
      </c>
      <c r="E308" s="15">
        <v>6640.4</v>
      </c>
      <c r="F308" s="15">
        <f t="shared" si="14"/>
        <v>66404</v>
      </c>
      <c r="G308" s="15">
        <v>27624</v>
      </c>
      <c r="H308" s="15">
        <f t="shared" si="15"/>
        <v>276240</v>
      </c>
      <c r="I308" s="16" t="str">
        <f>IFERROR(VLOOKUP($C308,[1]dados_2023!$C$3:$H$357,4,0),"-")</f>
        <v>-</v>
      </c>
      <c r="J308" s="16" t="str">
        <f>IFERROR(VLOOKUP($C308,[1]dados_2023!$C$3:$H$357,6,0),"-")</f>
        <v>-</v>
      </c>
    </row>
    <row r="309" spans="1:10" ht="18" customHeight="1" x14ac:dyDescent="0.3">
      <c r="A309" s="11">
        <v>10</v>
      </c>
      <c r="B309" s="12" t="s">
        <v>476</v>
      </c>
      <c r="C309" s="13">
        <v>1176454</v>
      </c>
      <c r="D309" s="14" t="s">
        <v>477</v>
      </c>
      <c r="E309" s="15">
        <v>7176.2</v>
      </c>
      <c r="F309" s="15">
        <f t="shared" si="14"/>
        <v>71762</v>
      </c>
      <c r="G309" s="15">
        <v>31913.199999999997</v>
      </c>
      <c r="H309" s="15">
        <f t="shared" si="15"/>
        <v>319132</v>
      </c>
      <c r="I309" s="16" t="str">
        <f>IFERROR(VLOOKUP($C309,[1]dados_2023!$C$3:$H$357,4,0),"-")</f>
        <v>-</v>
      </c>
      <c r="J309" s="16" t="str">
        <f>IFERROR(VLOOKUP($C309,[1]dados_2023!$C$3:$H$357,6,0),"-")</f>
        <v>-</v>
      </c>
    </row>
    <row r="310" spans="1:10" ht="18" customHeight="1" x14ac:dyDescent="0.3">
      <c r="A310" s="11">
        <v>10</v>
      </c>
      <c r="B310" s="12" t="s">
        <v>478</v>
      </c>
      <c r="C310" s="13">
        <v>1179687</v>
      </c>
      <c r="D310" s="14" t="s">
        <v>479</v>
      </c>
      <c r="E310" s="15">
        <v>23445.600000000002</v>
      </c>
      <c r="F310" s="15">
        <f t="shared" si="14"/>
        <v>234456.00000000003</v>
      </c>
      <c r="G310" s="15">
        <v>100570.20000000001</v>
      </c>
      <c r="H310" s="15">
        <f t="shared" si="15"/>
        <v>1005702.0000000001</v>
      </c>
      <c r="I310" s="16" t="str">
        <f>IFERROR(VLOOKUP($C310,[1]dados_2023!$C$3:$H$357,4,0),"-")</f>
        <v>-</v>
      </c>
      <c r="J310" s="16" t="str">
        <f>IFERROR(VLOOKUP($C310,[1]dados_2023!$C$3:$H$357,6,0),"-")</f>
        <v>-</v>
      </c>
    </row>
    <row r="311" spans="1:10" ht="18" customHeight="1" x14ac:dyDescent="0.3">
      <c r="A311" s="11">
        <v>10</v>
      </c>
      <c r="B311" s="12" t="s">
        <v>478</v>
      </c>
      <c r="C311" s="13">
        <v>1179592</v>
      </c>
      <c r="D311" s="14" t="s">
        <v>480</v>
      </c>
      <c r="E311" s="15">
        <v>8649</v>
      </c>
      <c r="F311" s="15">
        <f t="shared" si="14"/>
        <v>86490</v>
      </c>
      <c r="G311" s="15">
        <v>30023.4</v>
      </c>
      <c r="H311" s="15">
        <f t="shared" si="15"/>
        <v>300234</v>
      </c>
      <c r="I311" s="16" t="str">
        <f>IFERROR(VLOOKUP($C311,[1]dados_2023!$C$3:$H$357,4,0),"-")</f>
        <v>-</v>
      </c>
      <c r="J311" s="16" t="str">
        <f>IFERROR(VLOOKUP($C311,[1]dados_2023!$C$3:$H$357,6,0),"-")</f>
        <v>-</v>
      </c>
    </row>
    <row r="312" spans="1:10" ht="18" customHeight="1" x14ac:dyDescent="0.3">
      <c r="A312" s="11">
        <v>10</v>
      </c>
      <c r="B312" s="12" t="s">
        <v>478</v>
      </c>
      <c r="C312" s="13">
        <v>1179712</v>
      </c>
      <c r="D312" s="14" t="s">
        <v>481</v>
      </c>
      <c r="E312" s="15">
        <v>3233</v>
      </c>
      <c r="F312" s="15">
        <f t="shared" si="14"/>
        <v>32330</v>
      </c>
      <c r="G312" s="15">
        <v>12815.800000000001</v>
      </c>
      <c r="H312" s="15">
        <f t="shared" si="15"/>
        <v>128158.00000000001</v>
      </c>
      <c r="I312" s="16" t="str">
        <f>IFERROR(VLOOKUP($C312,[1]dados_2023!$C$3:$H$357,4,0),"-")</f>
        <v>-</v>
      </c>
      <c r="J312" s="16" t="str">
        <f>IFERROR(VLOOKUP($C312,[1]dados_2023!$C$3:$H$357,6,0),"-")</f>
        <v>-</v>
      </c>
    </row>
    <row r="313" spans="1:10" ht="18" customHeight="1" x14ac:dyDescent="0.3">
      <c r="A313" s="11">
        <v>10</v>
      </c>
      <c r="B313" s="12" t="s">
        <v>482</v>
      </c>
      <c r="C313" s="13">
        <v>1161638</v>
      </c>
      <c r="D313" s="14" t="s">
        <v>483</v>
      </c>
      <c r="E313" s="15">
        <v>14099</v>
      </c>
      <c r="F313" s="15">
        <f t="shared" si="14"/>
        <v>140990</v>
      </c>
      <c r="G313" s="15">
        <v>54104.600000000006</v>
      </c>
      <c r="H313" s="15">
        <f t="shared" si="15"/>
        <v>541046</v>
      </c>
      <c r="I313" s="16" t="str">
        <f>IFERROR(VLOOKUP($C313,[1]dados_2023!$C$3:$H$357,4,0),"-")</f>
        <v>-</v>
      </c>
      <c r="J313" s="16" t="str">
        <f>IFERROR(VLOOKUP($C313,[1]dados_2023!$C$3:$H$357,6,0),"-")</f>
        <v>-</v>
      </c>
    </row>
    <row r="314" spans="1:10" s="24" customFormat="1" ht="18" customHeight="1" x14ac:dyDescent="0.3">
      <c r="A314" s="11">
        <v>10</v>
      </c>
      <c r="B314" s="12" t="s">
        <v>482</v>
      </c>
      <c r="C314" s="13">
        <v>1170823</v>
      </c>
      <c r="D314" s="14" t="s">
        <v>484</v>
      </c>
      <c r="E314" s="15">
        <v>3379.2</v>
      </c>
      <c r="F314" s="15">
        <f t="shared" si="14"/>
        <v>33792</v>
      </c>
      <c r="G314" s="15">
        <v>14939.2</v>
      </c>
      <c r="H314" s="15">
        <f t="shared" si="15"/>
        <v>149392</v>
      </c>
      <c r="I314" s="16" t="str">
        <f>IFERROR(VLOOKUP($C314,[1]dados_2023!$C$3:$H$357,4,0),"-")</f>
        <v>-</v>
      </c>
      <c r="J314" s="16" t="str">
        <f>IFERROR(VLOOKUP($C314,[1]dados_2023!$C$3:$H$357,6,0),"-")</f>
        <v>-</v>
      </c>
    </row>
    <row r="315" spans="1:10" ht="18" customHeight="1" x14ac:dyDescent="0.3">
      <c r="A315" s="11">
        <v>10</v>
      </c>
      <c r="B315" s="12" t="s">
        <v>482</v>
      </c>
      <c r="C315" s="13">
        <v>1161654</v>
      </c>
      <c r="D315" s="14" t="s">
        <v>485</v>
      </c>
      <c r="E315" s="15">
        <v>2367</v>
      </c>
      <c r="F315" s="15">
        <f t="shared" si="14"/>
        <v>23670</v>
      </c>
      <c r="G315" s="15">
        <v>10853.6</v>
      </c>
      <c r="H315" s="15">
        <f t="shared" si="15"/>
        <v>108536</v>
      </c>
      <c r="I315" s="16" t="str">
        <f>IFERROR(VLOOKUP($C315,[1]dados_2023!$C$3:$H$357,4,0),"-")</f>
        <v>-</v>
      </c>
      <c r="J315" s="16" t="str">
        <f>IFERROR(VLOOKUP($C315,[1]dados_2023!$C$3:$H$357,6,0),"-")</f>
        <v>-</v>
      </c>
    </row>
    <row r="316" spans="1:10" ht="18" customHeight="1" x14ac:dyDescent="0.3">
      <c r="A316" s="11">
        <v>10</v>
      </c>
      <c r="B316" s="12" t="s">
        <v>486</v>
      </c>
      <c r="C316" s="13">
        <v>1120494</v>
      </c>
      <c r="D316" s="14" t="s">
        <v>487</v>
      </c>
      <c r="E316" s="15">
        <v>6170</v>
      </c>
      <c r="F316" s="15">
        <f t="shared" si="14"/>
        <v>61700</v>
      </c>
      <c r="G316" s="15">
        <v>26407.600000000002</v>
      </c>
      <c r="H316" s="15">
        <f t="shared" si="15"/>
        <v>264076</v>
      </c>
      <c r="I316" s="16" t="str">
        <f>IFERROR(VLOOKUP($C316,[1]dados_2023!$C$3:$H$357,4,0),"-")</f>
        <v>-</v>
      </c>
      <c r="J316" s="16" t="str">
        <f>IFERROR(VLOOKUP($C316,[1]dados_2023!$C$3:$H$357,6,0),"-")</f>
        <v>-</v>
      </c>
    </row>
    <row r="317" spans="1:10" ht="18" customHeight="1" x14ac:dyDescent="0.3">
      <c r="A317" s="11">
        <v>10</v>
      </c>
      <c r="B317" s="12" t="s">
        <v>486</v>
      </c>
      <c r="C317" s="13">
        <v>1179111</v>
      </c>
      <c r="D317" s="14" t="s">
        <v>488</v>
      </c>
      <c r="E317" s="15">
        <v>12810</v>
      </c>
      <c r="F317" s="15">
        <f t="shared" si="14"/>
        <v>128100</v>
      </c>
      <c r="G317" s="15">
        <v>54826.8</v>
      </c>
      <c r="H317" s="15">
        <f t="shared" si="15"/>
        <v>548268</v>
      </c>
      <c r="I317" s="16" t="str">
        <f>IFERROR(VLOOKUP($C317,[1]dados_2023!$C$3:$H$357,4,0),"-")</f>
        <v>-</v>
      </c>
      <c r="J317" s="16" t="str">
        <f>IFERROR(VLOOKUP($C317,[1]dados_2023!$C$3:$H$357,6,0),"-")</f>
        <v>-</v>
      </c>
    </row>
    <row r="318" spans="1:10" ht="18" customHeight="1" x14ac:dyDescent="0.3">
      <c r="A318" s="11">
        <v>10</v>
      </c>
      <c r="B318" s="12" t="s">
        <v>486</v>
      </c>
      <c r="C318" s="13">
        <v>1161085</v>
      </c>
      <c r="D318" s="14" t="s">
        <v>489</v>
      </c>
      <c r="E318" s="15">
        <v>10720</v>
      </c>
      <c r="F318" s="15">
        <f t="shared" si="14"/>
        <v>107200</v>
      </c>
      <c r="G318" s="15">
        <v>45881.599999999999</v>
      </c>
      <c r="H318" s="15">
        <f t="shared" si="15"/>
        <v>458816</v>
      </c>
      <c r="I318" s="16" t="str">
        <f>IFERROR(VLOOKUP($C318,[1]dados_2023!$C$3:$H$357,4,0),"-")</f>
        <v>-</v>
      </c>
      <c r="J318" s="16" t="str">
        <f>IFERROR(VLOOKUP($C318,[1]dados_2023!$C$3:$H$357,6,0),"-")</f>
        <v>-</v>
      </c>
    </row>
    <row r="319" spans="1:10" ht="18" customHeight="1" x14ac:dyDescent="0.3">
      <c r="A319" s="11">
        <v>10</v>
      </c>
      <c r="B319" s="12" t="s">
        <v>486</v>
      </c>
      <c r="C319" s="13">
        <v>1120311</v>
      </c>
      <c r="D319" s="14" t="s">
        <v>490</v>
      </c>
      <c r="E319" s="15">
        <v>12140</v>
      </c>
      <c r="F319" s="15">
        <f t="shared" si="14"/>
        <v>121400</v>
      </c>
      <c r="G319" s="15">
        <v>51959.199999999997</v>
      </c>
      <c r="H319" s="15">
        <f t="shared" si="15"/>
        <v>519592</v>
      </c>
      <c r="I319" s="16" t="str">
        <f>IFERROR(VLOOKUP($C319,[1]dados_2023!$C$3:$H$357,4,0),"-")</f>
        <v>-</v>
      </c>
      <c r="J319" s="16" t="str">
        <f>IFERROR(VLOOKUP($C319,[1]dados_2023!$C$3:$H$357,6,0),"-")</f>
        <v>-</v>
      </c>
    </row>
    <row r="320" spans="1:10" ht="18" customHeight="1" x14ac:dyDescent="0.3">
      <c r="A320" s="11">
        <v>10</v>
      </c>
      <c r="B320" s="12" t="s">
        <v>486</v>
      </c>
      <c r="C320" s="13">
        <v>1161034</v>
      </c>
      <c r="D320" s="14" t="s">
        <v>491</v>
      </c>
      <c r="E320" s="15">
        <v>15751.800000000001</v>
      </c>
      <c r="F320" s="15">
        <f t="shared" si="14"/>
        <v>157518</v>
      </c>
      <c r="G320" s="15">
        <v>50463.400000000009</v>
      </c>
      <c r="H320" s="15">
        <f t="shared" si="15"/>
        <v>504634.00000000012</v>
      </c>
      <c r="I320" s="16" t="str">
        <f>IFERROR(VLOOKUP($C320,[1]dados_2023!$C$3:$H$357,4,0),"-")</f>
        <v>-</v>
      </c>
      <c r="J320" s="16" t="str">
        <f>IFERROR(VLOOKUP($C320,[1]dados_2023!$C$3:$H$357,6,0),"-")</f>
        <v>-</v>
      </c>
    </row>
    <row r="321" spans="1:10" ht="18" customHeight="1" x14ac:dyDescent="0.3">
      <c r="A321" s="11">
        <v>10</v>
      </c>
      <c r="B321" s="12" t="s">
        <v>486</v>
      </c>
      <c r="C321" s="13">
        <v>1160950</v>
      </c>
      <c r="D321" s="14" t="s">
        <v>492</v>
      </c>
      <c r="E321" s="15">
        <v>5721.6</v>
      </c>
      <c r="F321" s="15">
        <f t="shared" si="14"/>
        <v>57216</v>
      </c>
      <c r="G321" s="15">
        <v>26087.200000000004</v>
      </c>
      <c r="H321" s="15">
        <f t="shared" si="15"/>
        <v>260872.00000000006</v>
      </c>
      <c r="I321" s="16" t="str">
        <f>IFERROR(VLOOKUP($C321,[1]dados_2023!$C$3:$H$357,4,0),"-")</f>
        <v>-</v>
      </c>
      <c r="J321" s="16" t="str">
        <f>IFERROR(VLOOKUP($C321,[1]dados_2023!$C$3:$H$357,6,0),"-")</f>
        <v>-</v>
      </c>
    </row>
    <row r="322" spans="1:10" ht="18" customHeight="1" x14ac:dyDescent="0.3">
      <c r="A322" s="11">
        <v>10</v>
      </c>
      <c r="B322" s="12" t="s">
        <v>486</v>
      </c>
      <c r="C322" s="13">
        <v>1120338</v>
      </c>
      <c r="D322" s="14" t="s">
        <v>493</v>
      </c>
      <c r="E322" s="15">
        <v>8567.6</v>
      </c>
      <c r="F322" s="15">
        <f t="shared" si="14"/>
        <v>85676</v>
      </c>
      <c r="G322" s="15">
        <v>37672.800000000003</v>
      </c>
      <c r="H322" s="15">
        <f t="shared" si="15"/>
        <v>376728</v>
      </c>
      <c r="I322" s="16" t="str">
        <f>IFERROR(VLOOKUP($C322,[1]dados_2023!$C$3:$H$357,4,0),"-")</f>
        <v>-</v>
      </c>
      <c r="J322" s="16" t="str">
        <f>IFERROR(VLOOKUP($C322,[1]dados_2023!$C$3:$H$357,6,0),"-")</f>
        <v>-</v>
      </c>
    </row>
    <row r="323" spans="1:10" ht="18" customHeight="1" x14ac:dyDescent="0.3">
      <c r="A323" s="11">
        <v>10</v>
      </c>
      <c r="B323" s="12" t="s">
        <v>486</v>
      </c>
      <c r="C323" s="13">
        <v>1176930</v>
      </c>
      <c r="D323" s="14" t="s">
        <v>494</v>
      </c>
      <c r="E323" s="15">
        <v>7894.4</v>
      </c>
      <c r="F323" s="15">
        <f t="shared" si="14"/>
        <v>78944</v>
      </c>
      <c r="G323" s="15">
        <v>34995.599999999999</v>
      </c>
      <c r="H323" s="15">
        <f t="shared" si="15"/>
        <v>349956</v>
      </c>
      <c r="I323" s="16" t="str">
        <f>IFERROR(VLOOKUP($C323,[1]dados_2023!$C$3:$H$357,4,0),"-")</f>
        <v>-</v>
      </c>
      <c r="J323" s="16" t="str">
        <f>IFERROR(VLOOKUP($C323,[1]dados_2023!$C$3:$H$357,6,0),"-")</f>
        <v>-</v>
      </c>
    </row>
    <row r="324" spans="1:10" ht="18" customHeight="1" x14ac:dyDescent="0.3">
      <c r="A324" s="11">
        <v>10</v>
      </c>
      <c r="B324" s="12" t="s">
        <v>486</v>
      </c>
      <c r="C324" s="13">
        <v>1120389</v>
      </c>
      <c r="D324" s="14" t="s">
        <v>495</v>
      </c>
      <c r="E324" s="15">
        <v>7966.5999999999995</v>
      </c>
      <c r="F324" s="15">
        <f t="shared" si="14"/>
        <v>79666</v>
      </c>
      <c r="G324" s="15">
        <v>37184.000000000007</v>
      </c>
      <c r="H324" s="15">
        <f t="shared" si="15"/>
        <v>371840.00000000006</v>
      </c>
      <c r="I324" s="16" t="str">
        <f>IFERROR(VLOOKUP($C324,[1]dados_2023!$C$3:$H$357,4,0),"-")</f>
        <v>-</v>
      </c>
      <c r="J324" s="16" t="str">
        <f>IFERROR(VLOOKUP($C324,[1]dados_2023!$C$3:$H$357,6,0),"-")</f>
        <v>-</v>
      </c>
    </row>
    <row r="325" spans="1:10" ht="18" customHeight="1" x14ac:dyDescent="0.3">
      <c r="A325" s="11">
        <v>10</v>
      </c>
      <c r="B325" s="12" t="s">
        <v>486</v>
      </c>
      <c r="C325" s="13">
        <v>1178378</v>
      </c>
      <c r="D325" s="14" t="s">
        <v>496</v>
      </c>
      <c r="E325" s="15">
        <v>3124</v>
      </c>
      <c r="F325" s="15">
        <f t="shared" si="14"/>
        <v>31240</v>
      </c>
      <c r="G325" s="15">
        <v>13966</v>
      </c>
      <c r="H325" s="15">
        <f t="shared" si="15"/>
        <v>139660</v>
      </c>
      <c r="I325" s="16" t="str">
        <f>IFERROR(VLOOKUP($C325,[1]dados_2023!$C$3:$H$357,4,0),"-")</f>
        <v>-</v>
      </c>
      <c r="J325" s="16" t="str">
        <f>IFERROR(VLOOKUP($C325,[1]dados_2023!$C$3:$H$357,6,0),"-")</f>
        <v>-</v>
      </c>
    </row>
    <row r="326" spans="1:10" ht="18" customHeight="1" x14ac:dyDescent="0.3">
      <c r="A326" s="11">
        <v>10</v>
      </c>
      <c r="B326" s="12" t="s">
        <v>486</v>
      </c>
      <c r="C326" s="13">
        <v>1176091</v>
      </c>
      <c r="D326" s="14" t="s">
        <v>497</v>
      </c>
      <c r="E326" s="15">
        <v>8789.2000000000007</v>
      </c>
      <c r="F326" s="15">
        <f t="shared" ref="F326:F389" si="16">E326*10</f>
        <v>87892</v>
      </c>
      <c r="G326" s="15">
        <v>39369.599999999999</v>
      </c>
      <c r="H326" s="15">
        <f t="shared" ref="H326:H389" si="17">G326*10</f>
        <v>393696</v>
      </c>
      <c r="I326" s="16" t="str">
        <f>IFERROR(VLOOKUP($C326,[1]dados_2023!$C$3:$H$357,4,0),"-")</f>
        <v>-</v>
      </c>
      <c r="J326" s="16" t="str">
        <f>IFERROR(VLOOKUP($C326,[1]dados_2023!$C$3:$H$357,6,0),"-")</f>
        <v>-</v>
      </c>
    </row>
    <row r="327" spans="1:10" ht="18" customHeight="1" x14ac:dyDescent="0.3">
      <c r="A327" s="11">
        <v>10</v>
      </c>
      <c r="B327" s="12" t="s">
        <v>486</v>
      </c>
      <c r="C327" s="13">
        <v>1120524</v>
      </c>
      <c r="D327" s="14" t="s">
        <v>498</v>
      </c>
      <c r="E327" s="15">
        <v>4885.6000000000004</v>
      </c>
      <c r="F327" s="15">
        <f t="shared" si="16"/>
        <v>48856</v>
      </c>
      <c r="G327" s="15">
        <v>21828.799999999999</v>
      </c>
      <c r="H327" s="15">
        <f t="shared" si="17"/>
        <v>218288</v>
      </c>
      <c r="I327" s="16" t="str">
        <f>IFERROR(VLOOKUP($C327,[1]dados_2023!$C$3:$H$357,4,0),"-")</f>
        <v>-</v>
      </c>
      <c r="J327" s="16" t="str">
        <f>IFERROR(VLOOKUP($C327,[1]dados_2023!$C$3:$H$357,6,0),"-")</f>
        <v>-</v>
      </c>
    </row>
    <row r="328" spans="1:10" ht="18" customHeight="1" x14ac:dyDescent="0.3">
      <c r="A328" s="11">
        <v>10</v>
      </c>
      <c r="B328" s="12" t="s">
        <v>486</v>
      </c>
      <c r="C328" s="13">
        <v>1120613</v>
      </c>
      <c r="D328" s="14" t="s">
        <v>499</v>
      </c>
      <c r="E328" s="15">
        <v>10183</v>
      </c>
      <c r="F328" s="15">
        <f t="shared" si="16"/>
        <v>101830</v>
      </c>
      <c r="G328" s="15">
        <v>45836.800000000003</v>
      </c>
      <c r="H328" s="15">
        <f t="shared" si="17"/>
        <v>458368</v>
      </c>
      <c r="I328" s="16" t="str">
        <f>IFERROR(VLOOKUP($C328,[1]dados_2023!$C$3:$H$357,4,0),"-")</f>
        <v>-</v>
      </c>
      <c r="J328" s="16" t="str">
        <f>IFERROR(VLOOKUP($C328,[1]dados_2023!$C$3:$H$357,6,0),"-")</f>
        <v>-</v>
      </c>
    </row>
    <row r="329" spans="1:10" ht="18" customHeight="1" x14ac:dyDescent="0.3">
      <c r="A329" s="11">
        <v>10</v>
      </c>
      <c r="B329" s="12" t="s">
        <v>486</v>
      </c>
      <c r="C329" s="13">
        <v>1120664</v>
      </c>
      <c r="D329" s="14" t="s">
        <v>500</v>
      </c>
      <c r="E329" s="15">
        <v>22592.800000000003</v>
      </c>
      <c r="F329" s="15">
        <f t="shared" si="16"/>
        <v>225928.00000000003</v>
      </c>
      <c r="G329" s="15">
        <v>92300.200000000012</v>
      </c>
      <c r="H329" s="15">
        <f t="shared" si="17"/>
        <v>923002.00000000012</v>
      </c>
      <c r="I329" s="16" t="str">
        <f>IFERROR(VLOOKUP($C329,[1]dados_2023!$C$3:$H$357,4,0),"-")</f>
        <v>-</v>
      </c>
      <c r="J329" s="16" t="str">
        <f>IFERROR(VLOOKUP($C329,[1]dados_2023!$C$3:$H$357,6,0),"-")</f>
        <v>-</v>
      </c>
    </row>
    <row r="330" spans="1:10" ht="18" customHeight="1" x14ac:dyDescent="0.3">
      <c r="A330" s="11">
        <v>10</v>
      </c>
      <c r="B330" s="12" t="s">
        <v>486</v>
      </c>
      <c r="C330" s="13">
        <v>1120761</v>
      </c>
      <c r="D330" s="14" t="s">
        <v>501</v>
      </c>
      <c r="E330" s="15">
        <v>8836.6</v>
      </c>
      <c r="F330" s="15">
        <f t="shared" si="16"/>
        <v>88366</v>
      </c>
      <c r="G330" s="15">
        <v>39206.800000000003</v>
      </c>
      <c r="H330" s="15">
        <f t="shared" si="17"/>
        <v>392068</v>
      </c>
      <c r="I330" s="16" t="str">
        <f>IFERROR(VLOOKUP($C330,[1]dados_2023!$C$3:$H$357,4,0),"-")</f>
        <v>-</v>
      </c>
      <c r="J330" s="16" t="str">
        <f>IFERROR(VLOOKUP($C330,[1]dados_2023!$C$3:$H$357,6,0),"-")</f>
        <v>-</v>
      </c>
    </row>
    <row r="331" spans="1:10" ht="18" customHeight="1" x14ac:dyDescent="0.3">
      <c r="A331" s="11">
        <v>10</v>
      </c>
      <c r="B331" s="12" t="s">
        <v>486</v>
      </c>
      <c r="C331" s="13">
        <v>1120893</v>
      </c>
      <c r="D331" s="14" t="s">
        <v>502</v>
      </c>
      <c r="E331" s="15">
        <v>6506.2</v>
      </c>
      <c r="F331" s="15">
        <f t="shared" si="16"/>
        <v>65062</v>
      </c>
      <c r="G331" s="15">
        <v>29045.599999999999</v>
      </c>
      <c r="H331" s="15">
        <f t="shared" si="17"/>
        <v>290456</v>
      </c>
      <c r="I331" s="16" t="str">
        <f>IFERROR(VLOOKUP($C331,[1]dados_2023!$C$3:$H$357,4,0),"-")</f>
        <v>-</v>
      </c>
      <c r="J331" s="16" t="str">
        <f>IFERROR(VLOOKUP($C331,[1]dados_2023!$C$3:$H$357,6,0),"-")</f>
        <v>-</v>
      </c>
    </row>
    <row r="332" spans="1:10" ht="18" customHeight="1" x14ac:dyDescent="0.3">
      <c r="A332" s="11">
        <v>10</v>
      </c>
      <c r="B332" s="12" t="s">
        <v>486</v>
      </c>
      <c r="C332" s="13">
        <v>1176428</v>
      </c>
      <c r="D332" s="14" t="s">
        <v>245</v>
      </c>
      <c r="E332" s="15">
        <v>14476.2</v>
      </c>
      <c r="F332" s="15">
        <f t="shared" si="16"/>
        <v>144762</v>
      </c>
      <c r="G332" s="15">
        <v>57588.200000000004</v>
      </c>
      <c r="H332" s="15">
        <f t="shared" si="17"/>
        <v>575882</v>
      </c>
      <c r="I332" s="16" t="str">
        <f>IFERROR(VLOOKUP($C332,[1]dados_2023!$C$3:$H$357,4,0),"-")</f>
        <v>-</v>
      </c>
      <c r="J332" s="16" t="str">
        <f>IFERROR(VLOOKUP($C332,[1]dados_2023!$C$3:$H$357,6,0),"-")</f>
        <v>-</v>
      </c>
    </row>
    <row r="333" spans="1:10" ht="18" customHeight="1" x14ac:dyDescent="0.3">
      <c r="A333" s="11">
        <v>10</v>
      </c>
      <c r="B333" s="12" t="s">
        <v>486</v>
      </c>
      <c r="C333" s="13">
        <v>1120915</v>
      </c>
      <c r="D333" s="14" t="s">
        <v>503</v>
      </c>
      <c r="E333" s="15">
        <v>19220.400000000001</v>
      </c>
      <c r="F333" s="15">
        <f t="shared" si="16"/>
        <v>192204</v>
      </c>
      <c r="G333" s="15">
        <v>58329</v>
      </c>
      <c r="H333" s="15">
        <f t="shared" si="17"/>
        <v>583290</v>
      </c>
      <c r="I333" s="16" t="str">
        <f>IFERROR(VLOOKUP($C333,[1]dados_2023!$C$3:$H$357,4,0),"-")</f>
        <v>-</v>
      </c>
      <c r="J333" s="16" t="str">
        <f>IFERROR(VLOOKUP($C333,[1]dados_2023!$C$3:$H$357,6,0),"-")</f>
        <v>-</v>
      </c>
    </row>
    <row r="334" spans="1:10" s="28" customFormat="1" ht="18" customHeight="1" x14ac:dyDescent="0.3">
      <c r="A334" s="25">
        <v>10</v>
      </c>
      <c r="B334" s="26" t="s">
        <v>486</v>
      </c>
      <c r="C334" s="27">
        <v>1178255</v>
      </c>
      <c r="D334" s="14" t="s">
        <v>504</v>
      </c>
      <c r="E334" s="15">
        <v>9225.8000000000011</v>
      </c>
      <c r="F334" s="15">
        <f t="shared" si="16"/>
        <v>92258.000000000015</v>
      </c>
      <c r="G334" s="15">
        <v>36103.800000000003</v>
      </c>
      <c r="H334" s="15">
        <f t="shared" si="17"/>
        <v>361038</v>
      </c>
      <c r="I334" s="16" t="str">
        <f>IFERROR(VLOOKUP($C334,[1]dados_2023!$C$3:$H$357,4,0),"-")</f>
        <v>-</v>
      </c>
      <c r="J334" s="16" t="str">
        <f>IFERROR(VLOOKUP($C334,[1]dados_2023!$C$3:$H$357,6,0),"-")</f>
        <v>-</v>
      </c>
    </row>
    <row r="335" spans="1:10" ht="18" customHeight="1" x14ac:dyDescent="0.3">
      <c r="A335" s="11">
        <v>10</v>
      </c>
      <c r="B335" s="12" t="s">
        <v>505</v>
      </c>
      <c r="C335" s="13">
        <v>1121520</v>
      </c>
      <c r="D335" s="14" t="s">
        <v>506</v>
      </c>
      <c r="E335" s="15">
        <v>13430.6</v>
      </c>
      <c r="F335" s="15">
        <f t="shared" si="16"/>
        <v>134306</v>
      </c>
      <c r="G335" s="15">
        <v>62015.600000000006</v>
      </c>
      <c r="H335" s="15">
        <f t="shared" si="17"/>
        <v>620156</v>
      </c>
      <c r="I335" s="16" t="str">
        <f>IFERROR(VLOOKUP($C335,[1]dados_2023!$C$3:$H$357,4,0),"-")</f>
        <v>-</v>
      </c>
      <c r="J335" s="16" t="str">
        <f>IFERROR(VLOOKUP($C335,[1]dados_2023!$C$3:$H$357,6,0),"-")</f>
        <v>-</v>
      </c>
    </row>
    <row r="336" spans="1:10" ht="18" customHeight="1" x14ac:dyDescent="0.3">
      <c r="A336" s="11">
        <v>10</v>
      </c>
      <c r="B336" s="12" t="s">
        <v>507</v>
      </c>
      <c r="C336" s="13">
        <v>1121342</v>
      </c>
      <c r="D336" s="14" t="s">
        <v>508</v>
      </c>
      <c r="E336" s="15">
        <v>12445</v>
      </c>
      <c r="F336" s="15">
        <f t="shared" si="16"/>
        <v>124450</v>
      </c>
      <c r="G336" s="15">
        <v>51277.4</v>
      </c>
      <c r="H336" s="15">
        <f t="shared" si="17"/>
        <v>512774</v>
      </c>
      <c r="I336" s="16" t="str">
        <f>IFERROR(VLOOKUP($C336,[1]dados_2023!$C$3:$H$357,4,0),"-")</f>
        <v>-</v>
      </c>
      <c r="J336" s="16" t="str">
        <f>IFERROR(VLOOKUP($C336,[1]dados_2023!$C$3:$H$357,6,0),"-")</f>
        <v>-</v>
      </c>
    </row>
    <row r="337" spans="1:10" ht="18" customHeight="1" x14ac:dyDescent="0.3">
      <c r="A337" s="11">
        <v>10</v>
      </c>
      <c r="B337" s="12" t="s">
        <v>507</v>
      </c>
      <c r="C337" s="13">
        <v>1121326</v>
      </c>
      <c r="D337" s="14" t="s">
        <v>509</v>
      </c>
      <c r="E337" s="15">
        <v>5215.3999999999996</v>
      </c>
      <c r="F337" s="15">
        <f t="shared" si="16"/>
        <v>52154</v>
      </c>
      <c r="G337" s="15">
        <v>23572.000000000004</v>
      </c>
      <c r="H337" s="15">
        <f t="shared" si="17"/>
        <v>235720.00000000003</v>
      </c>
      <c r="I337" s="16" t="str">
        <f>IFERROR(VLOOKUP($C337,[1]dados_2023!$C$3:$H$357,4,0),"-")</f>
        <v>-</v>
      </c>
      <c r="J337" s="16" t="str">
        <f>IFERROR(VLOOKUP($C337,[1]dados_2023!$C$3:$H$357,6,0),"-")</f>
        <v>-</v>
      </c>
    </row>
    <row r="338" spans="1:10" ht="18" customHeight="1" x14ac:dyDescent="0.3">
      <c r="A338" s="11">
        <v>10</v>
      </c>
      <c r="B338" s="12" t="s">
        <v>510</v>
      </c>
      <c r="C338" s="13">
        <v>1120990</v>
      </c>
      <c r="D338" s="14" t="s">
        <v>511</v>
      </c>
      <c r="E338" s="15">
        <v>17323.600000000002</v>
      </c>
      <c r="F338" s="15">
        <f t="shared" si="16"/>
        <v>173236.00000000003</v>
      </c>
      <c r="G338" s="15">
        <v>58752.4</v>
      </c>
      <c r="H338" s="15">
        <f t="shared" si="17"/>
        <v>587524</v>
      </c>
      <c r="I338" s="16" t="str">
        <f>IFERROR(VLOOKUP($C338,[1]dados_2023!$C$3:$H$357,4,0),"-")</f>
        <v>-</v>
      </c>
      <c r="J338" s="16" t="str">
        <f>IFERROR(VLOOKUP($C338,[1]dados_2023!$C$3:$H$357,6,0),"-")</f>
        <v>-</v>
      </c>
    </row>
    <row r="339" spans="1:10" ht="18" customHeight="1" x14ac:dyDescent="0.3">
      <c r="A339" s="11">
        <v>10</v>
      </c>
      <c r="B339" s="12" t="s">
        <v>510</v>
      </c>
      <c r="C339" s="13">
        <v>1144156</v>
      </c>
      <c r="D339" s="14" t="s">
        <v>512</v>
      </c>
      <c r="E339" s="15">
        <v>5590</v>
      </c>
      <c r="F339" s="15">
        <f t="shared" si="16"/>
        <v>55900</v>
      </c>
      <c r="G339" s="15">
        <v>23925.200000000001</v>
      </c>
      <c r="H339" s="15">
        <f t="shared" si="17"/>
        <v>239252</v>
      </c>
      <c r="I339" s="16" t="str">
        <f>IFERROR(VLOOKUP($C339,[1]dados_2023!$C$3:$H$357,4,0),"-")</f>
        <v>-</v>
      </c>
      <c r="J339" s="16" t="str">
        <f>IFERROR(VLOOKUP($C339,[1]dados_2023!$C$3:$H$357,6,0),"-")</f>
        <v>-</v>
      </c>
    </row>
    <row r="340" spans="1:10" ht="18" customHeight="1" x14ac:dyDescent="0.3">
      <c r="A340" s="11">
        <v>10</v>
      </c>
      <c r="B340" s="12" t="s">
        <v>513</v>
      </c>
      <c r="C340" s="13">
        <v>1120508</v>
      </c>
      <c r="D340" s="14" t="s">
        <v>514</v>
      </c>
      <c r="E340" s="15">
        <v>5861.2000000000007</v>
      </c>
      <c r="F340" s="15">
        <f t="shared" si="16"/>
        <v>58612.000000000007</v>
      </c>
      <c r="G340" s="15">
        <v>19222.800000000003</v>
      </c>
      <c r="H340" s="15">
        <f t="shared" si="17"/>
        <v>192228.00000000003</v>
      </c>
      <c r="I340" s="16" t="str">
        <f>IFERROR(VLOOKUP($C340,[1]dados_2023!$C$3:$H$357,4,0),"-")</f>
        <v>-</v>
      </c>
      <c r="J340" s="16" t="str">
        <f>IFERROR(VLOOKUP($C340,[1]dados_2023!$C$3:$H$357,6,0),"-")</f>
        <v>-</v>
      </c>
    </row>
    <row r="341" spans="1:10" ht="18" customHeight="1" x14ac:dyDescent="0.3">
      <c r="A341" s="11">
        <v>10</v>
      </c>
      <c r="B341" s="12" t="s">
        <v>513</v>
      </c>
      <c r="C341" s="13">
        <v>1120907</v>
      </c>
      <c r="D341" s="14" t="s">
        <v>515</v>
      </c>
      <c r="E341" s="15">
        <v>7635.7999999999993</v>
      </c>
      <c r="F341" s="15">
        <f t="shared" si="16"/>
        <v>76358</v>
      </c>
      <c r="G341" s="15">
        <v>34543.599999999999</v>
      </c>
      <c r="H341" s="15">
        <f t="shared" si="17"/>
        <v>345436</v>
      </c>
      <c r="I341" s="16" t="str">
        <f>IFERROR(VLOOKUP($C341,[1]dados_2023!$C$3:$H$357,4,0),"-")</f>
        <v>-</v>
      </c>
      <c r="J341" s="16" t="str">
        <f>IFERROR(VLOOKUP($C341,[1]dados_2023!$C$3:$H$357,6,0),"-")</f>
        <v>-</v>
      </c>
    </row>
    <row r="342" spans="1:10" ht="18" customHeight="1" x14ac:dyDescent="0.3">
      <c r="A342" s="11">
        <v>10</v>
      </c>
      <c r="B342" s="12" t="s">
        <v>516</v>
      </c>
      <c r="C342" s="13">
        <v>1161336</v>
      </c>
      <c r="D342" s="14" t="s">
        <v>517</v>
      </c>
      <c r="E342" s="15">
        <v>8770</v>
      </c>
      <c r="F342" s="15">
        <f t="shared" si="16"/>
        <v>87700</v>
      </c>
      <c r="G342" s="15">
        <v>37535.600000000006</v>
      </c>
      <c r="H342" s="15">
        <f t="shared" si="17"/>
        <v>375356.00000000006</v>
      </c>
      <c r="I342" s="16" t="str">
        <f>IFERROR(VLOOKUP($C342,[1]dados_2023!$C$3:$H$357,4,0),"-")</f>
        <v>-</v>
      </c>
      <c r="J342" s="16" t="str">
        <f>IFERROR(VLOOKUP($C342,[1]dados_2023!$C$3:$H$357,6,0),"-")</f>
        <v>-</v>
      </c>
    </row>
    <row r="343" spans="1:10" ht="18" customHeight="1" x14ac:dyDescent="0.3">
      <c r="A343" s="11">
        <v>10</v>
      </c>
      <c r="B343" s="12" t="s">
        <v>516</v>
      </c>
      <c r="C343" s="13">
        <v>1121423</v>
      </c>
      <c r="D343" s="14" t="s">
        <v>518</v>
      </c>
      <c r="E343" s="15">
        <v>2931.4</v>
      </c>
      <c r="F343" s="15">
        <f t="shared" si="16"/>
        <v>29314</v>
      </c>
      <c r="G343" s="15">
        <v>12776.000000000002</v>
      </c>
      <c r="H343" s="15">
        <f t="shared" si="17"/>
        <v>127760.00000000001</v>
      </c>
      <c r="I343" s="16" t="str">
        <f>IFERROR(VLOOKUP($C343,[1]dados_2023!$C$3:$H$357,4,0),"-")</f>
        <v>-</v>
      </c>
      <c r="J343" s="16" t="str">
        <f>IFERROR(VLOOKUP($C343,[1]dados_2023!$C$3:$H$357,6,0),"-")</f>
        <v>-</v>
      </c>
    </row>
    <row r="344" spans="1:10" ht="18" customHeight="1" x14ac:dyDescent="0.3">
      <c r="A344" s="11">
        <v>10</v>
      </c>
      <c r="B344" s="12" t="s">
        <v>516</v>
      </c>
      <c r="C344" s="13">
        <v>1161271</v>
      </c>
      <c r="D344" s="14" t="s">
        <v>519</v>
      </c>
      <c r="E344" s="15">
        <v>597.6</v>
      </c>
      <c r="F344" s="15">
        <f t="shared" si="16"/>
        <v>5976</v>
      </c>
      <c r="G344" s="15">
        <v>2710.8</v>
      </c>
      <c r="H344" s="15">
        <f t="shared" si="17"/>
        <v>27108</v>
      </c>
      <c r="I344" s="16" t="str">
        <f>IFERROR(VLOOKUP($C344,[1]dados_2023!$C$3:$H$357,4,0),"-")</f>
        <v>-</v>
      </c>
      <c r="J344" s="16" t="str">
        <f>IFERROR(VLOOKUP($C344,[1]dados_2023!$C$3:$H$357,6,0),"-")</f>
        <v>-</v>
      </c>
    </row>
    <row r="345" spans="1:10" ht="18" customHeight="1" x14ac:dyDescent="0.3">
      <c r="A345" s="11">
        <v>10</v>
      </c>
      <c r="B345" s="12" t="s">
        <v>516</v>
      </c>
      <c r="C345" s="13">
        <v>1121474</v>
      </c>
      <c r="D345" s="14" t="s">
        <v>520</v>
      </c>
      <c r="E345" s="15">
        <v>2178.1999999999998</v>
      </c>
      <c r="F345" s="15">
        <f t="shared" si="16"/>
        <v>21782</v>
      </c>
      <c r="G345" s="15">
        <v>8641.7999999999993</v>
      </c>
      <c r="H345" s="15">
        <f t="shared" si="17"/>
        <v>86418</v>
      </c>
      <c r="I345" s="16" t="str">
        <f>IFERROR(VLOOKUP($C345,[1]dados_2023!$C$3:$H$357,4,0),"-")</f>
        <v>-</v>
      </c>
      <c r="J345" s="16" t="str">
        <f>IFERROR(VLOOKUP($C345,[1]dados_2023!$C$3:$H$357,6,0),"-")</f>
        <v>-</v>
      </c>
    </row>
    <row r="346" spans="1:10" ht="18" customHeight="1" x14ac:dyDescent="0.3">
      <c r="A346" s="11">
        <v>11</v>
      </c>
      <c r="B346" s="12" t="s">
        <v>521</v>
      </c>
      <c r="C346" s="13">
        <v>1129521</v>
      </c>
      <c r="D346" s="14" t="s">
        <v>522</v>
      </c>
      <c r="E346" s="15">
        <v>5479.2</v>
      </c>
      <c r="F346" s="15">
        <f t="shared" si="16"/>
        <v>54792</v>
      </c>
      <c r="G346" s="15">
        <v>22026</v>
      </c>
      <c r="H346" s="15">
        <f t="shared" si="17"/>
        <v>220260</v>
      </c>
      <c r="I346" s="16" t="str">
        <f>IFERROR(VLOOKUP($C346,[1]dados_2023!$C$3:$H$357,4,0),"-")</f>
        <v>-</v>
      </c>
      <c r="J346" s="16" t="str">
        <f>IFERROR(VLOOKUP($C346,[1]dados_2023!$C$3:$H$357,6,0),"-")</f>
        <v>-</v>
      </c>
    </row>
    <row r="347" spans="1:10" ht="18" customHeight="1" x14ac:dyDescent="0.3">
      <c r="A347" s="11">
        <v>11</v>
      </c>
      <c r="B347" s="12" t="s">
        <v>523</v>
      </c>
      <c r="C347" s="13">
        <v>1179377</v>
      </c>
      <c r="D347" s="14" t="s">
        <v>524</v>
      </c>
      <c r="E347" s="15">
        <v>2158.1999999999998</v>
      </c>
      <c r="F347" s="15">
        <f t="shared" si="16"/>
        <v>21582</v>
      </c>
      <c r="G347" s="15">
        <v>8032.8000000000011</v>
      </c>
      <c r="H347" s="15">
        <f t="shared" si="17"/>
        <v>80328.000000000015</v>
      </c>
      <c r="I347" s="16" t="str">
        <f>IFERROR(VLOOKUP($C347,[1]dados_2023!$C$3:$H$357,4,0),"-")</f>
        <v>-</v>
      </c>
      <c r="J347" s="16" t="str">
        <f>IFERROR(VLOOKUP($C347,[1]dados_2023!$C$3:$H$357,6,0),"-")</f>
        <v>-</v>
      </c>
    </row>
    <row r="348" spans="1:10" ht="18" customHeight="1" x14ac:dyDescent="0.3">
      <c r="A348" s="11">
        <v>11</v>
      </c>
      <c r="B348" s="12" t="s">
        <v>523</v>
      </c>
      <c r="C348" s="13">
        <v>1129637</v>
      </c>
      <c r="D348" s="14" t="s">
        <v>525</v>
      </c>
      <c r="E348" s="15">
        <v>4598.8</v>
      </c>
      <c r="F348" s="15">
        <f t="shared" si="16"/>
        <v>45988</v>
      </c>
      <c r="G348" s="15">
        <v>19643</v>
      </c>
      <c r="H348" s="15">
        <f t="shared" si="17"/>
        <v>196430</v>
      </c>
      <c r="I348" s="16" t="str">
        <f>IFERROR(VLOOKUP($C348,[1]dados_2023!$C$3:$H$357,4,0),"-")</f>
        <v>-</v>
      </c>
      <c r="J348" s="16" t="str">
        <f>IFERROR(VLOOKUP($C348,[1]dados_2023!$C$3:$H$357,6,0),"-")</f>
        <v>-</v>
      </c>
    </row>
    <row r="349" spans="1:10" ht="18" customHeight="1" x14ac:dyDescent="0.3">
      <c r="A349" s="11">
        <v>11</v>
      </c>
      <c r="B349" s="12" t="s">
        <v>526</v>
      </c>
      <c r="C349" s="13">
        <v>1179339</v>
      </c>
      <c r="D349" s="14" t="s">
        <v>527</v>
      </c>
      <c r="E349" s="15">
        <v>11040</v>
      </c>
      <c r="F349" s="15">
        <f t="shared" si="16"/>
        <v>110400</v>
      </c>
      <c r="G349" s="15">
        <v>47251.199999999997</v>
      </c>
      <c r="H349" s="15">
        <f t="shared" si="17"/>
        <v>472512</v>
      </c>
      <c r="I349" s="16" t="str">
        <f>IFERROR(VLOOKUP($C349,[1]dados_2023!$C$3:$H$357,4,0),"-")</f>
        <v>-</v>
      </c>
      <c r="J349" s="16" t="str">
        <f>IFERROR(VLOOKUP($C349,[1]dados_2023!$C$3:$H$357,6,0),"-")</f>
        <v>-</v>
      </c>
    </row>
    <row r="350" spans="1:10" ht="18" customHeight="1" x14ac:dyDescent="0.3">
      <c r="A350" s="11">
        <v>11</v>
      </c>
      <c r="B350" s="12" t="s">
        <v>526</v>
      </c>
      <c r="C350" s="13">
        <v>1129742</v>
      </c>
      <c r="D350" s="14" t="s">
        <v>528</v>
      </c>
      <c r="E350" s="15">
        <v>14620</v>
      </c>
      <c r="F350" s="15">
        <f t="shared" si="16"/>
        <v>146200</v>
      </c>
      <c r="G350" s="15">
        <v>62573.600000000006</v>
      </c>
      <c r="H350" s="15">
        <f t="shared" si="17"/>
        <v>625736</v>
      </c>
      <c r="I350" s="16" t="str">
        <f>IFERROR(VLOOKUP($C350,[1]dados_2023!$C$3:$H$357,4,0),"-")</f>
        <v>-</v>
      </c>
      <c r="J350" s="16" t="str">
        <f>IFERROR(VLOOKUP($C350,[1]dados_2023!$C$3:$H$357,6,0),"-")</f>
        <v>-</v>
      </c>
    </row>
    <row r="351" spans="1:10" ht="18" customHeight="1" x14ac:dyDescent="0.3">
      <c r="A351" s="11">
        <v>11</v>
      </c>
      <c r="B351" s="12" t="s">
        <v>526</v>
      </c>
      <c r="C351" s="13">
        <v>1129831</v>
      </c>
      <c r="D351" s="14" t="s">
        <v>529</v>
      </c>
      <c r="E351" s="15">
        <v>7900</v>
      </c>
      <c r="F351" s="15">
        <f t="shared" si="16"/>
        <v>79000</v>
      </c>
      <c r="G351" s="15">
        <v>33812</v>
      </c>
      <c r="H351" s="15">
        <f t="shared" si="17"/>
        <v>338120</v>
      </c>
      <c r="I351" s="16" t="str">
        <f>IFERROR(VLOOKUP($C351,[1]dados_2023!$C$3:$H$357,4,0),"-")</f>
        <v>-</v>
      </c>
      <c r="J351" s="16" t="str">
        <f>IFERROR(VLOOKUP($C351,[1]dados_2023!$C$3:$H$357,6,0),"-")</f>
        <v>-</v>
      </c>
    </row>
    <row r="352" spans="1:10" ht="18" customHeight="1" x14ac:dyDescent="0.3">
      <c r="A352" s="11">
        <v>11</v>
      </c>
      <c r="B352" s="12" t="s">
        <v>526</v>
      </c>
      <c r="C352" s="13">
        <v>1165382</v>
      </c>
      <c r="D352" s="14" t="s">
        <v>530</v>
      </c>
      <c r="E352" s="15">
        <v>4419.4000000000005</v>
      </c>
      <c r="F352" s="15">
        <f t="shared" si="16"/>
        <v>44194.000000000007</v>
      </c>
      <c r="G352" s="15">
        <v>17583.599999999999</v>
      </c>
      <c r="H352" s="15">
        <f t="shared" si="17"/>
        <v>175836</v>
      </c>
      <c r="I352" s="16" t="str">
        <f>IFERROR(VLOOKUP($C352,[1]dados_2023!$C$3:$H$357,4,0),"-")</f>
        <v>-</v>
      </c>
      <c r="J352" s="16" t="str">
        <f>IFERROR(VLOOKUP($C352,[1]dados_2023!$C$3:$H$357,6,0),"-")</f>
        <v>-</v>
      </c>
    </row>
    <row r="353" spans="1:10" ht="18" customHeight="1" x14ac:dyDescent="0.3">
      <c r="A353" s="11">
        <v>11</v>
      </c>
      <c r="B353" s="12" t="s">
        <v>526</v>
      </c>
      <c r="C353" s="13">
        <v>1139896</v>
      </c>
      <c r="D353" s="14" t="s">
        <v>531</v>
      </c>
      <c r="E353" s="15">
        <v>12869.6</v>
      </c>
      <c r="F353" s="15">
        <f t="shared" si="16"/>
        <v>128696</v>
      </c>
      <c r="G353" s="15">
        <v>56595.600000000006</v>
      </c>
      <c r="H353" s="15">
        <f t="shared" si="17"/>
        <v>565956</v>
      </c>
      <c r="I353" s="16" t="str">
        <f>IFERROR(VLOOKUP($C353,[1]dados_2023!$C$3:$H$357,4,0),"-")</f>
        <v>-</v>
      </c>
      <c r="J353" s="16" t="str">
        <f>IFERROR(VLOOKUP($C353,[1]dados_2023!$C$3:$H$357,6,0),"-")</f>
        <v>-</v>
      </c>
    </row>
    <row r="354" spans="1:10" ht="18" customHeight="1" x14ac:dyDescent="0.3">
      <c r="A354" s="11">
        <v>11</v>
      </c>
      <c r="B354" s="12" t="s">
        <v>526</v>
      </c>
      <c r="C354" s="13">
        <v>1129696</v>
      </c>
      <c r="D354" s="14" t="s">
        <v>532</v>
      </c>
      <c r="E354" s="15">
        <v>5573.2000000000007</v>
      </c>
      <c r="F354" s="15">
        <f t="shared" si="16"/>
        <v>55732.000000000007</v>
      </c>
      <c r="G354" s="15">
        <v>24466.200000000004</v>
      </c>
      <c r="H354" s="15">
        <f t="shared" si="17"/>
        <v>244662.00000000006</v>
      </c>
      <c r="I354" s="16" t="str">
        <f>IFERROR(VLOOKUP($C354,[1]dados_2023!$C$3:$H$357,4,0),"-")</f>
        <v>-</v>
      </c>
      <c r="J354" s="16" t="str">
        <f>IFERROR(VLOOKUP($C354,[1]dados_2023!$C$3:$H$357,6,0),"-")</f>
        <v>-</v>
      </c>
    </row>
    <row r="355" spans="1:10" ht="18" customHeight="1" x14ac:dyDescent="0.3">
      <c r="A355" s="11">
        <v>11</v>
      </c>
      <c r="B355" s="12" t="s">
        <v>526</v>
      </c>
      <c r="C355" s="13">
        <v>1129718</v>
      </c>
      <c r="D355" s="14" t="s">
        <v>408</v>
      </c>
      <c r="E355" s="15">
        <v>9257.4</v>
      </c>
      <c r="F355" s="15">
        <f t="shared" si="16"/>
        <v>92574</v>
      </c>
      <c r="G355" s="15">
        <v>42655.6</v>
      </c>
      <c r="H355" s="15">
        <f t="shared" si="17"/>
        <v>426556</v>
      </c>
      <c r="I355" s="16" t="str">
        <f>IFERROR(VLOOKUP($C355,[1]dados_2023!$C$3:$H$357,4,0),"-")</f>
        <v>-</v>
      </c>
      <c r="J355" s="16" t="str">
        <f>IFERROR(VLOOKUP($C355,[1]dados_2023!$C$3:$H$357,6,0),"-")</f>
        <v>-</v>
      </c>
    </row>
    <row r="356" spans="1:10" ht="18" customHeight="1" x14ac:dyDescent="0.3">
      <c r="A356" s="11">
        <v>11</v>
      </c>
      <c r="B356" s="12" t="s">
        <v>526</v>
      </c>
      <c r="C356" s="13">
        <v>1178162</v>
      </c>
      <c r="D356" s="14" t="s">
        <v>533</v>
      </c>
      <c r="E356" s="15">
        <v>6620.8000000000011</v>
      </c>
      <c r="F356" s="15">
        <f t="shared" si="16"/>
        <v>66208.000000000015</v>
      </c>
      <c r="G356" s="15">
        <v>25628.6</v>
      </c>
      <c r="H356" s="15">
        <f t="shared" si="17"/>
        <v>256286</v>
      </c>
      <c r="I356" s="16" t="str">
        <f>IFERROR(VLOOKUP($C356,[1]dados_2023!$C$3:$H$357,4,0),"-")</f>
        <v>-</v>
      </c>
      <c r="J356" s="16" t="str">
        <f>IFERROR(VLOOKUP($C356,[1]dados_2023!$C$3:$H$357,6,0),"-")</f>
        <v>-</v>
      </c>
    </row>
    <row r="357" spans="1:10" ht="18" customHeight="1" x14ac:dyDescent="0.3">
      <c r="A357" s="11">
        <v>11</v>
      </c>
      <c r="B357" s="12" t="s">
        <v>526</v>
      </c>
      <c r="C357" s="13">
        <v>1129939</v>
      </c>
      <c r="D357" s="14" t="s">
        <v>534</v>
      </c>
      <c r="E357" s="15">
        <v>5830</v>
      </c>
      <c r="F357" s="15">
        <f t="shared" si="16"/>
        <v>58300</v>
      </c>
      <c r="G357" s="15">
        <v>24952.400000000001</v>
      </c>
      <c r="H357" s="15">
        <f t="shared" si="17"/>
        <v>249524</v>
      </c>
      <c r="I357" s="16" t="str">
        <f>IFERROR(VLOOKUP($C357,[1]dados_2023!$C$3:$H$357,4,0),"-")</f>
        <v>-</v>
      </c>
      <c r="J357" s="16" t="str">
        <f>IFERROR(VLOOKUP($C357,[1]dados_2023!$C$3:$H$357,6,0),"-")</f>
        <v>-</v>
      </c>
    </row>
    <row r="358" spans="1:10" ht="18" customHeight="1" x14ac:dyDescent="0.3">
      <c r="A358" s="11">
        <v>11</v>
      </c>
      <c r="B358" s="12" t="s">
        <v>526</v>
      </c>
      <c r="C358" s="13">
        <v>1129858</v>
      </c>
      <c r="D358" s="14" t="s">
        <v>535</v>
      </c>
      <c r="E358" s="15">
        <v>3405.4</v>
      </c>
      <c r="F358" s="15">
        <f t="shared" si="16"/>
        <v>34054</v>
      </c>
      <c r="G358" s="15">
        <v>14613.400000000003</v>
      </c>
      <c r="H358" s="15">
        <f t="shared" si="17"/>
        <v>146134.00000000003</v>
      </c>
      <c r="I358" s="16" t="str">
        <f>IFERROR(VLOOKUP($C358,[1]dados_2023!$C$3:$H$357,4,0),"-")</f>
        <v>-</v>
      </c>
      <c r="J358" s="16" t="str">
        <f>IFERROR(VLOOKUP($C358,[1]dados_2023!$C$3:$H$357,6,0),"-")</f>
        <v>-</v>
      </c>
    </row>
    <row r="359" spans="1:10" ht="18" customHeight="1" x14ac:dyDescent="0.3">
      <c r="A359" s="11">
        <v>11</v>
      </c>
      <c r="B359" s="12" t="s">
        <v>536</v>
      </c>
      <c r="C359" s="13">
        <v>1178003</v>
      </c>
      <c r="D359" s="14" t="s">
        <v>537</v>
      </c>
      <c r="E359" s="15">
        <v>6556.2</v>
      </c>
      <c r="F359" s="15">
        <f t="shared" si="16"/>
        <v>65562</v>
      </c>
      <c r="G359" s="15">
        <v>27949.600000000006</v>
      </c>
      <c r="H359" s="15">
        <f t="shared" si="17"/>
        <v>279496.00000000006</v>
      </c>
      <c r="I359" s="16" t="str">
        <f>IFERROR(VLOOKUP($C359,[1]dados_2023!$C$3:$H$357,4,0),"-")</f>
        <v>-</v>
      </c>
      <c r="J359" s="16" t="str">
        <f>IFERROR(VLOOKUP($C359,[1]dados_2023!$C$3:$H$357,6,0),"-")</f>
        <v>-</v>
      </c>
    </row>
    <row r="360" spans="1:10" ht="18" customHeight="1" x14ac:dyDescent="0.3">
      <c r="A360" s="11">
        <v>11</v>
      </c>
      <c r="B360" s="12" t="s">
        <v>538</v>
      </c>
      <c r="C360" s="13">
        <v>1129980</v>
      </c>
      <c r="D360" s="14" t="s">
        <v>539</v>
      </c>
      <c r="E360" s="15">
        <v>2055.0000000000005</v>
      </c>
      <c r="F360" s="15">
        <f t="shared" si="16"/>
        <v>20550.000000000004</v>
      </c>
      <c r="G360" s="15">
        <v>5895</v>
      </c>
      <c r="H360" s="15">
        <f t="shared" si="17"/>
        <v>58950</v>
      </c>
      <c r="I360" s="16" t="str">
        <f>IFERROR(VLOOKUP($C360,[1]dados_2023!$C$3:$H$357,4,0),"-")</f>
        <v>-</v>
      </c>
      <c r="J360" s="16" t="str">
        <f>IFERROR(VLOOKUP($C360,[1]dados_2023!$C$3:$H$357,6,0),"-")</f>
        <v>-</v>
      </c>
    </row>
    <row r="361" spans="1:10" ht="18" customHeight="1" x14ac:dyDescent="0.3">
      <c r="A361" s="11">
        <v>11</v>
      </c>
      <c r="B361" s="12" t="s">
        <v>540</v>
      </c>
      <c r="C361" s="13">
        <v>1130260</v>
      </c>
      <c r="D361" s="14" t="s">
        <v>499</v>
      </c>
      <c r="E361" s="15">
        <v>6564</v>
      </c>
      <c r="F361" s="15">
        <f t="shared" si="16"/>
        <v>65640</v>
      </c>
      <c r="G361" s="15">
        <v>24887.800000000003</v>
      </c>
      <c r="H361" s="15">
        <f t="shared" si="17"/>
        <v>248878.00000000003</v>
      </c>
      <c r="I361" s="16" t="str">
        <f>IFERROR(VLOOKUP($C361,[1]dados_2023!$C$3:$H$357,4,0),"-")</f>
        <v>-</v>
      </c>
      <c r="J361" s="16" t="str">
        <f>IFERROR(VLOOKUP($C361,[1]dados_2023!$C$3:$H$357,6,0),"-")</f>
        <v>-</v>
      </c>
    </row>
    <row r="362" spans="1:10" ht="18" customHeight="1" x14ac:dyDescent="0.3">
      <c r="A362" s="11">
        <v>11</v>
      </c>
      <c r="B362" s="12" t="s">
        <v>541</v>
      </c>
      <c r="C362" s="13">
        <v>1169558</v>
      </c>
      <c r="D362" s="14" t="s">
        <v>542</v>
      </c>
      <c r="E362" s="15">
        <v>5142.6000000000004</v>
      </c>
      <c r="F362" s="15">
        <f t="shared" si="16"/>
        <v>51426</v>
      </c>
      <c r="G362" s="15">
        <v>22376.000000000004</v>
      </c>
      <c r="H362" s="15">
        <f t="shared" si="17"/>
        <v>223760.00000000003</v>
      </c>
      <c r="I362" s="16" t="str">
        <f>IFERROR(VLOOKUP($C362,[1]dados_2023!$C$3:$H$357,4,0),"-")</f>
        <v>-</v>
      </c>
      <c r="J362" s="16" t="str">
        <f>IFERROR(VLOOKUP($C362,[1]dados_2023!$C$3:$H$357,6,0),"-")</f>
        <v>-</v>
      </c>
    </row>
    <row r="363" spans="1:10" ht="18" customHeight="1" x14ac:dyDescent="0.3">
      <c r="A363" s="11">
        <v>11</v>
      </c>
      <c r="B363" s="12" t="s">
        <v>543</v>
      </c>
      <c r="C363" s="13">
        <v>1179662</v>
      </c>
      <c r="D363" s="14" t="s">
        <v>544</v>
      </c>
      <c r="E363" s="15">
        <v>16981.400000000001</v>
      </c>
      <c r="F363" s="15">
        <f t="shared" si="16"/>
        <v>169814</v>
      </c>
      <c r="G363" s="15">
        <v>64845.599999999991</v>
      </c>
      <c r="H363" s="15">
        <f t="shared" si="17"/>
        <v>648455.99999999988</v>
      </c>
      <c r="I363" s="16" t="str">
        <f>IFERROR(VLOOKUP($C363,[1]dados_2023!$C$3:$H$357,4,0),"-")</f>
        <v>-</v>
      </c>
      <c r="J363" s="16" t="str">
        <f>IFERROR(VLOOKUP($C363,[1]dados_2023!$C$3:$H$357,6,0),"-")</f>
        <v>-</v>
      </c>
    </row>
    <row r="364" spans="1:10" ht="18" customHeight="1" x14ac:dyDescent="0.3">
      <c r="A364" s="11">
        <v>11</v>
      </c>
      <c r="B364" s="12" t="s">
        <v>545</v>
      </c>
      <c r="C364" s="13">
        <v>1177102</v>
      </c>
      <c r="D364" s="14" t="s">
        <v>546</v>
      </c>
      <c r="E364" s="15">
        <v>13285.2</v>
      </c>
      <c r="F364" s="15">
        <f t="shared" si="16"/>
        <v>132852</v>
      </c>
      <c r="G364" s="15">
        <v>59292.800000000003</v>
      </c>
      <c r="H364" s="15">
        <f t="shared" si="17"/>
        <v>592928</v>
      </c>
      <c r="I364" s="16" t="str">
        <f>IFERROR(VLOOKUP($C364,[1]dados_2023!$C$3:$H$357,4,0),"-")</f>
        <v>-</v>
      </c>
      <c r="J364" s="16" t="str">
        <f>IFERROR(VLOOKUP($C364,[1]dados_2023!$C$3:$H$357,6,0),"-")</f>
        <v>-</v>
      </c>
    </row>
    <row r="365" spans="1:10" ht="18" customHeight="1" x14ac:dyDescent="0.3">
      <c r="A365" s="11">
        <v>11</v>
      </c>
      <c r="B365" s="12" t="s">
        <v>545</v>
      </c>
      <c r="C365" s="13">
        <v>1179440</v>
      </c>
      <c r="D365" s="14" t="s">
        <v>547</v>
      </c>
      <c r="E365" s="15">
        <v>13266.800000000001</v>
      </c>
      <c r="F365" s="15">
        <f t="shared" si="16"/>
        <v>132668</v>
      </c>
      <c r="G365" s="15">
        <v>56851.4</v>
      </c>
      <c r="H365" s="15">
        <f t="shared" si="17"/>
        <v>568514</v>
      </c>
      <c r="I365" s="16" t="str">
        <f>IFERROR(VLOOKUP($C365,[1]dados_2023!$C$3:$H$357,4,0),"-")</f>
        <v>-</v>
      </c>
      <c r="J365" s="16" t="str">
        <f>IFERROR(VLOOKUP($C365,[1]dados_2023!$C$3:$H$357,6,0),"-")</f>
        <v>-</v>
      </c>
    </row>
    <row r="366" spans="1:10" ht="18" customHeight="1" x14ac:dyDescent="0.3">
      <c r="A366" s="11">
        <v>11</v>
      </c>
      <c r="B366" s="12" t="s">
        <v>545</v>
      </c>
      <c r="C366" s="13">
        <v>1171390</v>
      </c>
      <c r="D366" s="14" t="s">
        <v>548</v>
      </c>
      <c r="E366" s="15">
        <v>15841.6</v>
      </c>
      <c r="F366" s="15">
        <f t="shared" si="16"/>
        <v>158416</v>
      </c>
      <c r="G366" s="15">
        <v>67596.800000000017</v>
      </c>
      <c r="H366" s="15">
        <f t="shared" si="17"/>
        <v>675968.00000000023</v>
      </c>
      <c r="I366" s="16" t="str">
        <f>IFERROR(VLOOKUP($C366,[1]dados_2023!$C$3:$H$357,4,0),"-")</f>
        <v>-</v>
      </c>
      <c r="J366" s="16" t="str">
        <f>IFERROR(VLOOKUP($C366,[1]dados_2023!$C$3:$H$357,6,0),"-")</f>
        <v>-</v>
      </c>
    </row>
    <row r="367" spans="1:10" ht="18" customHeight="1" x14ac:dyDescent="0.3">
      <c r="A367" s="11">
        <v>11</v>
      </c>
      <c r="B367" s="12" t="s">
        <v>549</v>
      </c>
      <c r="C367" s="13">
        <v>1178086</v>
      </c>
      <c r="D367" s="14" t="s">
        <v>550</v>
      </c>
      <c r="E367" s="15">
        <v>7658.2000000000007</v>
      </c>
      <c r="F367" s="15">
        <f t="shared" si="16"/>
        <v>76582</v>
      </c>
      <c r="G367" s="15">
        <v>27047.599999999999</v>
      </c>
      <c r="H367" s="15">
        <f t="shared" si="17"/>
        <v>270476</v>
      </c>
      <c r="I367" s="16" t="str">
        <f>IFERROR(VLOOKUP($C367,[1]dados_2023!$C$3:$H$357,4,0),"-")</f>
        <v>-</v>
      </c>
      <c r="J367" s="16" t="str">
        <f>IFERROR(VLOOKUP($C367,[1]dados_2023!$C$3:$H$357,6,0),"-")</f>
        <v>-</v>
      </c>
    </row>
    <row r="368" spans="1:10" ht="18" customHeight="1" x14ac:dyDescent="0.3">
      <c r="A368" s="11">
        <v>11</v>
      </c>
      <c r="B368" s="12" t="s">
        <v>551</v>
      </c>
      <c r="C368" s="13">
        <v>1178288</v>
      </c>
      <c r="D368" s="14" t="s">
        <v>552</v>
      </c>
      <c r="E368" s="15">
        <v>3768.2</v>
      </c>
      <c r="F368" s="15">
        <f t="shared" si="16"/>
        <v>37682</v>
      </c>
      <c r="G368" s="15">
        <v>17412</v>
      </c>
      <c r="H368" s="15">
        <f t="shared" si="17"/>
        <v>174120</v>
      </c>
      <c r="I368" s="16" t="str">
        <f>IFERROR(VLOOKUP($C368,[1]dados_2023!$C$3:$H$357,4,0),"-")</f>
        <v>-</v>
      </c>
      <c r="J368" s="16" t="str">
        <f>IFERROR(VLOOKUP($C368,[1]dados_2023!$C$3:$H$357,6,0),"-")</f>
        <v>-</v>
      </c>
    </row>
    <row r="369" spans="1:10" ht="18" customHeight="1" x14ac:dyDescent="0.3">
      <c r="A369" s="11">
        <v>11</v>
      </c>
      <c r="B369" s="12" t="s">
        <v>551</v>
      </c>
      <c r="C369" s="13">
        <v>1130856</v>
      </c>
      <c r="D369" s="14" t="s">
        <v>553</v>
      </c>
      <c r="E369" s="15">
        <v>5703</v>
      </c>
      <c r="F369" s="15">
        <f t="shared" si="16"/>
        <v>57030</v>
      </c>
      <c r="G369" s="15">
        <v>21585.4</v>
      </c>
      <c r="H369" s="15">
        <f t="shared" si="17"/>
        <v>215854</v>
      </c>
      <c r="I369" s="16" t="str">
        <f>IFERROR(VLOOKUP($C369,[1]dados_2023!$C$3:$H$357,4,0),"-")</f>
        <v>-</v>
      </c>
      <c r="J369" s="16" t="str">
        <f>IFERROR(VLOOKUP($C369,[1]dados_2023!$C$3:$H$357,6,0),"-")</f>
        <v>-</v>
      </c>
    </row>
    <row r="370" spans="1:10" ht="18" customHeight="1" x14ac:dyDescent="0.3">
      <c r="A370" s="11">
        <v>11</v>
      </c>
      <c r="B370" s="12" t="s">
        <v>554</v>
      </c>
      <c r="C370" s="13">
        <v>1130929</v>
      </c>
      <c r="D370" s="14" t="s">
        <v>555</v>
      </c>
      <c r="E370" s="15">
        <v>4450</v>
      </c>
      <c r="F370" s="15">
        <f t="shared" si="16"/>
        <v>44500</v>
      </c>
      <c r="G370" s="15">
        <v>19046</v>
      </c>
      <c r="H370" s="15">
        <f t="shared" si="17"/>
        <v>190460</v>
      </c>
      <c r="I370" s="16" t="str">
        <f>IFERROR(VLOOKUP($C370,[1]dados_2023!$C$3:$H$357,4,0),"-")</f>
        <v>-</v>
      </c>
      <c r="J370" s="16" t="str">
        <f>IFERROR(VLOOKUP($C370,[1]dados_2023!$C$3:$H$357,6,0),"-")</f>
        <v>-</v>
      </c>
    </row>
    <row r="371" spans="1:10" ht="18" customHeight="1" x14ac:dyDescent="0.3">
      <c r="A371" s="11">
        <v>11</v>
      </c>
      <c r="B371" s="12" t="s">
        <v>554</v>
      </c>
      <c r="C371" s="13">
        <v>1130910</v>
      </c>
      <c r="D371" s="14" t="s">
        <v>556</v>
      </c>
      <c r="E371" s="15">
        <v>4204.2000000000007</v>
      </c>
      <c r="F371" s="15">
        <f t="shared" si="16"/>
        <v>42042.000000000007</v>
      </c>
      <c r="G371" s="15">
        <v>16257.2</v>
      </c>
      <c r="H371" s="15">
        <f t="shared" si="17"/>
        <v>162572</v>
      </c>
      <c r="I371" s="16" t="str">
        <f>IFERROR(VLOOKUP($C371,[1]dados_2023!$C$3:$H$357,4,0),"-")</f>
        <v>-</v>
      </c>
      <c r="J371" s="16" t="str">
        <f>IFERROR(VLOOKUP($C371,[1]dados_2023!$C$3:$H$357,6,0),"-")</f>
        <v>-</v>
      </c>
    </row>
    <row r="372" spans="1:10" ht="18" customHeight="1" x14ac:dyDescent="0.3">
      <c r="A372" s="11">
        <v>11</v>
      </c>
      <c r="B372" s="12" t="s">
        <v>554</v>
      </c>
      <c r="C372" s="13">
        <v>1130937</v>
      </c>
      <c r="D372" s="14" t="s">
        <v>557</v>
      </c>
      <c r="E372" s="15">
        <v>4660</v>
      </c>
      <c r="F372" s="15">
        <f t="shared" si="16"/>
        <v>46600</v>
      </c>
      <c r="G372" s="15">
        <v>19944.8</v>
      </c>
      <c r="H372" s="15">
        <f t="shared" si="17"/>
        <v>199448</v>
      </c>
      <c r="I372" s="16" t="str">
        <f>IFERROR(VLOOKUP($C372,[1]dados_2023!$C$3:$H$357,4,0),"-")</f>
        <v>-</v>
      </c>
      <c r="J372" s="16" t="str">
        <f>IFERROR(VLOOKUP($C372,[1]dados_2023!$C$3:$H$357,6,0),"-")</f>
        <v>-</v>
      </c>
    </row>
    <row r="373" spans="1:10" ht="18" customHeight="1" x14ac:dyDescent="0.3">
      <c r="A373" s="11">
        <v>11</v>
      </c>
      <c r="B373" s="12" t="s">
        <v>558</v>
      </c>
      <c r="C373" s="13">
        <v>1176129</v>
      </c>
      <c r="D373" s="14" t="s">
        <v>559</v>
      </c>
      <c r="E373" s="15">
        <v>3873.6</v>
      </c>
      <c r="F373" s="15">
        <f t="shared" si="16"/>
        <v>38736</v>
      </c>
      <c r="G373" s="15">
        <v>17412.400000000001</v>
      </c>
      <c r="H373" s="15">
        <f t="shared" si="17"/>
        <v>174124</v>
      </c>
      <c r="I373" s="16" t="str">
        <f>IFERROR(VLOOKUP($C373,[1]dados_2023!$C$3:$H$357,4,0),"-")</f>
        <v>-</v>
      </c>
      <c r="J373" s="16" t="str">
        <f>IFERROR(VLOOKUP($C373,[1]dados_2023!$C$3:$H$357,6,0),"-")</f>
        <v>-</v>
      </c>
    </row>
    <row r="374" spans="1:10" ht="18" customHeight="1" x14ac:dyDescent="0.3">
      <c r="A374" s="11">
        <v>11</v>
      </c>
      <c r="B374" s="12" t="s">
        <v>558</v>
      </c>
      <c r="C374" s="13">
        <v>1179619</v>
      </c>
      <c r="D374" s="14" t="s">
        <v>560</v>
      </c>
      <c r="E374" s="15">
        <v>3435.6</v>
      </c>
      <c r="F374" s="15">
        <f t="shared" si="16"/>
        <v>34356</v>
      </c>
      <c r="G374" s="15">
        <v>15622.8</v>
      </c>
      <c r="H374" s="15">
        <f t="shared" si="17"/>
        <v>156228</v>
      </c>
      <c r="I374" s="16" t="str">
        <f>IFERROR(VLOOKUP($C374,[1]dados_2023!$C$3:$H$357,4,0),"-")</f>
        <v>-</v>
      </c>
      <c r="J374" s="16" t="str">
        <f>IFERROR(VLOOKUP($C374,[1]dados_2023!$C$3:$H$357,6,0),"-")</f>
        <v>-</v>
      </c>
    </row>
    <row r="375" spans="1:10" ht="18" customHeight="1" x14ac:dyDescent="0.3">
      <c r="A375" s="11">
        <v>11</v>
      </c>
      <c r="B375" s="12" t="s">
        <v>558</v>
      </c>
      <c r="C375" s="13">
        <v>1130902</v>
      </c>
      <c r="D375" s="14" t="s">
        <v>561</v>
      </c>
      <c r="E375" s="15">
        <v>5675.7999999999993</v>
      </c>
      <c r="F375" s="15">
        <f t="shared" si="16"/>
        <v>56757.999999999993</v>
      </c>
      <c r="G375" s="15">
        <v>26154.800000000003</v>
      </c>
      <c r="H375" s="15">
        <f t="shared" si="17"/>
        <v>261548.00000000003</v>
      </c>
      <c r="I375" s="16" t="str">
        <f>IFERROR(VLOOKUP($C375,[1]dados_2023!$C$3:$H$357,4,0),"-")</f>
        <v>-</v>
      </c>
      <c r="J375" s="16" t="str">
        <f>IFERROR(VLOOKUP($C375,[1]dados_2023!$C$3:$H$357,6,0),"-")</f>
        <v>-</v>
      </c>
    </row>
    <row r="376" spans="1:10" ht="18" customHeight="1" x14ac:dyDescent="0.3">
      <c r="A376" s="11">
        <v>11</v>
      </c>
      <c r="B376" s="12" t="s">
        <v>562</v>
      </c>
      <c r="C376" s="13">
        <v>1165455</v>
      </c>
      <c r="D376" s="14" t="s">
        <v>563</v>
      </c>
      <c r="E376" s="15">
        <v>5780.6</v>
      </c>
      <c r="F376" s="15">
        <f t="shared" si="16"/>
        <v>57806</v>
      </c>
      <c r="G376" s="15">
        <v>22661.8</v>
      </c>
      <c r="H376" s="15">
        <f t="shared" si="17"/>
        <v>226618</v>
      </c>
      <c r="I376" s="16" t="str">
        <f>IFERROR(VLOOKUP($C376,[1]dados_2023!$C$3:$H$357,4,0),"-")</f>
        <v>-</v>
      </c>
      <c r="J376" s="16" t="str">
        <f>IFERROR(VLOOKUP($C376,[1]dados_2023!$C$3:$H$357,6,0),"-")</f>
        <v>-</v>
      </c>
    </row>
    <row r="377" spans="1:10" ht="18" customHeight="1" x14ac:dyDescent="0.3">
      <c r="A377" s="11">
        <v>12</v>
      </c>
      <c r="B377" s="12" t="s">
        <v>564</v>
      </c>
      <c r="C377" s="13">
        <v>1176443</v>
      </c>
      <c r="D377" s="14" t="s">
        <v>565</v>
      </c>
      <c r="E377" s="15">
        <v>7917</v>
      </c>
      <c r="F377" s="15">
        <f t="shared" si="16"/>
        <v>79170</v>
      </c>
      <c r="G377" s="15">
        <v>31167.599999999999</v>
      </c>
      <c r="H377" s="15">
        <f t="shared" si="17"/>
        <v>311676</v>
      </c>
      <c r="I377" s="16" t="str">
        <f>IFERROR(VLOOKUP($C377,[1]dados_2023!$C$3:$H$357,4,0),"-")</f>
        <v>-</v>
      </c>
      <c r="J377" s="16" t="str">
        <f>IFERROR(VLOOKUP($C377,[1]dados_2023!$C$3:$H$357,6,0),"-")</f>
        <v>-</v>
      </c>
    </row>
    <row r="378" spans="1:10" ht="18" customHeight="1" x14ac:dyDescent="0.3">
      <c r="A378" s="11">
        <v>12</v>
      </c>
      <c r="B378" s="12" t="s">
        <v>566</v>
      </c>
      <c r="C378" s="13">
        <v>1176458</v>
      </c>
      <c r="D378" s="14" t="s">
        <v>567</v>
      </c>
      <c r="E378" s="15">
        <v>10769.4</v>
      </c>
      <c r="F378" s="15">
        <f t="shared" si="16"/>
        <v>107694</v>
      </c>
      <c r="G378" s="15">
        <v>33160</v>
      </c>
      <c r="H378" s="15">
        <f t="shared" si="17"/>
        <v>331600</v>
      </c>
      <c r="I378" s="16" t="str">
        <f>IFERROR(VLOOKUP($C378,[1]dados_2023!$C$3:$H$357,4,0),"-")</f>
        <v>-</v>
      </c>
      <c r="J378" s="16" t="str">
        <f>IFERROR(VLOOKUP($C378,[1]dados_2023!$C$3:$H$357,6,0),"-")</f>
        <v>-</v>
      </c>
    </row>
    <row r="379" spans="1:10" ht="18" customHeight="1" x14ac:dyDescent="0.3">
      <c r="A379" s="11">
        <v>12</v>
      </c>
      <c r="B379" s="12" t="s">
        <v>568</v>
      </c>
      <c r="C379" s="13">
        <v>1167709</v>
      </c>
      <c r="D379" s="14" t="s">
        <v>11</v>
      </c>
      <c r="E379" s="15">
        <v>6783.8</v>
      </c>
      <c r="F379" s="15">
        <f t="shared" si="16"/>
        <v>67838</v>
      </c>
      <c r="G379" s="15">
        <v>19901.8</v>
      </c>
      <c r="H379" s="15">
        <f t="shared" si="17"/>
        <v>199018</v>
      </c>
      <c r="I379" s="16" t="str">
        <f>IFERROR(VLOOKUP($C379,[1]dados_2023!$C$3:$H$357,4,0),"-")</f>
        <v>-</v>
      </c>
      <c r="J379" s="16" t="str">
        <f>IFERROR(VLOOKUP($C379,[1]dados_2023!$C$3:$H$357,6,0),"-")</f>
        <v>-</v>
      </c>
    </row>
    <row r="380" spans="1:10" ht="18" customHeight="1" x14ac:dyDescent="0.3">
      <c r="A380" s="11">
        <v>12</v>
      </c>
      <c r="B380" s="12" t="s">
        <v>569</v>
      </c>
      <c r="C380" s="13">
        <v>1165056</v>
      </c>
      <c r="D380" s="14" t="s">
        <v>570</v>
      </c>
      <c r="E380" s="15">
        <v>7618.8</v>
      </c>
      <c r="F380" s="15">
        <f t="shared" si="16"/>
        <v>76188</v>
      </c>
      <c r="G380" s="15">
        <v>24965.8</v>
      </c>
      <c r="H380" s="15">
        <f t="shared" si="17"/>
        <v>249658</v>
      </c>
      <c r="I380" s="16" t="str">
        <f>IFERROR(VLOOKUP($C380,[1]dados_2023!$C$3:$H$357,4,0),"-")</f>
        <v>-</v>
      </c>
      <c r="J380" s="16" t="str">
        <f>IFERROR(VLOOKUP($C380,[1]dados_2023!$C$3:$H$357,6,0),"-")</f>
        <v>-</v>
      </c>
    </row>
    <row r="381" spans="1:10" ht="18" customHeight="1" x14ac:dyDescent="0.3">
      <c r="A381" s="11">
        <v>12</v>
      </c>
      <c r="B381" s="12" t="s">
        <v>571</v>
      </c>
      <c r="C381" s="13">
        <v>1127960</v>
      </c>
      <c r="D381" s="14" t="s">
        <v>572</v>
      </c>
      <c r="E381" s="15">
        <v>4930.3999999999996</v>
      </c>
      <c r="F381" s="15">
        <f t="shared" si="16"/>
        <v>49304</v>
      </c>
      <c r="G381" s="15">
        <v>17389.599999999999</v>
      </c>
      <c r="H381" s="15">
        <f t="shared" si="17"/>
        <v>173896</v>
      </c>
      <c r="I381" s="16" t="str">
        <f>IFERROR(VLOOKUP($C381,[1]dados_2023!$C$3:$H$357,4,0),"-")</f>
        <v>-</v>
      </c>
      <c r="J381" s="16" t="str">
        <f>IFERROR(VLOOKUP($C381,[1]dados_2023!$C$3:$H$357,6,0),"-")</f>
        <v>-</v>
      </c>
    </row>
    <row r="382" spans="1:10" ht="18" customHeight="1" x14ac:dyDescent="0.3">
      <c r="A382" s="11">
        <v>12</v>
      </c>
      <c r="B382" s="12" t="s">
        <v>573</v>
      </c>
      <c r="C382" s="13">
        <v>1128177</v>
      </c>
      <c r="D382" s="14" t="s">
        <v>574</v>
      </c>
      <c r="E382" s="15">
        <v>13544.2</v>
      </c>
      <c r="F382" s="15">
        <f t="shared" si="16"/>
        <v>135442</v>
      </c>
      <c r="G382" s="15">
        <v>59083.200000000004</v>
      </c>
      <c r="H382" s="15">
        <f t="shared" si="17"/>
        <v>590832</v>
      </c>
      <c r="I382" s="16" t="str">
        <f>IFERROR(VLOOKUP($C382,[1]dados_2023!$C$3:$H$357,4,0),"-")</f>
        <v>-</v>
      </c>
      <c r="J382" s="16" t="str">
        <f>IFERROR(VLOOKUP($C382,[1]dados_2023!$C$3:$H$357,6,0),"-")</f>
        <v>-</v>
      </c>
    </row>
    <row r="383" spans="1:10" ht="18" customHeight="1" x14ac:dyDescent="0.3">
      <c r="A383" s="11">
        <v>12</v>
      </c>
      <c r="B383" s="12" t="s">
        <v>573</v>
      </c>
      <c r="C383" s="13">
        <v>1128088</v>
      </c>
      <c r="D383" s="14" t="s">
        <v>575</v>
      </c>
      <c r="E383" s="15">
        <v>1380</v>
      </c>
      <c r="F383" s="15">
        <f t="shared" si="16"/>
        <v>13800</v>
      </c>
      <c r="G383" s="15">
        <v>5906.4</v>
      </c>
      <c r="H383" s="15">
        <f t="shared" si="17"/>
        <v>59064</v>
      </c>
      <c r="I383" s="16" t="str">
        <f>IFERROR(VLOOKUP($C383,[1]dados_2023!$C$3:$H$357,4,0),"-")</f>
        <v>-</v>
      </c>
      <c r="J383" s="16" t="str">
        <f>IFERROR(VLOOKUP($C383,[1]dados_2023!$C$3:$H$357,6,0),"-")</f>
        <v>-</v>
      </c>
    </row>
    <row r="384" spans="1:10" ht="18" customHeight="1" x14ac:dyDescent="0.3">
      <c r="A384" s="11">
        <v>12</v>
      </c>
      <c r="B384" s="12" t="s">
        <v>573</v>
      </c>
      <c r="C384" s="13">
        <v>1179717</v>
      </c>
      <c r="D384" s="14" t="s">
        <v>576</v>
      </c>
      <c r="E384" s="15">
        <v>5300</v>
      </c>
      <c r="F384" s="15">
        <f t="shared" si="16"/>
        <v>53000</v>
      </c>
      <c r="G384" s="15">
        <v>22684</v>
      </c>
      <c r="H384" s="15">
        <f t="shared" si="17"/>
        <v>226840</v>
      </c>
      <c r="I384" s="16" t="str">
        <f>IFERROR(VLOOKUP($C384,[1]dados_2023!$C$3:$H$357,4,0),"-")</f>
        <v>-</v>
      </c>
      <c r="J384" s="16" t="str">
        <f>IFERROR(VLOOKUP($C384,[1]dados_2023!$C$3:$H$357,6,0),"-")</f>
        <v>-</v>
      </c>
    </row>
    <row r="385" spans="1:10" ht="18" customHeight="1" x14ac:dyDescent="0.3">
      <c r="A385" s="11">
        <v>12</v>
      </c>
      <c r="B385" s="12" t="s">
        <v>577</v>
      </c>
      <c r="C385" s="13">
        <v>1127731</v>
      </c>
      <c r="D385" s="14" t="s">
        <v>578</v>
      </c>
      <c r="E385" s="15">
        <v>7214</v>
      </c>
      <c r="F385" s="15">
        <f t="shared" si="16"/>
        <v>72140</v>
      </c>
      <c r="G385" s="15">
        <v>31896.400000000001</v>
      </c>
      <c r="H385" s="15">
        <f t="shared" si="17"/>
        <v>318964</v>
      </c>
      <c r="I385" s="16" t="str">
        <f>IFERROR(VLOOKUP($C385,[1]dados_2023!$C$3:$H$357,4,0),"-")</f>
        <v>-</v>
      </c>
      <c r="J385" s="16" t="str">
        <f>IFERROR(VLOOKUP($C385,[1]dados_2023!$C$3:$H$357,6,0),"-")</f>
        <v>-</v>
      </c>
    </row>
    <row r="386" spans="1:10" ht="18" customHeight="1" x14ac:dyDescent="0.3">
      <c r="A386" s="11">
        <v>12</v>
      </c>
      <c r="B386" s="12" t="s">
        <v>579</v>
      </c>
      <c r="C386" s="13">
        <v>1127634</v>
      </c>
      <c r="D386" s="14" t="s">
        <v>580</v>
      </c>
      <c r="E386" s="15">
        <v>2152.8000000000002</v>
      </c>
      <c r="F386" s="15">
        <f t="shared" si="16"/>
        <v>21528</v>
      </c>
      <c r="G386" s="15">
        <v>8363.2000000000007</v>
      </c>
      <c r="H386" s="15">
        <f t="shared" si="17"/>
        <v>83632</v>
      </c>
      <c r="I386" s="16" t="str">
        <f>IFERROR(VLOOKUP($C386,[1]dados_2023!$C$3:$H$357,4,0),"-")</f>
        <v>-</v>
      </c>
      <c r="J386" s="16" t="str">
        <f>IFERROR(VLOOKUP($C386,[1]dados_2023!$C$3:$H$357,6,0),"-")</f>
        <v>-</v>
      </c>
    </row>
    <row r="387" spans="1:10" ht="18" customHeight="1" x14ac:dyDescent="0.3">
      <c r="A387" s="11">
        <v>12</v>
      </c>
      <c r="B387" s="12" t="s">
        <v>579</v>
      </c>
      <c r="C387" s="13">
        <v>1127707</v>
      </c>
      <c r="D387" s="14" t="s">
        <v>581</v>
      </c>
      <c r="E387" s="15">
        <v>4326.3999999999996</v>
      </c>
      <c r="F387" s="15">
        <f t="shared" si="16"/>
        <v>43264</v>
      </c>
      <c r="G387" s="15">
        <v>15191.2</v>
      </c>
      <c r="H387" s="15">
        <f t="shared" si="17"/>
        <v>151912</v>
      </c>
      <c r="I387" s="16" t="str">
        <f>IFERROR(VLOOKUP($C387,[1]dados_2023!$C$3:$H$357,4,0),"-")</f>
        <v>-</v>
      </c>
      <c r="J387" s="16" t="str">
        <f>IFERROR(VLOOKUP($C387,[1]dados_2023!$C$3:$H$357,6,0),"-")</f>
        <v>-</v>
      </c>
    </row>
    <row r="388" spans="1:10" ht="18" customHeight="1" x14ac:dyDescent="0.3">
      <c r="A388" s="11">
        <v>13</v>
      </c>
      <c r="B388" s="12" t="s">
        <v>582</v>
      </c>
      <c r="C388" s="13">
        <v>1176430</v>
      </c>
      <c r="D388" s="14" t="s">
        <v>583</v>
      </c>
      <c r="E388" s="15">
        <v>12470</v>
      </c>
      <c r="F388" s="15">
        <f t="shared" si="16"/>
        <v>124700</v>
      </c>
      <c r="G388" s="15">
        <v>53371.600000000006</v>
      </c>
      <c r="H388" s="15">
        <f t="shared" si="17"/>
        <v>533716</v>
      </c>
      <c r="I388" s="16" t="str">
        <f>IFERROR(VLOOKUP($C388,[1]dados_2023!$C$3:$H$357,4,0),"-")</f>
        <v>-</v>
      </c>
      <c r="J388" s="16" t="str">
        <f>IFERROR(VLOOKUP($C388,[1]dados_2023!$C$3:$H$357,6,0),"-")</f>
        <v>-</v>
      </c>
    </row>
    <row r="389" spans="1:10" ht="18" customHeight="1" x14ac:dyDescent="0.3">
      <c r="A389" s="11">
        <v>13</v>
      </c>
      <c r="B389" s="12" t="s">
        <v>582</v>
      </c>
      <c r="C389" s="13">
        <v>1123817</v>
      </c>
      <c r="D389" s="14" t="s">
        <v>584</v>
      </c>
      <c r="E389" s="15">
        <v>23301</v>
      </c>
      <c r="F389" s="15">
        <f t="shared" si="16"/>
        <v>233010</v>
      </c>
      <c r="G389" s="15">
        <v>81740.800000000003</v>
      </c>
      <c r="H389" s="15">
        <f t="shared" si="17"/>
        <v>817408</v>
      </c>
      <c r="I389" s="16" t="str">
        <f>IFERROR(VLOOKUP($C389,[1]dados_2023!$C$3:$H$357,4,0),"-")</f>
        <v>-</v>
      </c>
      <c r="J389" s="16" t="str">
        <f>IFERROR(VLOOKUP($C389,[1]dados_2023!$C$3:$H$357,6,0),"-")</f>
        <v>-</v>
      </c>
    </row>
    <row r="390" spans="1:10" ht="18" customHeight="1" x14ac:dyDescent="0.3">
      <c r="A390" s="11">
        <v>13</v>
      </c>
      <c r="B390" s="12" t="s">
        <v>585</v>
      </c>
      <c r="C390" s="13">
        <v>1128371</v>
      </c>
      <c r="D390" s="14" t="s">
        <v>586</v>
      </c>
      <c r="E390" s="15">
        <v>21030.800000000003</v>
      </c>
      <c r="F390" s="15">
        <f t="shared" ref="F390:F453" si="18">E390*10</f>
        <v>210308.00000000003</v>
      </c>
      <c r="G390" s="15">
        <v>73111.200000000012</v>
      </c>
      <c r="H390" s="15">
        <f t="shared" ref="H390:H453" si="19">G390*10</f>
        <v>731112.00000000012</v>
      </c>
      <c r="I390" s="16" t="str">
        <f>IFERROR(VLOOKUP($C390,[1]dados_2023!$C$3:$H$357,4,0),"-")</f>
        <v>-</v>
      </c>
      <c r="J390" s="16" t="str">
        <f>IFERROR(VLOOKUP($C390,[1]dados_2023!$C$3:$H$357,6,0),"-")</f>
        <v>-</v>
      </c>
    </row>
    <row r="391" spans="1:10" ht="18" customHeight="1" x14ac:dyDescent="0.3">
      <c r="A391" s="11">
        <v>13</v>
      </c>
      <c r="B391" s="12" t="s">
        <v>587</v>
      </c>
      <c r="C391" s="13">
        <v>1178115</v>
      </c>
      <c r="D391" s="14" t="s">
        <v>588</v>
      </c>
      <c r="E391" s="15">
        <v>5258.4000000000005</v>
      </c>
      <c r="F391" s="15">
        <f t="shared" si="18"/>
        <v>52584.000000000007</v>
      </c>
      <c r="G391" s="15">
        <v>18346</v>
      </c>
      <c r="H391" s="15">
        <f t="shared" si="19"/>
        <v>183460</v>
      </c>
      <c r="I391" s="16" t="str">
        <f>IFERROR(VLOOKUP($C391,[1]dados_2023!$C$3:$H$357,4,0),"-")</f>
        <v>-</v>
      </c>
      <c r="J391" s="16" t="str">
        <f>IFERROR(VLOOKUP($C391,[1]dados_2023!$C$3:$H$357,6,0),"-")</f>
        <v>-</v>
      </c>
    </row>
    <row r="392" spans="1:10" ht="18" customHeight="1" x14ac:dyDescent="0.3">
      <c r="A392" s="11">
        <v>13</v>
      </c>
      <c r="B392" s="12" t="s">
        <v>587</v>
      </c>
      <c r="C392" s="13">
        <v>1179778</v>
      </c>
      <c r="D392" s="14" t="s">
        <v>589</v>
      </c>
      <c r="E392" s="15">
        <v>39316.400000000001</v>
      </c>
      <c r="F392" s="15">
        <f t="shared" si="18"/>
        <v>393164</v>
      </c>
      <c r="G392" s="15">
        <v>145639.79999999999</v>
      </c>
      <c r="H392" s="15">
        <f t="shared" si="19"/>
        <v>1456398</v>
      </c>
      <c r="I392" s="16" t="str">
        <f>IFERROR(VLOOKUP($C392,[1]dados_2023!$C$3:$H$357,4,0),"-")</f>
        <v>-</v>
      </c>
      <c r="J392" s="16" t="str">
        <f>IFERROR(VLOOKUP($C392,[1]dados_2023!$C$3:$H$357,6,0),"-")</f>
        <v>-</v>
      </c>
    </row>
    <row r="393" spans="1:10" ht="18" customHeight="1" x14ac:dyDescent="0.3">
      <c r="A393" s="11">
        <v>13</v>
      </c>
      <c r="B393" s="12" t="s">
        <v>590</v>
      </c>
      <c r="C393" s="13">
        <v>1170866</v>
      </c>
      <c r="D393" s="14" t="s">
        <v>591</v>
      </c>
      <c r="E393" s="15">
        <v>13382.000000000002</v>
      </c>
      <c r="F393" s="15">
        <f t="shared" si="18"/>
        <v>133820.00000000003</v>
      </c>
      <c r="G393" s="15">
        <v>41299</v>
      </c>
      <c r="H393" s="15">
        <f t="shared" si="19"/>
        <v>412990</v>
      </c>
      <c r="I393" s="16" t="str">
        <f>IFERROR(VLOOKUP($C393,[1]dados_2023!$C$3:$H$357,4,0),"-")</f>
        <v>-</v>
      </c>
      <c r="J393" s="16" t="str">
        <f>IFERROR(VLOOKUP($C393,[1]dados_2023!$C$3:$H$357,6,0),"-")</f>
        <v>-</v>
      </c>
    </row>
    <row r="394" spans="1:10" ht="18" customHeight="1" x14ac:dyDescent="0.3">
      <c r="A394" s="11">
        <v>13</v>
      </c>
      <c r="B394" s="12" t="s">
        <v>592</v>
      </c>
      <c r="C394" s="13">
        <v>1124163</v>
      </c>
      <c r="D394" s="14" t="s">
        <v>593</v>
      </c>
      <c r="E394" s="15">
        <v>3362.4000000000005</v>
      </c>
      <c r="F394" s="15">
        <f t="shared" si="18"/>
        <v>33624.000000000007</v>
      </c>
      <c r="G394" s="15">
        <v>13941.4</v>
      </c>
      <c r="H394" s="15">
        <f t="shared" si="19"/>
        <v>139414</v>
      </c>
      <c r="I394" s="16" t="str">
        <f>IFERROR(VLOOKUP($C394,[1]dados_2023!$C$3:$H$357,4,0),"-")</f>
        <v>-</v>
      </c>
      <c r="J394" s="16" t="str">
        <f>IFERROR(VLOOKUP($C394,[1]dados_2023!$C$3:$H$357,6,0),"-")</f>
        <v>-</v>
      </c>
    </row>
    <row r="395" spans="1:10" ht="18" customHeight="1" x14ac:dyDescent="0.3">
      <c r="A395" s="11">
        <v>13</v>
      </c>
      <c r="B395" s="12" t="s">
        <v>594</v>
      </c>
      <c r="C395" s="13">
        <v>1124287</v>
      </c>
      <c r="D395" s="14" t="s">
        <v>595</v>
      </c>
      <c r="E395" s="15">
        <v>8361</v>
      </c>
      <c r="F395" s="15">
        <f t="shared" si="18"/>
        <v>83610</v>
      </c>
      <c r="G395" s="15">
        <v>28943.599999999999</v>
      </c>
      <c r="H395" s="15">
        <f t="shared" si="19"/>
        <v>289436</v>
      </c>
      <c r="I395" s="16" t="str">
        <f>IFERROR(VLOOKUP($C395,[1]dados_2023!$C$3:$H$357,4,0),"-")</f>
        <v>-</v>
      </c>
      <c r="J395" s="16" t="str">
        <f>IFERROR(VLOOKUP($C395,[1]dados_2023!$C$3:$H$357,6,0),"-")</f>
        <v>-</v>
      </c>
    </row>
    <row r="396" spans="1:10" ht="18" customHeight="1" x14ac:dyDescent="0.3">
      <c r="A396" s="11">
        <v>13</v>
      </c>
      <c r="B396" s="12" t="s">
        <v>596</v>
      </c>
      <c r="C396" s="13">
        <v>1129319</v>
      </c>
      <c r="D396" s="14" t="s">
        <v>597</v>
      </c>
      <c r="E396" s="15">
        <v>18570</v>
      </c>
      <c r="F396" s="15">
        <f t="shared" si="18"/>
        <v>185700</v>
      </c>
      <c r="G396" s="15">
        <v>79479.600000000006</v>
      </c>
      <c r="H396" s="15">
        <f t="shared" si="19"/>
        <v>794796</v>
      </c>
      <c r="I396" s="16" t="str">
        <f>IFERROR(VLOOKUP($C396,[1]dados_2023!$C$3:$H$357,4,0),"-")</f>
        <v>-</v>
      </c>
      <c r="J396" s="16" t="str">
        <f>IFERROR(VLOOKUP($C396,[1]dados_2023!$C$3:$H$357,6,0),"-")</f>
        <v>-</v>
      </c>
    </row>
    <row r="397" spans="1:10" ht="18" customHeight="1" x14ac:dyDescent="0.3">
      <c r="A397" s="11">
        <v>13</v>
      </c>
      <c r="B397" s="12" t="s">
        <v>596</v>
      </c>
      <c r="C397" s="13">
        <v>1178149</v>
      </c>
      <c r="D397" s="14" t="s">
        <v>598</v>
      </c>
      <c r="E397" s="15">
        <v>1790.1999999999998</v>
      </c>
      <c r="F397" s="15">
        <f t="shared" si="18"/>
        <v>17902</v>
      </c>
      <c r="G397" s="15">
        <v>8180.8</v>
      </c>
      <c r="H397" s="15">
        <f t="shared" si="19"/>
        <v>81808</v>
      </c>
      <c r="I397" s="16" t="str">
        <f>IFERROR(VLOOKUP($C397,[1]dados_2023!$C$3:$H$357,4,0),"-")</f>
        <v>-</v>
      </c>
      <c r="J397" s="16" t="str">
        <f>IFERROR(VLOOKUP($C397,[1]dados_2023!$C$3:$H$357,6,0),"-")</f>
        <v>-</v>
      </c>
    </row>
    <row r="398" spans="1:10" ht="18" customHeight="1" x14ac:dyDescent="0.3">
      <c r="A398" s="11">
        <v>13</v>
      </c>
      <c r="B398" s="12" t="s">
        <v>596</v>
      </c>
      <c r="C398" s="13">
        <v>1128606</v>
      </c>
      <c r="D398" s="14" t="s">
        <v>557</v>
      </c>
      <c r="E398" s="15">
        <v>9770</v>
      </c>
      <c r="F398" s="15">
        <f t="shared" si="18"/>
        <v>97700</v>
      </c>
      <c r="G398" s="15">
        <v>45935</v>
      </c>
      <c r="H398" s="15">
        <f t="shared" si="19"/>
        <v>459350</v>
      </c>
      <c r="I398" s="16" t="str">
        <f>IFERROR(VLOOKUP($C398,[1]dados_2023!$C$3:$H$357,4,0),"-")</f>
        <v>-</v>
      </c>
      <c r="J398" s="16" t="str">
        <f>IFERROR(VLOOKUP($C398,[1]dados_2023!$C$3:$H$357,6,0),"-")</f>
        <v>-</v>
      </c>
    </row>
    <row r="399" spans="1:10" ht="18" customHeight="1" x14ac:dyDescent="0.3">
      <c r="A399" s="11">
        <v>13</v>
      </c>
      <c r="B399" s="12" t="s">
        <v>596</v>
      </c>
      <c r="C399" s="13">
        <v>1176438</v>
      </c>
      <c r="D399" s="14" t="s">
        <v>245</v>
      </c>
      <c r="E399" s="15">
        <v>11670</v>
      </c>
      <c r="F399" s="15">
        <f t="shared" si="18"/>
        <v>116700</v>
      </c>
      <c r="G399" s="15">
        <v>49947.600000000006</v>
      </c>
      <c r="H399" s="15">
        <f t="shared" si="19"/>
        <v>499476.00000000006</v>
      </c>
      <c r="I399" s="16" t="str">
        <f>IFERROR(VLOOKUP($C399,[1]dados_2023!$C$3:$H$357,4,0),"-")</f>
        <v>-</v>
      </c>
      <c r="J399" s="16" t="str">
        <f>IFERROR(VLOOKUP($C399,[1]dados_2023!$C$3:$H$357,6,0),"-")</f>
        <v>-</v>
      </c>
    </row>
    <row r="400" spans="1:10" ht="18" customHeight="1" x14ac:dyDescent="0.3">
      <c r="A400" s="11">
        <v>13</v>
      </c>
      <c r="B400" s="12" t="s">
        <v>599</v>
      </c>
      <c r="C400" s="13">
        <v>1178031</v>
      </c>
      <c r="D400" s="14" t="s">
        <v>600</v>
      </c>
      <c r="E400" s="15">
        <v>8787.4000000000015</v>
      </c>
      <c r="F400" s="15">
        <f t="shared" si="18"/>
        <v>87874.000000000015</v>
      </c>
      <c r="G400" s="15">
        <v>28392.400000000001</v>
      </c>
      <c r="H400" s="15">
        <f t="shared" si="19"/>
        <v>283924</v>
      </c>
      <c r="I400" s="16" t="str">
        <f>IFERROR(VLOOKUP($C400,[1]dados_2023!$C$3:$H$357,4,0),"-")</f>
        <v>-</v>
      </c>
      <c r="J400" s="16" t="str">
        <f>IFERROR(VLOOKUP($C400,[1]dados_2023!$C$3:$H$357,6,0),"-")</f>
        <v>-</v>
      </c>
    </row>
    <row r="401" spans="1:10" ht="18" customHeight="1" x14ac:dyDescent="0.3">
      <c r="A401" s="11">
        <v>13</v>
      </c>
      <c r="B401" s="12" t="s">
        <v>601</v>
      </c>
      <c r="C401" s="13">
        <v>1168039</v>
      </c>
      <c r="D401" s="14" t="s">
        <v>602</v>
      </c>
      <c r="E401" s="15">
        <v>11151.6</v>
      </c>
      <c r="F401" s="15">
        <f t="shared" si="18"/>
        <v>111516</v>
      </c>
      <c r="G401" s="15">
        <v>43132</v>
      </c>
      <c r="H401" s="15">
        <f t="shared" si="19"/>
        <v>431320</v>
      </c>
      <c r="I401" s="16" t="str">
        <f>IFERROR(VLOOKUP($C401,[1]dados_2023!$C$3:$H$357,4,0),"-")</f>
        <v>-</v>
      </c>
      <c r="J401" s="16" t="str">
        <f>IFERROR(VLOOKUP($C401,[1]dados_2023!$C$3:$H$357,6,0),"-")</f>
        <v>-</v>
      </c>
    </row>
    <row r="402" spans="1:10" ht="18" customHeight="1" x14ac:dyDescent="0.3">
      <c r="A402" s="11">
        <v>13</v>
      </c>
      <c r="B402" s="12" t="s">
        <v>603</v>
      </c>
      <c r="C402" s="13">
        <v>1178218</v>
      </c>
      <c r="D402" s="14" t="s">
        <v>297</v>
      </c>
      <c r="E402" s="15">
        <v>5368</v>
      </c>
      <c r="F402" s="15">
        <f t="shared" si="18"/>
        <v>53680</v>
      </c>
      <c r="G402" s="15">
        <v>22756.400000000001</v>
      </c>
      <c r="H402" s="15">
        <f t="shared" si="19"/>
        <v>227564</v>
      </c>
      <c r="I402" s="16" t="str">
        <f>IFERROR(VLOOKUP($C402,[1]dados_2023!$C$3:$H$357,4,0),"-")</f>
        <v>-</v>
      </c>
      <c r="J402" s="16" t="str">
        <f>IFERROR(VLOOKUP($C402,[1]dados_2023!$C$3:$H$357,6,0),"-")</f>
        <v>-</v>
      </c>
    </row>
    <row r="403" spans="1:10" ht="18" customHeight="1" x14ac:dyDescent="0.3">
      <c r="A403" s="11">
        <v>13</v>
      </c>
      <c r="B403" s="12" t="s">
        <v>604</v>
      </c>
      <c r="C403" s="13">
        <v>1140606</v>
      </c>
      <c r="D403" s="14" t="s">
        <v>605</v>
      </c>
      <c r="E403" s="15">
        <v>6057.2000000000007</v>
      </c>
      <c r="F403" s="15">
        <f t="shared" si="18"/>
        <v>60572.000000000007</v>
      </c>
      <c r="G403" s="15">
        <v>25594.2</v>
      </c>
      <c r="H403" s="15">
        <f t="shared" si="19"/>
        <v>255942</v>
      </c>
      <c r="I403" s="16" t="str">
        <f>IFERROR(VLOOKUP($C403,[1]dados_2023!$C$3:$H$357,4,0),"-")</f>
        <v>-</v>
      </c>
      <c r="J403" s="16" t="str">
        <f>IFERROR(VLOOKUP($C403,[1]dados_2023!$C$3:$H$357,6,0),"-")</f>
        <v>-</v>
      </c>
    </row>
    <row r="404" spans="1:10" ht="18" customHeight="1" x14ac:dyDescent="0.3">
      <c r="A404" s="11">
        <v>13</v>
      </c>
      <c r="B404" s="12" t="s">
        <v>606</v>
      </c>
      <c r="C404" s="13">
        <v>1124635</v>
      </c>
      <c r="D404" s="14" t="s">
        <v>607</v>
      </c>
      <c r="E404" s="15">
        <v>5710</v>
      </c>
      <c r="F404" s="15">
        <f t="shared" si="18"/>
        <v>57100</v>
      </c>
      <c r="G404" s="15">
        <v>22274.400000000001</v>
      </c>
      <c r="H404" s="15">
        <f t="shared" si="19"/>
        <v>222744</v>
      </c>
      <c r="I404" s="16" t="str">
        <f>IFERROR(VLOOKUP($C404,[1]dados_2023!$C$3:$H$357,4,0),"-")</f>
        <v>-</v>
      </c>
      <c r="J404" s="16" t="str">
        <f>IFERROR(VLOOKUP($C404,[1]dados_2023!$C$3:$H$357,6,0),"-")</f>
        <v>-</v>
      </c>
    </row>
    <row r="405" spans="1:10" ht="18" customHeight="1" x14ac:dyDescent="0.3">
      <c r="A405" s="11">
        <v>13</v>
      </c>
      <c r="B405" s="12" t="s">
        <v>608</v>
      </c>
      <c r="C405" s="13">
        <v>1129130</v>
      </c>
      <c r="D405" s="14" t="s">
        <v>609</v>
      </c>
      <c r="E405" s="15">
        <v>14213.2</v>
      </c>
      <c r="F405" s="15">
        <f t="shared" si="18"/>
        <v>142132</v>
      </c>
      <c r="G405" s="15">
        <v>49414.6</v>
      </c>
      <c r="H405" s="15">
        <f t="shared" si="19"/>
        <v>494146</v>
      </c>
      <c r="I405" s="16" t="str">
        <f>IFERROR(VLOOKUP($C405,[1]dados_2023!$C$3:$H$357,4,0),"-")</f>
        <v>-</v>
      </c>
      <c r="J405" s="16" t="str">
        <f>IFERROR(VLOOKUP($C405,[1]dados_2023!$C$3:$H$357,6,0),"-")</f>
        <v>-</v>
      </c>
    </row>
    <row r="406" spans="1:10" ht="18" customHeight="1" x14ac:dyDescent="0.3">
      <c r="A406" s="11">
        <v>13</v>
      </c>
      <c r="B406" s="12" t="s">
        <v>610</v>
      </c>
      <c r="C406" s="13">
        <v>1176379</v>
      </c>
      <c r="D406" s="14" t="s">
        <v>611</v>
      </c>
      <c r="E406" s="15">
        <v>9470</v>
      </c>
      <c r="F406" s="15">
        <f t="shared" si="18"/>
        <v>94700</v>
      </c>
      <c r="G406" s="15">
        <v>34892.800000000003</v>
      </c>
      <c r="H406" s="15">
        <f t="shared" si="19"/>
        <v>348928</v>
      </c>
      <c r="I406" s="16" t="str">
        <f>IFERROR(VLOOKUP($C406,[1]dados_2023!$C$3:$H$357,4,0),"-")</f>
        <v>-</v>
      </c>
      <c r="J406" s="16" t="str">
        <f>IFERROR(VLOOKUP($C406,[1]dados_2023!$C$3:$H$357,6,0),"-")</f>
        <v>-</v>
      </c>
    </row>
    <row r="407" spans="1:10" ht="18" customHeight="1" x14ac:dyDescent="0.3">
      <c r="A407" s="11">
        <v>13</v>
      </c>
      <c r="B407" s="12" t="s">
        <v>612</v>
      </c>
      <c r="C407" s="13">
        <v>1176197</v>
      </c>
      <c r="D407" s="14" t="s">
        <v>613</v>
      </c>
      <c r="E407" s="15">
        <v>2769.4</v>
      </c>
      <c r="F407" s="15">
        <f t="shared" si="18"/>
        <v>27694</v>
      </c>
      <c r="G407" s="15">
        <v>10654.2</v>
      </c>
      <c r="H407" s="15">
        <f t="shared" si="19"/>
        <v>106542</v>
      </c>
      <c r="I407" s="16" t="str">
        <f>IFERROR(VLOOKUP($C407,[1]dados_2023!$C$3:$H$357,4,0),"-")</f>
        <v>-</v>
      </c>
      <c r="J407" s="16" t="str">
        <f>IFERROR(VLOOKUP($C407,[1]dados_2023!$C$3:$H$357,6,0),"-")</f>
        <v>-</v>
      </c>
    </row>
    <row r="408" spans="1:10" ht="18" customHeight="1" x14ac:dyDescent="0.3">
      <c r="A408" s="11">
        <v>13</v>
      </c>
      <c r="B408" s="12" t="s">
        <v>612</v>
      </c>
      <c r="C408" s="13">
        <v>1129416</v>
      </c>
      <c r="D408" s="14" t="s">
        <v>614</v>
      </c>
      <c r="E408" s="15">
        <v>9055</v>
      </c>
      <c r="F408" s="15">
        <f t="shared" si="18"/>
        <v>90550</v>
      </c>
      <c r="G408" s="15">
        <v>30577.600000000006</v>
      </c>
      <c r="H408" s="15">
        <f t="shared" si="19"/>
        <v>305776.00000000006</v>
      </c>
      <c r="I408" s="16" t="str">
        <f>IFERROR(VLOOKUP($C408,[1]dados_2023!$C$3:$H$357,4,0),"-")</f>
        <v>-</v>
      </c>
      <c r="J408" s="16" t="str">
        <f>IFERROR(VLOOKUP($C408,[1]dados_2023!$C$3:$H$357,6,0),"-")</f>
        <v>-</v>
      </c>
    </row>
    <row r="409" spans="1:10" ht="18" customHeight="1" x14ac:dyDescent="0.3">
      <c r="A409" s="11">
        <v>13</v>
      </c>
      <c r="B409" s="12" t="s">
        <v>615</v>
      </c>
      <c r="C409" s="13">
        <v>1129432</v>
      </c>
      <c r="D409" s="14" t="s">
        <v>616</v>
      </c>
      <c r="E409" s="15">
        <v>3977.6</v>
      </c>
      <c r="F409" s="15">
        <f t="shared" si="18"/>
        <v>39776</v>
      </c>
      <c r="G409" s="15">
        <v>17339.2</v>
      </c>
      <c r="H409" s="15">
        <f t="shared" si="19"/>
        <v>173392</v>
      </c>
      <c r="I409" s="16" t="str">
        <f>IFERROR(VLOOKUP($C409,[1]dados_2023!$C$3:$H$357,4,0),"-")</f>
        <v>-</v>
      </c>
      <c r="J409" s="16" t="str">
        <f>IFERROR(VLOOKUP($C409,[1]dados_2023!$C$3:$H$357,6,0),"-")</f>
        <v>-</v>
      </c>
    </row>
    <row r="410" spans="1:10" ht="18" customHeight="1" x14ac:dyDescent="0.3">
      <c r="A410" s="11">
        <v>13</v>
      </c>
      <c r="B410" s="12" t="s">
        <v>617</v>
      </c>
      <c r="C410" s="13">
        <v>1177101</v>
      </c>
      <c r="D410" s="14" t="s">
        <v>618</v>
      </c>
      <c r="E410" s="15">
        <v>10171.800000000001</v>
      </c>
      <c r="F410" s="15">
        <f t="shared" si="18"/>
        <v>101718.00000000001</v>
      </c>
      <c r="G410" s="15">
        <v>36937.4</v>
      </c>
      <c r="H410" s="15">
        <f t="shared" si="19"/>
        <v>369374</v>
      </c>
      <c r="I410" s="16" t="str">
        <f>IFERROR(VLOOKUP($C410,[1]dados_2023!$C$3:$H$357,4,0),"-")</f>
        <v>-</v>
      </c>
      <c r="J410" s="16" t="str">
        <f>IFERROR(VLOOKUP($C410,[1]dados_2023!$C$3:$H$357,6,0),"-")</f>
        <v>-</v>
      </c>
    </row>
    <row r="411" spans="1:10" ht="18" customHeight="1" x14ac:dyDescent="0.3">
      <c r="A411" s="11">
        <v>13</v>
      </c>
      <c r="B411" s="12" t="s">
        <v>617</v>
      </c>
      <c r="C411" s="13">
        <v>1178173</v>
      </c>
      <c r="D411" s="14" t="s">
        <v>619</v>
      </c>
      <c r="E411" s="15">
        <v>3577.2000000000003</v>
      </c>
      <c r="F411" s="15">
        <f t="shared" si="18"/>
        <v>35772</v>
      </c>
      <c r="G411" s="15">
        <v>15439.400000000001</v>
      </c>
      <c r="H411" s="15">
        <f t="shared" si="19"/>
        <v>154394</v>
      </c>
      <c r="I411" s="16" t="str">
        <f>IFERROR(VLOOKUP($C411,[1]dados_2023!$C$3:$H$357,4,0),"-")</f>
        <v>-</v>
      </c>
      <c r="J411" s="16" t="str">
        <f>IFERROR(VLOOKUP($C411,[1]dados_2023!$C$3:$H$357,6,0),"-")</f>
        <v>-</v>
      </c>
    </row>
    <row r="412" spans="1:10" ht="18" customHeight="1" x14ac:dyDescent="0.3">
      <c r="A412" s="11">
        <v>13</v>
      </c>
      <c r="B412" s="12" t="s">
        <v>620</v>
      </c>
      <c r="C412" s="13">
        <v>1127910</v>
      </c>
      <c r="D412" s="14" t="s">
        <v>621</v>
      </c>
      <c r="E412" s="15">
        <v>21509</v>
      </c>
      <c r="F412" s="15">
        <f t="shared" si="18"/>
        <v>215090</v>
      </c>
      <c r="G412" s="15">
        <v>69629.799999999988</v>
      </c>
      <c r="H412" s="15">
        <f t="shared" si="19"/>
        <v>696297.99999999988</v>
      </c>
      <c r="I412" s="16" t="str">
        <f>IFERROR(VLOOKUP($C412,[1]dados_2023!$C$3:$H$357,4,0),"-")</f>
        <v>-</v>
      </c>
      <c r="J412" s="16" t="str">
        <f>IFERROR(VLOOKUP($C412,[1]dados_2023!$C$3:$H$357,6,0),"-")</f>
        <v>-</v>
      </c>
    </row>
    <row r="413" spans="1:10" ht="18" customHeight="1" x14ac:dyDescent="0.3">
      <c r="A413" s="11">
        <v>13</v>
      </c>
      <c r="B413" s="12" t="s">
        <v>622</v>
      </c>
      <c r="C413" s="13">
        <v>1137346</v>
      </c>
      <c r="D413" s="14" t="s">
        <v>623</v>
      </c>
      <c r="E413" s="15">
        <v>17690</v>
      </c>
      <c r="F413" s="15">
        <f t="shared" si="18"/>
        <v>176900</v>
      </c>
      <c r="G413" s="15">
        <v>55685.799999999996</v>
      </c>
      <c r="H413" s="15">
        <f t="shared" si="19"/>
        <v>556858</v>
      </c>
      <c r="I413" s="16" t="str">
        <f>IFERROR(VLOOKUP($C413,[1]dados_2023!$C$3:$H$357,4,0),"-")</f>
        <v>-</v>
      </c>
      <c r="J413" s="16" t="str">
        <f>IFERROR(VLOOKUP($C413,[1]dados_2023!$C$3:$H$357,6,0),"-")</f>
        <v>-</v>
      </c>
    </row>
    <row r="414" spans="1:10" ht="18" customHeight="1" x14ac:dyDescent="0.3">
      <c r="A414" s="11">
        <v>13</v>
      </c>
      <c r="B414" s="12" t="s">
        <v>624</v>
      </c>
      <c r="C414" s="13">
        <v>1173130</v>
      </c>
      <c r="D414" s="14" t="s">
        <v>625</v>
      </c>
      <c r="E414" s="15">
        <v>30678.999999999996</v>
      </c>
      <c r="F414" s="15">
        <f t="shared" si="18"/>
        <v>306789.99999999994</v>
      </c>
      <c r="G414" s="15">
        <v>67841.399999999994</v>
      </c>
      <c r="H414" s="15">
        <f t="shared" si="19"/>
        <v>678414</v>
      </c>
      <c r="I414" s="16" t="str">
        <f>IFERROR(VLOOKUP($C414,[1]dados_2023!$C$3:$H$357,4,0),"-")</f>
        <v>-</v>
      </c>
      <c r="J414" s="16" t="str">
        <f>IFERROR(VLOOKUP($C414,[1]dados_2023!$C$3:$H$357,6,0),"-")</f>
        <v>-</v>
      </c>
    </row>
    <row r="415" spans="1:10" ht="18" customHeight="1" x14ac:dyDescent="0.3">
      <c r="A415" s="11">
        <v>13</v>
      </c>
      <c r="B415" s="12" t="s">
        <v>587</v>
      </c>
      <c r="C415" s="13">
        <v>1176710</v>
      </c>
      <c r="D415" s="14" t="s">
        <v>626</v>
      </c>
      <c r="E415" s="23">
        <v>1822.4</v>
      </c>
      <c r="F415" s="15">
        <f t="shared" si="18"/>
        <v>18224</v>
      </c>
      <c r="G415" s="23">
        <v>5279.6</v>
      </c>
      <c r="H415" s="15">
        <f t="shared" si="19"/>
        <v>52796</v>
      </c>
      <c r="I415" s="16" t="str">
        <f>IFERROR(VLOOKUP($C415,[1]dados_2023!$C$3:$H$357,4,0),"-")</f>
        <v>-</v>
      </c>
      <c r="J415" s="16" t="str">
        <f>IFERROR(VLOOKUP($C415,[1]dados_2023!$C$3:$H$357,6,0),"-")</f>
        <v>-</v>
      </c>
    </row>
    <row r="416" spans="1:10" ht="18" customHeight="1" x14ac:dyDescent="0.3">
      <c r="A416" s="11">
        <v>14</v>
      </c>
      <c r="B416" s="12" t="s">
        <v>627</v>
      </c>
      <c r="C416" s="13">
        <v>1123159</v>
      </c>
      <c r="D416" s="14" t="s">
        <v>628</v>
      </c>
      <c r="E416" s="15">
        <v>5272.4</v>
      </c>
      <c r="F416" s="15">
        <f t="shared" si="18"/>
        <v>52724</v>
      </c>
      <c r="G416" s="15">
        <v>21723.399999999998</v>
      </c>
      <c r="H416" s="15">
        <f t="shared" si="19"/>
        <v>217233.99999999997</v>
      </c>
      <c r="I416" s="16" t="str">
        <f>IFERROR(VLOOKUP($C416,[1]dados_2023!$C$3:$H$357,4,0),"-")</f>
        <v>-</v>
      </c>
      <c r="J416" s="16" t="str">
        <f>IFERROR(VLOOKUP($C416,[1]dados_2023!$C$3:$H$357,6,0),"-")</f>
        <v>-</v>
      </c>
    </row>
    <row r="417" spans="1:10" ht="18" customHeight="1" x14ac:dyDescent="0.3">
      <c r="A417" s="11">
        <v>14</v>
      </c>
      <c r="B417" s="12" t="s">
        <v>627</v>
      </c>
      <c r="C417" s="13">
        <v>1179112</v>
      </c>
      <c r="D417" s="14" t="s">
        <v>629</v>
      </c>
      <c r="E417" s="15">
        <v>933.4</v>
      </c>
      <c r="F417" s="15">
        <f t="shared" si="18"/>
        <v>9334</v>
      </c>
      <c r="G417" s="15">
        <v>4309.6000000000004</v>
      </c>
      <c r="H417" s="15">
        <f t="shared" si="19"/>
        <v>43096</v>
      </c>
      <c r="I417" s="16" t="str">
        <f>IFERROR(VLOOKUP($C417,[1]dados_2023!$C$3:$H$357,4,0),"-")</f>
        <v>-</v>
      </c>
      <c r="J417" s="16" t="str">
        <f>IFERROR(VLOOKUP($C417,[1]dados_2023!$C$3:$H$357,6,0),"-")</f>
        <v>-</v>
      </c>
    </row>
    <row r="418" spans="1:10" ht="18" customHeight="1" x14ac:dyDescent="0.3">
      <c r="A418" s="11">
        <v>14</v>
      </c>
      <c r="B418" s="12" t="s">
        <v>627</v>
      </c>
      <c r="C418" s="13">
        <v>1164351</v>
      </c>
      <c r="D418" s="14" t="s">
        <v>630</v>
      </c>
      <c r="E418" s="15">
        <v>790</v>
      </c>
      <c r="F418" s="15">
        <f t="shared" si="18"/>
        <v>7900</v>
      </c>
      <c r="G418" s="15">
        <v>3381.2</v>
      </c>
      <c r="H418" s="15">
        <f t="shared" si="19"/>
        <v>33812</v>
      </c>
      <c r="I418" s="16" t="str">
        <f>IFERROR(VLOOKUP($C418,[1]dados_2023!$C$3:$H$357,4,0),"-")</f>
        <v>-</v>
      </c>
      <c r="J418" s="16" t="str">
        <f>IFERROR(VLOOKUP($C418,[1]dados_2023!$C$3:$H$357,6,0),"-")</f>
        <v>-</v>
      </c>
    </row>
    <row r="419" spans="1:10" ht="18" customHeight="1" x14ac:dyDescent="0.3">
      <c r="A419" s="11">
        <v>14</v>
      </c>
      <c r="B419" s="12" t="s">
        <v>627</v>
      </c>
      <c r="C419" s="13">
        <v>1123183</v>
      </c>
      <c r="D419" s="14" t="s">
        <v>631</v>
      </c>
      <c r="E419" s="15">
        <v>980</v>
      </c>
      <c r="F419" s="15">
        <f t="shared" si="18"/>
        <v>9800</v>
      </c>
      <c r="G419" s="15">
        <v>4194.3999999999996</v>
      </c>
      <c r="H419" s="15">
        <f t="shared" si="19"/>
        <v>41944</v>
      </c>
      <c r="I419" s="16" t="str">
        <f>IFERROR(VLOOKUP($C419,[1]dados_2023!$C$3:$H$357,4,0),"-")</f>
        <v>-</v>
      </c>
      <c r="J419" s="16" t="str">
        <f>IFERROR(VLOOKUP($C419,[1]dados_2023!$C$3:$H$357,6,0),"-")</f>
        <v>-</v>
      </c>
    </row>
    <row r="420" spans="1:10" ht="18" customHeight="1" x14ac:dyDescent="0.3">
      <c r="A420" s="11">
        <v>14</v>
      </c>
      <c r="B420" s="12" t="s">
        <v>632</v>
      </c>
      <c r="C420" s="13">
        <v>1123310</v>
      </c>
      <c r="D420" s="14" t="s">
        <v>633</v>
      </c>
      <c r="E420" s="15">
        <v>13047.2</v>
      </c>
      <c r="F420" s="15">
        <f t="shared" si="18"/>
        <v>130472</v>
      </c>
      <c r="G420" s="15">
        <v>53116.2</v>
      </c>
      <c r="H420" s="15">
        <f t="shared" si="19"/>
        <v>531162</v>
      </c>
      <c r="I420" s="16" t="str">
        <f>IFERROR(VLOOKUP($C420,[1]dados_2023!$C$3:$H$357,4,0),"-")</f>
        <v>-</v>
      </c>
      <c r="J420" s="16" t="str">
        <f>IFERROR(VLOOKUP($C420,[1]dados_2023!$C$3:$H$357,6,0),"-")</f>
        <v>-</v>
      </c>
    </row>
    <row r="421" spans="1:10" ht="18" customHeight="1" x14ac:dyDescent="0.3">
      <c r="A421" s="11">
        <v>14</v>
      </c>
      <c r="B421" s="12" t="s">
        <v>634</v>
      </c>
      <c r="C421" s="13">
        <v>1164343</v>
      </c>
      <c r="D421" s="14" t="s">
        <v>635</v>
      </c>
      <c r="E421" s="15">
        <v>3921.3999999999996</v>
      </c>
      <c r="F421" s="15">
        <f t="shared" si="18"/>
        <v>39214</v>
      </c>
      <c r="G421" s="15">
        <v>14357.800000000001</v>
      </c>
      <c r="H421" s="15">
        <f t="shared" si="19"/>
        <v>143578</v>
      </c>
      <c r="I421" s="16" t="str">
        <f>IFERROR(VLOOKUP($C421,[1]dados_2023!$C$3:$H$357,4,0),"-")</f>
        <v>-</v>
      </c>
      <c r="J421" s="16" t="str">
        <f>IFERROR(VLOOKUP($C421,[1]dados_2023!$C$3:$H$357,6,0),"-")</f>
        <v>-</v>
      </c>
    </row>
    <row r="422" spans="1:10" ht="18" customHeight="1" x14ac:dyDescent="0.3">
      <c r="A422" s="11">
        <v>14</v>
      </c>
      <c r="B422" s="12" t="s">
        <v>636</v>
      </c>
      <c r="C422" s="13">
        <v>1123434</v>
      </c>
      <c r="D422" s="14" t="s">
        <v>637</v>
      </c>
      <c r="E422" s="15">
        <v>11450</v>
      </c>
      <c r="F422" s="15">
        <f t="shared" si="18"/>
        <v>114500</v>
      </c>
      <c r="G422" s="15">
        <v>49006</v>
      </c>
      <c r="H422" s="15">
        <f t="shared" si="19"/>
        <v>490060</v>
      </c>
      <c r="I422" s="16" t="str">
        <f>IFERROR(VLOOKUP($C422,[1]dados_2023!$C$3:$H$357,4,0),"-")</f>
        <v>-</v>
      </c>
      <c r="J422" s="16" t="str">
        <f>IFERROR(VLOOKUP($C422,[1]dados_2023!$C$3:$H$357,6,0),"-")</f>
        <v>-</v>
      </c>
    </row>
    <row r="423" spans="1:10" ht="18" customHeight="1" x14ac:dyDescent="0.3">
      <c r="A423" s="11">
        <v>14</v>
      </c>
      <c r="B423" s="12" t="s">
        <v>636</v>
      </c>
      <c r="C423" s="13">
        <v>1123485</v>
      </c>
      <c r="D423" s="14" t="s">
        <v>638</v>
      </c>
      <c r="E423" s="15">
        <v>6532</v>
      </c>
      <c r="F423" s="15">
        <f t="shared" si="18"/>
        <v>65320</v>
      </c>
      <c r="G423" s="15">
        <v>24761</v>
      </c>
      <c r="H423" s="15">
        <f t="shared" si="19"/>
        <v>247610</v>
      </c>
      <c r="I423" s="16" t="str">
        <f>IFERROR(VLOOKUP($C423,[1]dados_2023!$C$3:$H$357,4,0),"-")</f>
        <v>-</v>
      </c>
      <c r="J423" s="16" t="str">
        <f>IFERROR(VLOOKUP($C423,[1]dados_2023!$C$3:$H$357,6,0),"-")</f>
        <v>-</v>
      </c>
    </row>
    <row r="424" spans="1:10" ht="18" customHeight="1" x14ac:dyDescent="0.3">
      <c r="A424" s="11">
        <v>14</v>
      </c>
      <c r="B424" s="12" t="s">
        <v>636</v>
      </c>
      <c r="C424" s="13">
        <v>1176429</v>
      </c>
      <c r="D424" s="14" t="s">
        <v>245</v>
      </c>
      <c r="E424" s="15">
        <v>22077.200000000001</v>
      </c>
      <c r="F424" s="15">
        <f t="shared" si="18"/>
        <v>220772</v>
      </c>
      <c r="G424" s="15">
        <v>85601.4</v>
      </c>
      <c r="H424" s="15">
        <f t="shared" si="19"/>
        <v>856014</v>
      </c>
      <c r="I424" s="16" t="str">
        <f>IFERROR(VLOOKUP($C424,[1]dados_2023!$C$3:$H$357,4,0),"-")</f>
        <v>-</v>
      </c>
      <c r="J424" s="16" t="str">
        <f>IFERROR(VLOOKUP($C424,[1]dados_2023!$C$3:$H$357,6,0),"-")</f>
        <v>-</v>
      </c>
    </row>
    <row r="425" spans="1:10" ht="18" customHeight="1" x14ac:dyDescent="0.3">
      <c r="A425" s="11">
        <v>14</v>
      </c>
      <c r="B425" s="12" t="s">
        <v>639</v>
      </c>
      <c r="C425" s="13">
        <v>1178268</v>
      </c>
      <c r="D425" s="14" t="s">
        <v>640</v>
      </c>
      <c r="E425" s="15">
        <v>9695.6</v>
      </c>
      <c r="F425" s="15">
        <f t="shared" si="18"/>
        <v>96956</v>
      </c>
      <c r="G425" s="15">
        <v>42415.600000000006</v>
      </c>
      <c r="H425" s="15">
        <f t="shared" si="19"/>
        <v>424156.00000000006</v>
      </c>
      <c r="I425" s="16" t="str">
        <f>IFERROR(VLOOKUP($C425,[1]dados_2023!$C$3:$H$357,4,0),"-")</f>
        <v>-</v>
      </c>
      <c r="J425" s="16" t="str">
        <f>IFERROR(VLOOKUP($C425,[1]dados_2023!$C$3:$H$357,6,0),"-")</f>
        <v>-</v>
      </c>
    </row>
    <row r="426" spans="1:10" ht="18" customHeight="1" x14ac:dyDescent="0.3">
      <c r="A426" s="11">
        <v>14</v>
      </c>
      <c r="B426" s="12" t="s">
        <v>641</v>
      </c>
      <c r="C426" s="13">
        <v>1123531</v>
      </c>
      <c r="D426" s="14" t="s">
        <v>642</v>
      </c>
      <c r="E426" s="15">
        <v>3187.8</v>
      </c>
      <c r="F426" s="15">
        <f t="shared" si="18"/>
        <v>31878</v>
      </c>
      <c r="G426" s="15">
        <v>10285.400000000001</v>
      </c>
      <c r="H426" s="15">
        <f t="shared" si="19"/>
        <v>102854.00000000001</v>
      </c>
      <c r="I426" s="16" t="str">
        <f>IFERROR(VLOOKUP($C426,[1]dados_2023!$C$3:$H$357,4,0),"-")</f>
        <v>-</v>
      </c>
      <c r="J426" s="16" t="str">
        <f>IFERROR(VLOOKUP($C426,[1]dados_2023!$C$3:$H$357,6,0),"-")</f>
        <v>-</v>
      </c>
    </row>
    <row r="427" spans="1:10" ht="18" customHeight="1" x14ac:dyDescent="0.3">
      <c r="A427" s="11">
        <v>14</v>
      </c>
      <c r="B427" s="12" t="s">
        <v>643</v>
      </c>
      <c r="C427" s="13">
        <v>1178398</v>
      </c>
      <c r="D427" s="14" t="s">
        <v>644</v>
      </c>
      <c r="E427" s="15">
        <v>8405.7999999999993</v>
      </c>
      <c r="F427" s="15">
        <f t="shared" si="18"/>
        <v>84058</v>
      </c>
      <c r="G427" s="15">
        <v>36201.200000000004</v>
      </c>
      <c r="H427" s="15">
        <f t="shared" si="19"/>
        <v>362012.00000000006</v>
      </c>
      <c r="I427" s="16" t="str">
        <f>IFERROR(VLOOKUP($C427,[1]dados_2023!$C$3:$H$357,4,0),"-")</f>
        <v>-</v>
      </c>
      <c r="J427" s="16" t="str">
        <f>IFERROR(VLOOKUP($C427,[1]dados_2023!$C$3:$H$357,6,0),"-")</f>
        <v>-</v>
      </c>
    </row>
    <row r="428" spans="1:10" ht="18" customHeight="1" x14ac:dyDescent="0.3">
      <c r="A428" s="11">
        <v>14</v>
      </c>
      <c r="B428" s="12" t="s">
        <v>645</v>
      </c>
      <c r="C428" s="13">
        <v>1123000</v>
      </c>
      <c r="D428" s="14" t="s">
        <v>646</v>
      </c>
      <c r="E428" s="15">
        <v>6450</v>
      </c>
      <c r="F428" s="15">
        <f t="shared" si="18"/>
        <v>64500</v>
      </c>
      <c r="G428" s="15">
        <v>27606.000000000004</v>
      </c>
      <c r="H428" s="15">
        <f t="shared" si="19"/>
        <v>276060.00000000006</v>
      </c>
      <c r="I428" s="16" t="str">
        <f>IFERROR(VLOOKUP($C428,[1]dados_2023!$C$3:$H$357,4,0),"-")</f>
        <v>-</v>
      </c>
      <c r="J428" s="16" t="str">
        <f>IFERROR(VLOOKUP($C428,[1]dados_2023!$C$3:$H$357,6,0),"-")</f>
        <v>-</v>
      </c>
    </row>
    <row r="429" spans="1:10" ht="18" customHeight="1" x14ac:dyDescent="0.3">
      <c r="A429" s="11">
        <v>14</v>
      </c>
      <c r="B429" s="12" t="s">
        <v>645</v>
      </c>
      <c r="C429" s="13">
        <v>1122985</v>
      </c>
      <c r="D429" s="14" t="s">
        <v>647</v>
      </c>
      <c r="E429" s="15">
        <v>5036</v>
      </c>
      <c r="F429" s="15">
        <f t="shared" si="18"/>
        <v>50360</v>
      </c>
      <c r="G429" s="15">
        <v>21906.399999999998</v>
      </c>
      <c r="H429" s="15">
        <f t="shared" si="19"/>
        <v>219063.99999999997</v>
      </c>
      <c r="I429" s="16" t="str">
        <f>IFERROR(VLOOKUP($C429,[1]dados_2023!$C$3:$H$357,4,0),"-")</f>
        <v>-</v>
      </c>
      <c r="J429" s="16" t="str">
        <f>IFERROR(VLOOKUP($C429,[1]dados_2023!$C$3:$H$357,6,0),"-")</f>
        <v>-</v>
      </c>
    </row>
    <row r="430" spans="1:10" ht="18" customHeight="1" x14ac:dyDescent="0.3">
      <c r="A430" s="11">
        <v>14</v>
      </c>
      <c r="B430" s="12" t="s">
        <v>648</v>
      </c>
      <c r="C430" s="13">
        <v>1178016</v>
      </c>
      <c r="D430" s="14" t="s">
        <v>649</v>
      </c>
      <c r="E430" s="15">
        <v>7926.8</v>
      </c>
      <c r="F430" s="15">
        <f t="shared" si="18"/>
        <v>79268</v>
      </c>
      <c r="G430" s="15">
        <v>34981.199999999997</v>
      </c>
      <c r="H430" s="15">
        <f t="shared" si="19"/>
        <v>349812</v>
      </c>
      <c r="I430" s="16" t="str">
        <f>IFERROR(VLOOKUP($C430,[1]dados_2023!$C$3:$H$357,4,0),"-")</f>
        <v>-</v>
      </c>
      <c r="J430" s="16" t="str">
        <f>IFERROR(VLOOKUP($C430,[1]dados_2023!$C$3:$H$357,6,0),"-")</f>
        <v>-</v>
      </c>
    </row>
    <row r="431" spans="1:10" ht="18" customHeight="1" x14ac:dyDescent="0.3">
      <c r="A431" s="11">
        <v>14</v>
      </c>
      <c r="B431" s="12" t="s">
        <v>650</v>
      </c>
      <c r="C431" s="13">
        <v>1178044</v>
      </c>
      <c r="D431" s="14" t="s">
        <v>651</v>
      </c>
      <c r="E431" s="15">
        <v>4940.8</v>
      </c>
      <c r="F431" s="15">
        <f t="shared" si="18"/>
        <v>49408</v>
      </c>
      <c r="G431" s="15">
        <v>21520.800000000003</v>
      </c>
      <c r="H431" s="15">
        <f t="shared" si="19"/>
        <v>215208.00000000003</v>
      </c>
      <c r="I431" s="16" t="str">
        <f>IFERROR(VLOOKUP($C431,[1]dados_2023!$C$3:$H$357,4,0),"-")</f>
        <v>-</v>
      </c>
      <c r="J431" s="16" t="str">
        <f>IFERROR(VLOOKUP($C431,[1]dados_2023!$C$3:$H$357,6,0),"-")</f>
        <v>-</v>
      </c>
    </row>
    <row r="432" spans="1:10" ht="18" customHeight="1" x14ac:dyDescent="0.3">
      <c r="A432" s="11">
        <v>14</v>
      </c>
      <c r="B432" s="12" t="s">
        <v>650</v>
      </c>
      <c r="C432" s="13">
        <v>1178426</v>
      </c>
      <c r="D432" s="14" t="s">
        <v>652</v>
      </c>
      <c r="E432" s="15">
        <v>4542.2</v>
      </c>
      <c r="F432" s="15">
        <f t="shared" si="18"/>
        <v>45422</v>
      </c>
      <c r="G432" s="15">
        <v>19619.2</v>
      </c>
      <c r="H432" s="15">
        <f t="shared" si="19"/>
        <v>196192</v>
      </c>
      <c r="I432" s="16" t="str">
        <f>IFERROR(VLOOKUP($C432,[1]dados_2023!$C$3:$H$357,4,0),"-")</f>
        <v>-</v>
      </c>
      <c r="J432" s="16" t="str">
        <f>IFERROR(VLOOKUP($C432,[1]dados_2023!$C$3:$H$357,6,0),"-")</f>
        <v>-</v>
      </c>
    </row>
    <row r="433" spans="1:10" ht="18" customHeight="1" x14ac:dyDescent="0.3">
      <c r="A433" s="11">
        <v>14</v>
      </c>
      <c r="B433" s="12" t="s">
        <v>653</v>
      </c>
      <c r="C433" s="13">
        <v>1123957</v>
      </c>
      <c r="D433" s="14" t="s">
        <v>654</v>
      </c>
      <c r="E433" s="15">
        <v>15620.800000000001</v>
      </c>
      <c r="F433" s="15">
        <f t="shared" si="18"/>
        <v>156208</v>
      </c>
      <c r="G433" s="15">
        <v>61230</v>
      </c>
      <c r="H433" s="15">
        <f t="shared" si="19"/>
        <v>612300</v>
      </c>
      <c r="I433" s="16" t="str">
        <f>IFERROR(VLOOKUP($C433,[1]dados_2023!$C$3:$H$357,4,0),"-")</f>
        <v>-</v>
      </c>
      <c r="J433" s="16" t="str">
        <f>IFERROR(VLOOKUP($C433,[1]dados_2023!$C$3:$H$357,6,0),"-")</f>
        <v>-</v>
      </c>
    </row>
    <row r="434" spans="1:10" ht="18" customHeight="1" x14ac:dyDescent="0.3">
      <c r="A434" s="11">
        <v>14</v>
      </c>
      <c r="B434" s="12" t="s">
        <v>655</v>
      </c>
      <c r="C434" s="13">
        <v>1178106</v>
      </c>
      <c r="D434" s="14" t="s">
        <v>647</v>
      </c>
      <c r="E434" s="15">
        <v>5672.4</v>
      </c>
      <c r="F434" s="15">
        <f t="shared" si="18"/>
        <v>56724</v>
      </c>
      <c r="G434" s="15">
        <v>23795.800000000003</v>
      </c>
      <c r="H434" s="15">
        <f t="shared" si="19"/>
        <v>237958.00000000003</v>
      </c>
      <c r="I434" s="16" t="str">
        <f>IFERROR(VLOOKUP($C434,[1]dados_2023!$C$3:$H$357,4,0),"-")</f>
        <v>-</v>
      </c>
      <c r="J434" s="16" t="str">
        <f>IFERROR(VLOOKUP($C434,[1]dados_2023!$C$3:$H$357,6,0),"-")</f>
        <v>-</v>
      </c>
    </row>
    <row r="435" spans="1:10" ht="18" customHeight="1" x14ac:dyDescent="0.3">
      <c r="A435" s="11">
        <v>14</v>
      </c>
      <c r="B435" s="12" t="s">
        <v>656</v>
      </c>
      <c r="C435" s="13">
        <v>1123043</v>
      </c>
      <c r="D435" s="14" t="s">
        <v>657</v>
      </c>
      <c r="E435" s="15">
        <v>6978</v>
      </c>
      <c r="F435" s="15">
        <f t="shared" si="18"/>
        <v>69780</v>
      </c>
      <c r="G435" s="15">
        <v>31056.400000000001</v>
      </c>
      <c r="H435" s="15">
        <f t="shared" si="19"/>
        <v>310564</v>
      </c>
      <c r="I435" s="16" t="str">
        <f>IFERROR(VLOOKUP($C435,[1]dados_2023!$C$3:$H$357,4,0),"-")</f>
        <v>-</v>
      </c>
      <c r="J435" s="16" t="str">
        <f>IFERROR(VLOOKUP($C435,[1]dados_2023!$C$3:$H$357,6,0),"-")</f>
        <v>-</v>
      </c>
    </row>
    <row r="436" spans="1:10" ht="18" customHeight="1" x14ac:dyDescent="0.3">
      <c r="A436" s="11">
        <v>15</v>
      </c>
      <c r="B436" s="12" t="s">
        <v>658</v>
      </c>
      <c r="C436" s="13">
        <v>1122730</v>
      </c>
      <c r="D436" s="14" t="s">
        <v>659</v>
      </c>
      <c r="E436" s="15">
        <v>20442.2</v>
      </c>
      <c r="F436" s="15">
        <f t="shared" si="18"/>
        <v>204422</v>
      </c>
      <c r="G436" s="15">
        <v>66462.399999999994</v>
      </c>
      <c r="H436" s="15">
        <f t="shared" si="19"/>
        <v>664624</v>
      </c>
      <c r="I436" s="16" t="str">
        <f>IFERROR(VLOOKUP($C436,[1]dados_2023!$C$3:$H$357,4,0),"-")</f>
        <v>-</v>
      </c>
      <c r="J436" s="16" t="str">
        <f>IFERROR(VLOOKUP($C436,[1]dados_2023!$C$3:$H$357,6,0),"-")</f>
        <v>-</v>
      </c>
    </row>
    <row r="437" spans="1:10" ht="18" customHeight="1" x14ac:dyDescent="0.3">
      <c r="A437" s="11">
        <v>15</v>
      </c>
      <c r="B437" s="12" t="s">
        <v>660</v>
      </c>
      <c r="C437" s="13">
        <v>1179030</v>
      </c>
      <c r="D437" s="14" t="s">
        <v>661</v>
      </c>
      <c r="E437" s="15">
        <v>9210.2000000000007</v>
      </c>
      <c r="F437" s="15">
        <f t="shared" si="18"/>
        <v>92102</v>
      </c>
      <c r="G437" s="15">
        <v>28107</v>
      </c>
      <c r="H437" s="15">
        <f t="shared" si="19"/>
        <v>281070</v>
      </c>
      <c r="I437" s="16" t="str">
        <f>IFERROR(VLOOKUP($C437,[1]dados_2023!$C$3:$H$357,4,0),"-")</f>
        <v>-</v>
      </c>
      <c r="J437" s="16" t="str">
        <f>IFERROR(VLOOKUP($C437,[1]dados_2023!$C$3:$H$357,6,0),"-")</f>
        <v>-</v>
      </c>
    </row>
    <row r="438" spans="1:10" ht="18" customHeight="1" x14ac:dyDescent="0.3">
      <c r="A438" s="11">
        <v>15</v>
      </c>
      <c r="B438" s="12" t="s">
        <v>662</v>
      </c>
      <c r="C438" s="13">
        <v>1162243</v>
      </c>
      <c r="D438" s="14" t="s">
        <v>663</v>
      </c>
      <c r="E438" s="15">
        <v>27136.400000000001</v>
      </c>
      <c r="F438" s="15">
        <f t="shared" si="18"/>
        <v>271364</v>
      </c>
      <c r="G438" s="15">
        <v>103438.6</v>
      </c>
      <c r="H438" s="15">
        <f t="shared" si="19"/>
        <v>1034386</v>
      </c>
      <c r="I438" s="16" t="str">
        <f>IFERROR(VLOOKUP($C438,[1]dados_2023!$C$3:$H$357,4,0),"-")</f>
        <v>-</v>
      </c>
      <c r="J438" s="16" t="str">
        <f>IFERROR(VLOOKUP($C438,[1]dados_2023!$C$3:$H$357,6,0),"-")</f>
        <v>-</v>
      </c>
    </row>
    <row r="439" spans="1:10" ht="18" customHeight="1" x14ac:dyDescent="0.3">
      <c r="A439" s="11">
        <v>15</v>
      </c>
      <c r="B439" s="12" t="s">
        <v>664</v>
      </c>
      <c r="C439" s="13">
        <v>1106904</v>
      </c>
      <c r="D439" s="14" t="s">
        <v>665</v>
      </c>
      <c r="E439" s="15">
        <v>1486.2</v>
      </c>
      <c r="F439" s="15">
        <f t="shared" si="18"/>
        <v>14862</v>
      </c>
      <c r="G439" s="15">
        <v>6709.6</v>
      </c>
      <c r="H439" s="15">
        <f t="shared" si="19"/>
        <v>67096</v>
      </c>
      <c r="I439" s="16" t="str">
        <f>IFERROR(VLOOKUP($C439,[1]dados_2023!$C$3:$H$357,4,0),"-")</f>
        <v>-</v>
      </c>
      <c r="J439" s="16" t="str">
        <f>IFERROR(VLOOKUP($C439,[1]dados_2023!$C$3:$H$357,6,0),"-")</f>
        <v>-</v>
      </c>
    </row>
    <row r="440" spans="1:10" ht="18" customHeight="1" x14ac:dyDescent="0.3">
      <c r="A440" s="11">
        <v>15</v>
      </c>
      <c r="B440" s="12" t="s">
        <v>666</v>
      </c>
      <c r="C440" s="13">
        <v>1107323</v>
      </c>
      <c r="D440" s="14" t="s">
        <v>667</v>
      </c>
      <c r="E440" s="15">
        <v>12190</v>
      </c>
      <c r="F440" s="15">
        <f t="shared" si="18"/>
        <v>121900</v>
      </c>
      <c r="G440" s="15">
        <v>52173.200000000004</v>
      </c>
      <c r="H440" s="15">
        <f t="shared" si="19"/>
        <v>521732.00000000006</v>
      </c>
      <c r="I440" s="16" t="str">
        <f>IFERROR(VLOOKUP($C440,[1]dados_2023!$C$3:$H$357,4,0),"-")</f>
        <v>-</v>
      </c>
      <c r="J440" s="16" t="str">
        <f>IFERROR(VLOOKUP($C440,[1]dados_2023!$C$3:$H$357,6,0),"-")</f>
        <v>-</v>
      </c>
    </row>
    <row r="441" spans="1:10" ht="18" customHeight="1" x14ac:dyDescent="0.3">
      <c r="A441" s="11">
        <v>15</v>
      </c>
      <c r="B441" s="12" t="s">
        <v>666</v>
      </c>
      <c r="C441" s="13">
        <v>1160445</v>
      </c>
      <c r="D441" s="14" t="s">
        <v>668</v>
      </c>
      <c r="E441" s="15">
        <v>9256.6</v>
      </c>
      <c r="F441" s="15">
        <f t="shared" si="18"/>
        <v>92566</v>
      </c>
      <c r="G441" s="15">
        <v>40154.000000000007</v>
      </c>
      <c r="H441" s="15">
        <f t="shared" si="19"/>
        <v>401540.00000000006</v>
      </c>
      <c r="I441" s="16" t="str">
        <f>IFERROR(VLOOKUP($C441,[1]dados_2023!$C$3:$H$357,4,0),"-")</f>
        <v>-</v>
      </c>
      <c r="J441" s="16" t="str">
        <f>IFERROR(VLOOKUP($C441,[1]dados_2023!$C$3:$H$357,6,0),"-")</f>
        <v>-</v>
      </c>
    </row>
    <row r="442" spans="1:10" ht="18" customHeight="1" x14ac:dyDescent="0.3">
      <c r="A442" s="11">
        <v>15</v>
      </c>
      <c r="B442" s="12" t="s">
        <v>666</v>
      </c>
      <c r="C442" s="13">
        <v>1107331</v>
      </c>
      <c r="D442" s="14" t="s">
        <v>669</v>
      </c>
      <c r="E442" s="15">
        <v>6420.4</v>
      </c>
      <c r="F442" s="15">
        <f t="shared" si="18"/>
        <v>64204</v>
      </c>
      <c r="G442" s="15">
        <v>29367.200000000001</v>
      </c>
      <c r="H442" s="15">
        <f t="shared" si="19"/>
        <v>293672</v>
      </c>
      <c r="I442" s="16" t="str">
        <f>IFERROR(VLOOKUP($C442,[1]dados_2023!$C$3:$H$357,4,0),"-")</f>
        <v>-</v>
      </c>
      <c r="J442" s="16" t="str">
        <f>IFERROR(VLOOKUP($C442,[1]dados_2023!$C$3:$H$357,6,0),"-")</f>
        <v>-</v>
      </c>
    </row>
    <row r="443" spans="1:10" ht="18" customHeight="1" x14ac:dyDescent="0.3">
      <c r="A443" s="11">
        <v>15</v>
      </c>
      <c r="B443" s="12" t="s">
        <v>670</v>
      </c>
      <c r="C443" s="13">
        <v>1122861</v>
      </c>
      <c r="D443" s="14" t="s">
        <v>671</v>
      </c>
      <c r="E443" s="15">
        <v>8987.6</v>
      </c>
      <c r="F443" s="15">
        <f t="shared" si="18"/>
        <v>89876</v>
      </c>
      <c r="G443" s="15">
        <v>35538.400000000001</v>
      </c>
      <c r="H443" s="15">
        <f t="shared" si="19"/>
        <v>355384</v>
      </c>
      <c r="I443" s="16" t="str">
        <f>IFERROR(VLOOKUP($C443,[1]dados_2023!$C$3:$H$357,4,0),"-")</f>
        <v>-</v>
      </c>
      <c r="J443" s="16" t="str">
        <f>IFERROR(VLOOKUP($C443,[1]dados_2023!$C$3:$H$357,6,0),"-")</f>
        <v>-</v>
      </c>
    </row>
    <row r="444" spans="1:10" ht="18" customHeight="1" x14ac:dyDescent="0.3">
      <c r="A444" s="11">
        <v>15</v>
      </c>
      <c r="B444" s="12" t="s">
        <v>672</v>
      </c>
      <c r="C444" s="13">
        <v>1160771</v>
      </c>
      <c r="D444" s="14" t="s">
        <v>673</v>
      </c>
      <c r="E444" s="15">
        <v>6500.2000000000007</v>
      </c>
      <c r="F444" s="15">
        <f t="shared" si="18"/>
        <v>65002.000000000007</v>
      </c>
      <c r="G444" s="15">
        <v>20473.599999999999</v>
      </c>
      <c r="H444" s="15">
        <f t="shared" si="19"/>
        <v>204736</v>
      </c>
      <c r="I444" s="16" t="str">
        <f>IFERROR(VLOOKUP($C444,[1]dados_2023!$C$3:$H$357,4,0),"-")</f>
        <v>-</v>
      </c>
      <c r="J444" s="16" t="str">
        <f>IFERROR(VLOOKUP($C444,[1]dados_2023!$C$3:$H$357,6,0),"-")</f>
        <v>-</v>
      </c>
    </row>
    <row r="445" spans="1:10" ht="18" customHeight="1" x14ac:dyDescent="0.3">
      <c r="A445" s="11">
        <v>15</v>
      </c>
      <c r="B445" s="12" t="s">
        <v>674</v>
      </c>
      <c r="C445" s="13">
        <v>1106840</v>
      </c>
      <c r="D445" s="14" t="s">
        <v>675</v>
      </c>
      <c r="E445" s="15">
        <v>13291.2</v>
      </c>
      <c r="F445" s="15">
        <f t="shared" si="18"/>
        <v>132912</v>
      </c>
      <c r="G445" s="15">
        <v>41420</v>
      </c>
      <c r="H445" s="15">
        <f t="shared" si="19"/>
        <v>414200</v>
      </c>
      <c r="I445" s="16" t="str">
        <f>IFERROR(VLOOKUP($C445,[1]dados_2023!$C$3:$H$357,4,0),"-")</f>
        <v>-</v>
      </c>
      <c r="J445" s="16" t="str">
        <f>IFERROR(VLOOKUP($C445,[1]dados_2023!$C$3:$H$357,6,0),"-")</f>
        <v>-</v>
      </c>
    </row>
    <row r="446" spans="1:10" ht="18" customHeight="1" x14ac:dyDescent="0.3">
      <c r="A446" s="11">
        <v>15</v>
      </c>
      <c r="B446" s="12" t="s">
        <v>676</v>
      </c>
      <c r="C446" s="13">
        <v>1107234</v>
      </c>
      <c r="D446" s="14" t="s">
        <v>677</v>
      </c>
      <c r="E446" s="15">
        <v>10378</v>
      </c>
      <c r="F446" s="15">
        <f t="shared" si="18"/>
        <v>103780</v>
      </c>
      <c r="G446" s="15">
        <v>30109.200000000004</v>
      </c>
      <c r="H446" s="15">
        <f t="shared" si="19"/>
        <v>301092.00000000006</v>
      </c>
      <c r="I446" s="16" t="str">
        <f>IFERROR(VLOOKUP($C446,[1]dados_2023!$C$3:$H$357,4,0),"-")</f>
        <v>-</v>
      </c>
      <c r="J446" s="16" t="str">
        <f>IFERROR(VLOOKUP($C446,[1]dados_2023!$C$3:$H$357,6,0),"-")</f>
        <v>-</v>
      </c>
    </row>
    <row r="447" spans="1:10" ht="18" customHeight="1" x14ac:dyDescent="0.3">
      <c r="A447" s="11">
        <v>15</v>
      </c>
      <c r="B447" s="12" t="s">
        <v>678</v>
      </c>
      <c r="C447" s="13">
        <v>1122705</v>
      </c>
      <c r="D447" s="14" t="s">
        <v>679</v>
      </c>
      <c r="E447" s="15">
        <v>5739.4</v>
      </c>
      <c r="F447" s="15">
        <f t="shared" si="18"/>
        <v>57394</v>
      </c>
      <c r="G447" s="15">
        <v>21954.600000000002</v>
      </c>
      <c r="H447" s="15">
        <f t="shared" si="19"/>
        <v>219546.00000000003</v>
      </c>
      <c r="I447" s="16" t="str">
        <f>IFERROR(VLOOKUP($C447,[1]dados_2023!$C$3:$H$357,4,0),"-")</f>
        <v>-</v>
      </c>
      <c r="J447" s="16" t="str">
        <f>IFERROR(VLOOKUP($C447,[1]dados_2023!$C$3:$H$357,6,0),"-")</f>
        <v>-</v>
      </c>
    </row>
    <row r="448" spans="1:10" ht="18" customHeight="1" x14ac:dyDescent="0.3">
      <c r="A448" s="11">
        <v>15</v>
      </c>
      <c r="B448" s="12" t="s">
        <v>680</v>
      </c>
      <c r="C448" s="13">
        <v>1138172</v>
      </c>
      <c r="D448" s="14" t="s">
        <v>681</v>
      </c>
      <c r="E448" s="15">
        <v>6230</v>
      </c>
      <c r="F448" s="15">
        <f t="shared" si="18"/>
        <v>62300</v>
      </c>
      <c r="G448" s="15">
        <v>26664.400000000001</v>
      </c>
      <c r="H448" s="15">
        <f t="shared" si="19"/>
        <v>266644</v>
      </c>
      <c r="I448" s="16" t="str">
        <f>IFERROR(VLOOKUP($C448,[1]dados_2023!$C$3:$H$357,4,0),"-")</f>
        <v>-</v>
      </c>
      <c r="J448" s="16" t="str">
        <f>IFERROR(VLOOKUP($C448,[1]dados_2023!$C$3:$H$357,6,0),"-")</f>
        <v>-</v>
      </c>
    </row>
    <row r="449" spans="1:10" ht="18" customHeight="1" x14ac:dyDescent="0.3">
      <c r="A449" s="11">
        <v>15</v>
      </c>
      <c r="B449" s="12" t="s">
        <v>680</v>
      </c>
      <c r="C449" s="13">
        <v>1138245</v>
      </c>
      <c r="D449" s="14" t="s">
        <v>682</v>
      </c>
      <c r="E449" s="15">
        <v>2043.2000000000003</v>
      </c>
      <c r="F449" s="15">
        <f t="shared" si="18"/>
        <v>20432.000000000004</v>
      </c>
      <c r="G449" s="15">
        <v>7883.8</v>
      </c>
      <c r="H449" s="15">
        <f t="shared" si="19"/>
        <v>78838</v>
      </c>
      <c r="I449" s="16" t="str">
        <f>IFERROR(VLOOKUP($C449,[1]dados_2023!$C$3:$H$357,4,0),"-")</f>
        <v>-</v>
      </c>
      <c r="J449" s="16" t="str">
        <f>IFERROR(VLOOKUP($C449,[1]dados_2023!$C$3:$H$357,6,0),"-")</f>
        <v>-</v>
      </c>
    </row>
    <row r="450" spans="1:10" ht="18" customHeight="1" x14ac:dyDescent="0.3">
      <c r="A450" s="11">
        <v>15</v>
      </c>
      <c r="B450" s="12" t="s">
        <v>680</v>
      </c>
      <c r="C450" s="13">
        <v>1160828</v>
      </c>
      <c r="D450" s="14" t="s">
        <v>683</v>
      </c>
      <c r="E450" s="15">
        <v>1621.8</v>
      </c>
      <c r="F450" s="15">
        <f t="shared" si="18"/>
        <v>16218</v>
      </c>
      <c r="G450" s="15">
        <v>7357.0000000000009</v>
      </c>
      <c r="H450" s="15">
        <f t="shared" si="19"/>
        <v>73570.000000000015</v>
      </c>
      <c r="I450" s="16" t="str">
        <f>IFERROR(VLOOKUP($C450,[1]dados_2023!$C$3:$H$357,4,0),"-")</f>
        <v>-</v>
      </c>
      <c r="J450" s="16" t="str">
        <f>IFERROR(VLOOKUP($C450,[1]dados_2023!$C$3:$H$357,6,0),"-")</f>
        <v>-</v>
      </c>
    </row>
    <row r="451" spans="1:10" ht="18" customHeight="1" x14ac:dyDescent="0.3">
      <c r="A451" s="11">
        <v>15</v>
      </c>
      <c r="B451" s="12" t="s">
        <v>680</v>
      </c>
      <c r="C451" s="13">
        <v>1137982</v>
      </c>
      <c r="D451" s="14" t="s">
        <v>684</v>
      </c>
      <c r="E451" s="15">
        <v>11678.600000000002</v>
      </c>
      <c r="F451" s="15">
        <f t="shared" si="18"/>
        <v>116786.00000000003</v>
      </c>
      <c r="G451" s="15">
        <v>41459.600000000006</v>
      </c>
      <c r="H451" s="15">
        <f t="shared" si="19"/>
        <v>414596.00000000006</v>
      </c>
      <c r="I451" s="16" t="str">
        <f>IFERROR(VLOOKUP($C451,[1]dados_2023!$C$3:$H$357,4,0),"-")</f>
        <v>-</v>
      </c>
      <c r="J451" s="16" t="str">
        <f>IFERROR(VLOOKUP($C451,[1]dados_2023!$C$3:$H$357,6,0),"-")</f>
        <v>-</v>
      </c>
    </row>
    <row r="452" spans="1:10" ht="18" customHeight="1" x14ac:dyDescent="0.3">
      <c r="A452" s="11">
        <v>15</v>
      </c>
      <c r="B452" s="12" t="s">
        <v>685</v>
      </c>
      <c r="C452" s="13">
        <v>1176125</v>
      </c>
      <c r="D452" s="14" t="s">
        <v>686</v>
      </c>
      <c r="E452" s="15">
        <v>7886</v>
      </c>
      <c r="F452" s="15">
        <f t="shared" si="18"/>
        <v>78860</v>
      </c>
      <c r="G452" s="15">
        <v>28138.600000000002</v>
      </c>
      <c r="H452" s="15">
        <f t="shared" si="19"/>
        <v>281386</v>
      </c>
      <c r="I452" s="16" t="str">
        <f>IFERROR(VLOOKUP($C452,[1]dados_2023!$C$3:$H$357,4,0),"-")</f>
        <v>-</v>
      </c>
      <c r="J452" s="16" t="str">
        <f>IFERROR(VLOOKUP($C452,[1]dados_2023!$C$3:$H$357,6,0),"-")</f>
        <v>-</v>
      </c>
    </row>
    <row r="453" spans="1:10" ht="18" customHeight="1" x14ac:dyDescent="0.3">
      <c r="A453" s="11">
        <v>15</v>
      </c>
      <c r="B453" s="12" t="s">
        <v>687</v>
      </c>
      <c r="C453" s="13">
        <v>1107650</v>
      </c>
      <c r="D453" s="14" t="s">
        <v>688</v>
      </c>
      <c r="E453" s="15">
        <v>3534.6</v>
      </c>
      <c r="F453" s="15">
        <f t="shared" si="18"/>
        <v>35346</v>
      </c>
      <c r="G453" s="15">
        <v>14726.400000000001</v>
      </c>
      <c r="H453" s="15">
        <f t="shared" si="19"/>
        <v>147264</v>
      </c>
      <c r="I453" s="16" t="str">
        <f>IFERROR(VLOOKUP($C453,[1]dados_2023!$C$3:$H$357,4,0),"-")</f>
        <v>-</v>
      </c>
      <c r="J453" s="16" t="str">
        <f>IFERROR(VLOOKUP($C453,[1]dados_2023!$C$3:$H$357,6,0),"-")</f>
        <v>-</v>
      </c>
    </row>
    <row r="454" spans="1:10" ht="18" customHeight="1" x14ac:dyDescent="0.3">
      <c r="A454" s="11">
        <v>15</v>
      </c>
      <c r="B454" s="12" t="s">
        <v>687</v>
      </c>
      <c r="C454" s="13">
        <v>1107684</v>
      </c>
      <c r="D454" s="14" t="s">
        <v>689</v>
      </c>
      <c r="E454" s="15">
        <v>11162.400000000001</v>
      </c>
      <c r="F454" s="15">
        <f t="shared" ref="F454:F517" si="20">E454*10</f>
        <v>111624.00000000001</v>
      </c>
      <c r="G454" s="15">
        <v>35132.6</v>
      </c>
      <c r="H454" s="15">
        <f t="shared" ref="H454:H517" si="21">G454*10</f>
        <v>351326</v>
      </c>
      <c r="I454" s="16" t="str">
        <f>IFERROR(VLOOKUP($C454,[1]dados_2023!$C$3:$H$357,4,0),"-")</f>
        <v>-</v>
      </c>
      <c r="J454" s="16" t="str">
        <f>IFERROR(VLOOKUP($C454,[1]dados_2023!$C$3:$H$357,6,0),"-")</f>
        <v>-</v>
      </c>
    </row>
    <row r="455" spans="1:10" ht="18" customHeight="1" x14ac:dyDescent="0.3">
      <c r="A455" s="11">
        <v>15</v>
      </c>
      <c r="B455" s="12" t="s">
        <v>690</v>
      </c>
      <c r="C455" s="13">
        <v>1176069</v>
      </c>
      <c r="D455" s="14" t="s">
        <v>691</v>
      </c>
      <c r="E455" s="15">
        <v>5341.4</v>
      </c>
      <c r="F455" s="15">
        <f t="shared" si="20"/>
        <v>53414</v>
      </c>
      <c r="G455" s="15">
        <v>19288.400000000001</v>
      </c>
      <c r="H455" s="15">
        <f t="shared" si="21"/>
        <v>192884</v>
      </c>
      <c r="I455" s="16" t="str">
        <f>IFERROR(VLOOKUP($C455,[1]dados_2023!$C$3:$H$357,4,0),"-")</f>
        <v>-</v>
      </c>
      <c r="J455" s="16" t="str">
        <f>IFERROR(VLOOKUP($C455,[1]dados_2023!$C$3:$H$357,6,0),"-")</f>
        <v>-</v>
      </c>
    </row>
    <row r="456" spans="1:10" ht="18" customHeight="1" x14ac:dyDescent="0.3">
      <c r="A456" s="11">
        <v>15</v>
      </c>
      <c r="B456" s="12" t="s">
        <v>692</v>
      </c>
      <c r="C456" s="13">
        <v>1122306</v>
      </c>
      <c r="D456" s="14" t="s">
        <v>693</v>
      </c>
      <c r="E456" s="15">
        <v>4093.8</v>
      </c>
      <c r="F456" s="15">
        <f t="shared" si="20"/>
        <v>40938</v>
      </c>
      <c r="G456" s="15">
        <v>15827.400000000001</v>
      </c>
      <c r="H456" s="15">
        <f t="shared" si="21"/>
        <v>158274</v>
      </c>
      <c r="I456" s="16" t="str">
        <f>IFERROR(VLOOKUP($C456,[1]dados_2023!$C$3:$H$357,4,0),"-")</f>
        <v>-</v>
      </c>
      <c r="J456" s="16" t="str">
        <f>IFERROR(VLOOKUP($C456,[1]dados_2023!$C$3:$H$357,6,0),"-")</f>
        <v>-</v>
      </c>
    </row>
    <row r="457" spans="1:10" ht="18" customHeight="1" x14ac:dyDescent="0.3">
      <c r="A457" s="11">
        <v>16</v>
      </c>
      <c r="B457" s="12" t="s">
        <v>694</v>
      </c>
      <c r="C457" s="13">
        <v>1178027</v>
      </c>
      <c r="D457" s="14" t="s">
        <v>695</v>
      </c>
      <c r="E457" s="15">
        <v>8088</v>
      </c>
      <c r="F457" s="15">
        <f t="shared" si="20"/>
        <v>80880</v>
      </c>
      <c r="G457" s="15">
        <v>28172</v>
      </c>
      <c r="H457" s="15">
        <f t="shared" si="21"/>
        <v>281720</v>
      </c>
      <c r="I457" s="16" t="str">
        <f>IFERROR(VLOOKUP($C457,[1]dados_2023!$C$3:$H$357,4,0),"-")</f>
        <v>-</v>
      </c>
      <c r="J457" s="16" t="str">
        <f>IFERROR(VLOOKUP($C457,[1]dados_2023!$C$3:$H$357,6,0),"-")</f>
        <v>-</v>
      </c>
    </row>
    <row r="458" spans="1:10" ht="18" customHeight="1" x14ac:dyDescent="0.3">
      <c r="A458" s="11">
        <v>16</v>
      </c>
      <c r="B458" s="12" t="s">
        <v>696</v>
      </c>
      <c r="C458" s="13">
        <v>1121962</v>
      </c>
      <c r="D458" s="14" t="s">
        <v>697</v>
      </c>
      <c r="E458" s="15">
        <v>18277.599999999999</v>
      </c>
      <c r="F458" s="15">
        <f t="shared" si="20"/>
        <v>182776</v>
      </c>
      <c r="G458" s="15">
        <v>65493.000000000007</v>
      </c>
      <c r="H458" s="15">
        <f t="shared" si="21"/>
        <v>654930.00000000012</v>
      </c>
      <c r="I458" s="16" t="str">
        <f>IFERROR(VLOOKUP($C458,[1]dados_2023!$C$3:$H$357,4,0),"-")</f>
        <v>-</v>
      </c>
      <c r="J458" s="16" t="str">
        <f>IFERROR(VLOOKUP($C458,[1]dados_2023!$C$3:$H$357,6,0),"-")</f>
        <v>-</v>
      </c>
    </row>
    <row r="459" spans="1:10" ht="18" customHeight="1" x14ac:dyDescent="0.3">
      <c r="A459" s="11">
        <v>16</v>
      </c>
      <c r="B459" s="12" t="s">
        <v>696</v>
      </c>
      <c r="C459" s="13">
        <v>1176100</v>
      </c>
      <c r="D459" s="14" t="s">
        <v>698</v>
      </c>
      <c r="E459" s="15">
        <v>13320</v>
      </c>
      <c r="F459" s="15">
        <f t="shared" si="20"/>
        <v>133200</v>
      </c>
      <c r="G459" s="15">
        <v>57009.599999999999</v>
      </c>
      <c r="H459" s="15">
        <f t="shared" si="21"/>
        <v>570096</v>
      </c>
      <c r="I459" s="16" t="str">
        <f>IFERROR(VLOOKUP($C459,[1]dados_2023!$C$3:$H$357,4,0),"-")</f>
        <v>-</v>
      </c>
      <c r="J459" s="16" t="str">
        <f>IFERROR(VLOOKUP($C459,[1]dados_2023!$C$3:$H$357,6,0),"-")</f>
        <v>-</v>
      </c>
    </row>
    <row r="460" spans="1:10" ht="18" customHeight="1" x14ac:dyDescent="0.3">
      <c r="A460" s="11">
        <v>16</v>
      </c>
      <c r="B460" s="12" t="s">
        <v>696</v>
      </c>
      <c r="C460" s="13">
        <v>1178094</v>
      </c>
      <c r="D460" s="14" t="s">
        <v>699</v>
      </c>
      <c r="E460" s="15">
        <v>7009.2</v>
      </c>
      <c r="F460" s="15">
        <f t="shared" si="20"/>
        <v>70092</v>
      </c>
      <c r="G460" s="15">
        <v>23889.200000000001</v>
      </c>
      <c r="H460" s="15">
        <f t="shared" si="21"/>
        <v>238892</v>
      </c>
      <c r="I460" s="16" t="str">
        <f>IFERROR(VLOOKUP($C460,[1]dados_2023!$C$3:$H$357,4,0),"-")</f>
        <v>-</v>
      </c>
      <c r="J460" s="16" t="str">
        <f>IFERROR(VLOOKUP($C460,[1]dados_2023!$C$3:$H$357,6,0),"-")</f>
        <v>-</v>
      </c>
    </row>
    <row r="461" spans="1:10" ht="18" customHeight="1" x14ac:dyDescent="0.3">
      <c r="A461" s="11">
        <v>16</v>
      </c>
      <c r="B461" s="12" t="s">
        <v>696</v>
      </c>
      <c r="C461" s="13">
        <v>1158157</v>
      </c>
      <c r="D461" s="14" t="s">
        <v>700</v>
      </c>
      <c r="E461" s="15">
        <v>6004.2</v>
      </c>
      <c r="F461" s="15">
        <f t="shared" si="20"/>
        <v>60042</v>
      </c>
      <c r="G461" s="15">
        <v>24616.2</v>
      </c>
      <c r="H461" s="15">
        <f t="shared" si="21"/>
        <v>246162</v>
      </c>
      <c r="I461" s="16" t="str">
        <f>IFERROR(VLOOKUP($C461,[1]dados_2023!$C$3:$H$357,4,0),"-")</f>
        <v>-</v>
      </c>
      <c r="J461" s="16" t="str">
        <f>IFERROR(VLOOKUP($C461,[1]dados_2023!$C$3:$H$357,6,0),"-")</f>
        <v>-</v>
      </c>
    </row>
    <row r="462" spans="1:10" ht="18" customHeight="1" x14ac:dyDescent="0.3">
      <c r="A462" s="11">
        <v>16</v>
      </c>
      <c r="B462" s="12" t="s">
        <v>701</v>
      </c>
      <c r="C462" s="13">
        <v>1178026</v>
      </c>
      <c r="D462" s="14" t="s">
        <v>665</v>
      </c>
      <c r="E462" s="15">
        <v>11012.2</v>
      </c>
      <c r="F462" s="15">
        <f t="shared" si="20"/>
        <v>110122</v>
      </c>
      <c r="G462" s="15">
        <v>33481</v>
      </c>
      <c r="H462" s="15">
        <f t="shared" si="21"/>
        <v>334810</v>
      </c>
      <c r="I462" s="16" t="str">
        <f>IFERROR(VLOOKUP($C462,[1]dados_2023!$C$3:$H$357,4,0),"-")</f>
        <v>-</v>
      </c>
      <c r="J462" s="16" t="str">
        <f>IFERROR(VLOOKUP($C462,[1]dados_2023!$C$3:$H$357,6,0),"-")</f>
        <v>-</v>
      </c>
    </row>
    <row r="463" spans="1:10" ht="18" customHeight="1" x14ac:dyDescent="0.3">
      <c r="A463" s="11">
        <v>16</v>
      </c>
      <c r="B463" s="12" t="s">
        <v>701</v>
      </c>
      <c r="C463" s="13">
        <v>1122144</v>
      </c>
      <c r="D463" s="14" t="s">
        <v>702</v>
      </c>
      <c r="E463" s="15">
        <v>8541.8000000000011</v>
      </c>
      <c r="F463" s="15">
        <f t="shared" si="20"/>
        <v>85418.000000000015</v>
      </c>
      <c r="G463" s="15">
        <v>29205.800000000003</v>
      </c>
      <c r="H463" s="15">
        <f t="shared" si="21"/>
        <v>292058</v>
      </c>
      <c r="I463" s="16" t="str">
        <f>IFERROR(VLOOKUP($C463,[1]dados_2023!$C$3:$H$357,4,0),"-")</f>
        <v>-</v>
      </c>
      <c r="J463" s="16" t="str">
        <f>IFERROR(VLOOKUP($C463,[1]dados_2023!$C$3:$H$357,6,0),"-")</f>
        <v>-</v>
      </c>
    </row>
    <row r="464" spans="1:10" ht="18" customHeight="1" x14ac:dyDescent="0.3">
      <c r="A464" s="11">
        <v>16</v>
      </c>
      <c r="B464" s="12" t="s">
        <v>703</v>
      </c>
      <c r="C464" s="13">
        <v>1122365</v>
      </c>
      <c r="D464" s="14" t="s">
        <v>704</v>
      </c>
      <c r="E464" s="15">
        <v>7307.8</v>
      </c>
      <c r="F464" s="15">
        <f t="shared" si="20"/>
        <v>73078</v>
      </c>
      <c r="G464" s="15">
        <v>28540.6</v>
      </c>
      <c r="H464" s="15">
        <f t="shared" si="21"/>
        <v>285406</v>
      </c>
      <c r="I464" s="16" t="str">
        <f>IFERROR(VLOOKUP($C464,[1]dados_2023!$C$3:$H$357,4,0),"-")</f>
        <v>-</v>
      </c>
      <c r="J464" s="16" t="str">
        <f>IFERROR(VLOOKUP($C464,[1]dados_2023!$C$3:$H$357,6,0),"-")</f>
        <v>-</v>
      </c>
    </row>
    <row r="465" spans="1:10" ht="18" customHeight="1" x14ac:dyDescent="0.3">
      <c r="A465" s="11">
        <v>16</v>
      </c>
      <c r="B465" s="12" t="s">
        <v>705</v>
      </c>
      <c r="C465" s="13">
        <v>1172419</v>
      </c>
      <c r="D465" s="14" t="s">
        <v>706</v>
      </c>
      <c r="E465" s="15">
        <v>12466.600000000002</v>
      </c>
      <c r="F465" s="15">
        <f t="shared" si="20"/>
        <v>124666.00000000003</v>
      </c>
      <c r="G465" s="15">
        <v>45795</v>
      </c>
      <c r="H465" s="15">
        <f t="shared" si="21"/>
        <v>457950</v>
      </c>
      <c r="I465" s="16" t="str">
        <f>IFERROR(VLOOKUP($C465,[1]dados_2023!$C$3:$H$357,4,0),"-")</f>
        <v>-</v>
      </c>
      <c r="J465" s="16" t="str">
        <f>IFERROR(VLOOKUP($C465,[1]dados_2023!$C$3:$H$357,6,0),"-")</f>
        <v>-</v>
      </c>
    </row>
    <row r="466" spans="1:10" ht="18" customHeight="1" x14ac:dyDescent="0.3">
      <c r="A466" s="11">
        <v>16</v>
      </c>
      <c r="B466" s="12" t="s">
        <v>707</v>
      </c>
      <c r="C466" s="13">
        <v>1122233</v>
      </c>
      <c r="D466" s="14" t="s">
        <v>708</v>
      </c>
      <c r="E466" s="15">
        <v>7909.8</v>
      </c>
      <c r="F466" s="15">
        <f t="shared" si="20"/>
        <v>79098</v>
      </c>
      <c r="G466" s="15">
        <v>29301</v>
      </c>
      <c r="H466" s="15">
        <f t="shared" si="21"/>
        <v>293010</v>
      </c>
      <c r="I466" s="16" t="str">
        <f>IFERROR(VLOOKUP($C466,[1]dados_2023!$C$3:$H$357,4,0),"-")</f>
        <v>-</v>
      </c>
      <c r="J466" s="16" t="str">
        <f>IFERROR(VLOOKUP($C466,[1]dados_2023!$C$3:$H$357,6,0),"-")</f>
        <v>-</v>
      </c>
    </row>
    <row r="467" spans="1:10" ht="18" customHeight="1" x14ac:dyDescent="0.3">
      <c r="A467" s="11">
        <v>16</v>
      </c>
      <c r="B467" s="12" t="s">
        <v>709</v>
      </c>
      <c r="C467" s="13">
        <v>1161794</v>
      </c>
      <c r="D467" s="14" t="s">
        <v>710</v>
      </c>
      <c r="E467" s="15">
        <v>9089.2000000000007</v>
      </c>
      <c r="F467" s="15">
        <f t="shared" si="20"/>
        <v>90892</v>
      </c>
      <c r="G467" s="15">
        <v>31773.200000000001</v>
      </c>
      <c r="H467" s="15">
        <f t="shared" si="21"/>
        <v>317732</v>
      </c>
      <c r="I467" s="16" t="str">
        <f>IFERROR(VLOOKUP($C467,[1]dados_2023!$C$3:$H$357,4,0),"-")</f>
        <v>-</v>
      </c>
      <c r="J467" s="16" t="str">
        <f>IFERROR(VLOOKUP($C467,[1]dados_2023!$C$3:$H$357,6,0),"-")</f>
        <v>-</v>
      </c>
    </row>
    <row r="468" spans="1:10" ht="18" customHeight="1" x14ac:dyDescent="0.3">
      <c r="A468" s="11">
        <v>16</v>
      </c>
      <c r="B468" s="12" t="s">
        <v>711</v>
      </c>
      <c r="C468" s="13">
        <v>1179205</v>
      </c>
      <c r="D468" s="14" t="s">
        <v>712</v>
      </c>
      <c r="E468" s="15">
        <v>11816.400000000001</v>
      </c>
      <c r="F468" s="15">
        <f t="shared" si="20"/>
        <v>118164.00000000001</v>
      </c>
      <c r="G468" s="15">
        <v>38495.600000000006</v>
      </c>
      <c r="H468" s="15">
        <f t="shared" si="21"/>
        <v>384956.00000000006</v>
      </c>
      <c r="I468" s="16" t="str">
        <f>IFERROR(VLOOKUP($C468,[1]dados_2023!$C$3:$H$357,4,0),"-")</f>
        <v>-</v>
      </c>
      <c r="J468" s="16" t="str">
        <f>IFERROR(VLOOKUP($C468,[1]dados_2023!$C$3:$H$357,6,0),"-")</f>
        <v>-</v>
      </c>
    </row>
    <row r="469" spans="1:10" ht="18" customHeight="1" x14ac:dyDescent="0.3">
      <c r="A469" s="11">
        <v>16</v>
      </c>
      <c r="B469" s="12" t="s">
        <v>713</v>
      </c>
      <c r="C469" s="13">
        <v>1176123</v>
      </c>
      <c r="D469" s="14" t="s">
        <v>714</v>
      </c>
      <c r="E469" s="15">
        <v>6021</v>
      </c>
      <c r="F469" s="15">
        <f t="shared" si="20"/>
        <v>60210</v>
      </c>
      <c r="G469" s="15">
        <v>24237.200000000001</v>
      </c>
      <c r="H469" s="15">
        <f t="shared" si="21"/>
        <v>242372</v>
      </c>
      <c r="I469" s="16" t="str">
        <f>IFERROR(VLOOKUP($C469,[1]dados_2023!$C$3:$H$357,4,0),"-")</f>
        <v>-</v>
      </c>
      <c r="J469" s="16" t="str">
        <f>IFERROR(VLOOKUP($C469,[1]dados_2023!$C$3:$H$357,6,0),"-")</f>
        <v>-</v>
      </c>
    </row>
    <row r="470" spans="1:10" ht="18" customHeight="1" x14ac:dyDescent="0.3">
      <c r="A470" s="11">
        <v>17</v>
      </c>
      <c r="B470" s="12" t="s">
        <v>715</v>
      </c>
      <c r="C470" s="13">
        <v>1165846</v>
      </c>
      <c r="D470" s="14" t="s">
        <v>144</v>
      </c>
      <c r="E470" s="15">
        <v>9156.2000000000007</v>
      </c>
      <c r="F470" s="15">
        <f t="shared" si="20"/>
        <v>91562</v>
      </c>
      <c r="G470" s="15">
        <v>31901.000000000004</v>
      </c>
      <c r="H470" s="15">
        <f t="shared" si="21"/>
        <v>319010.00000000006</v>
      </c>
      <c r="I470" s="16" t="str">
        <f>IFERROR(VLOOKUP($C470,[1]dados_2023!$C$3:$H$357,4,0),"-")</f>
        <v>-</v>
      </c>
      <c r="J470" s="16" t="str">
        <f>IFERROR(VLOOKUP($C470,[1]dados_2023!$C$3:$H$357,6,0),"-")</f>
        <v>-</v>
      </c>
    </row>
    <row r="471" spans="1:10" ht="18" customHeight="1" x14ac:dyDescent="0.3">
      <c r="A471" s="11">
        <v>17</v>
      </c>
      <c r="B471" s="12" t="s">
        <v>716</v>
      </c>
      <c r="C471" s="13">
        <v>1114893</v>
      </c>
      <c r="D471" s="14" t="s">
        <v>717</v>
      </c>
      <c r="E471" s="15">
        <v>6693</v>
      </c>
      <c r="F471" s="15">
        <f t="shared" si="20"/>
        <v>66930</v>
      </c>
      <c r="G471" s="15">
        <v>25330.6</v>
      </c>
      <c r="H471" s="15">
        <f t="shared" si="21"/>
        <v>253306</v>
      </c>
      <c r="I471" s="16" t="str">
        <f>IFERROR(VLOOKUP($C471,[1]dados_2023!$C$3:$H$357,4,0),"-")</f>
        <v>-</v>
      </c>
      <c r="J471" s="16" t="str">
        <f>IFERROR(VLOOKUP($C471,[1]dados_2023!$C$3:$H$357,6,0),"-")</f>
        <v>-</v>
      </c>
    </row>
    <row r="472" spans="1:10" ht="18" customHeight="1" x14ac:dyDescent="0.3">
      <c r="A472" s="11">
        <v>17</v>
      </c>
      <c r="B472" s="12" t="s">
        <v>718</v>
      </c>
      <c r="C472" s="13">
        <v>1178096</v>
      </c>
      <c r="D472" s="14" t="s">
        <v>719</v>
      </c>
      <c r="E472" s="15">
        <v>4162.6000000000004</v>
      </c>
      <c r="F472" s="15">
        <f t="shared" si="20"/>
        <v>41626</v>
      </c>
      <c r="G472" s="15">
        <v>18181.600000000002</v>
      </c>
      <c r="H472" s="15">
        <f t="shared" si="21"/>
        <v>181816.00000000003</v>
      </c>
      <c r="I472" s="16" t="str">
        <f>IFERROR(VLOOKUP($C472,[1]dados_2023!$C$3:$H$357,4,0),"-")</f>
        <v>-</v>
      </c>
      <c r="J472" s="16" t="str">
        <f>IFERROR(VLOOKUP($C472,[1]dados_2023!$C$3:$H$357,6,0),"-")</f>
        <v>-</v>
      </c>
    </row>
    <row r="473" spans="1:10" ht="18" customHeight="1" x14ac:dyDescent="0.3">
      <c r="A473" s="11">
        <v>17</v>
      </c>
      <c r="B473" s="12" t="s">
        <v>720</v>
      </c>
      <c r="C473" s="13">
        <v>1178254</v>
      </c>
      <c r="D473" s="14" t="s">
        <v>721</v>
      </c>
      <c r="E473" s="15">
        <v>10460</v>
      </c>
      <c r="F473" s="15">
        <f t="shared" si="20"/>
        <v>104600</v>
      </c>
      <c r="G473" s="15">
        <v>44768.800000000003</v>
      </c>
      <c r="H473" s="15">
        <f t="shared" si="21"/>
        <v>447688</v>
      </c>
      <c r="I473" s="16" t="str">
        <f>IFERROR(VLOOKUP($C473,[1]dados_2023!$C$3:$H$357,4,0),"-")</f>
        <v>-</v>
      </c>
      <c r="J473" s="16" t="str">
        <f>IFERROR(VLOOKUP($C473,[1]dados_2023!$C$3:$H$357,6,0),"-")</f>
        <v>-</v>
      </c>
    </row>
    <row r="474" spans="1:10" ht="18" customHeight="1" x14ac:dyDescent="0.3">
      <c r="A474" s="11">
        <v>17</v>
      </c>
      <c r="B474" s="12" t="s">
        <v>720</v>
      </c>
      <c r="C474" s="13">
        <v>1114729</v>
      </c>
      <c r="D474" s="14" t="s">
        <v>722</v>
      </c>
      <c r="E474" s="15">
        <v>4539</v>
      </c>
      <c r="F474" s="15">
        <f t="shared" si="20"/>
        <v>45390</v>
      </c>
      <c r="G474" s="15">
        <v>19809.599999999999</v>
      </c>
      <c r="H474" s="15">
        <f t="shared" si="21"/>
        <v>198096</v>
      </c>
      <c r="I474" s="16" t="str">
        <f>IFERROR(VLOOKUP($C474,[1]dados_2023!$C$3:$H$357,4,0),"-")</f>
        <v>-</v>
      </c>
      <c r="J474" s="16" t="str">
        <f>IFERROR(VLOOKUP($C474,[1]dados_2023!$C$3:$H$357,6,0),"-")</f>
        <v>-</v>
      </c>
    </row>
    <row r="475" spans="1:10" ht="18" customHeight="1" x14ac:dyDescent="0.3">
      <c r="A475" s="11">
        <v>17</v>
      </c>
      <c r="B475" s="12" t="s">
        <v>723</v>
      </c>
      <c r="C475" s="13">
        <v>1178322</v>
      </c>
      <c r="D475" s="14" t="s">
        <v>724</v>
      </c>
      <c r="E475" s="15">
        <v>12289</v>
      </c>
      <c r="F475" s="15">
        <f t="shared" si="20"/>
        <v>122890</v>
      </c>
      <c r="G475" s="15">
        <v>46782</v>
      </c>
      <c r="H475" s="15">
        <f t="shared" si="21"/>
        <v>467820</v>
      </c>
      <c r="I475" s="16" t="str">
        <f>IFERROR(VLOOKUP($C475,[1]dados_2023!$C$3:$H$357,4,0),"-")</f>
        <v>-</v>
      </c>
      <c r="J475" s="16" t="str">
        <f>IFERROR(VLOOKUP($C475,[1]dados_2023!$C$3:$H$357,6,0),"-")</f>
        <v>-</v>
      </c>
    </row>
    <row r="476" spans="1:10" ht="18" customHeight="1" x14ac:dyDescent="0.3">
      <c r="A476" s="11">
        <v>17</v>
      </c>
      <c r="B476" s="12" t="s">
        <v>725</v>
      </c>
      <c r="C476" s="13">
        <v>1178049</v>
      </c>
      <c r="D476" s="14" t="s">
        <v>726</v>
      </c>
      <c r="E476" s="15">
        <v>7563.2</v>
      </c>
      <c r="F476" s="15">
        <f t="shared" si="20"/>
        <v>75632</v>
      </c>
      <c r="G476" s="15">
        <v>33442</v>
      </c>
      <c r="H476" s="15">
        <f t="shared" si="21"/>
        <v>334420</v>
      </c>
      <c r="I476" s="16" t="str">
        <f>IFERROR(VLOOKUP($C476,[1]dados_2023!$C$3:$H$357,4,0),"-")</f>
        <v>-</v>
      </c>
      <c r="J476" s="16" t="str">
        <f>IFERROR(VLOOKUP($C476,[1]dados_2023!$C$3:$H$357,6,0),"-")</f>
        <v>-</v>
      </c>
    </row>
    <row r="477" spans="1:10" ht="18" customHeight="1" x14ac:dyDescent="0.3">
      <c r="A477" s="11">
        <v>17</v>
      </c>
      <c r="B477" s="12" t="s">
        <v>727</v>
      </c>
      <c r="C477" s="13">
        <v>1114559</v>
      </c>
      <c r="D477" s="14" t="s">
        <v>728</v>
      </c>
      <c r="E477" s="15">
        <v>16263.800000000001</v>
      </c>
      <c r="F477" s="15">
        <f t="shared" si="20"/>
        <v>162638</v>
      </c>
      <c r="G477" s="15">
        <v>67060.600000000006</v>
      </c>
      <c r="H477" s="15">
        <f t="shared" si="21"/>
        <v>670606</v>
      </c>
      <c r="I477" s="16" t="str">
        <f>IFERROR(VLOOKUP($C477,[1]dados_2023!$C$3:$H$357,4,0),"-")</f>
        <v>-</v>
      </c>
      <c r="J477" s="16" t="str">
        <f>IFERROR(VLOOKUP($C477,[1]dados_2023!$C$3:$H$357,6,0),"-")</f>
        <v>-</v>
      </c>
    </row>
    <row r="478" spans="1:10" ht="18" customHeight="1" x14ac:dyDescent="0.3">
      <c r="A478" s="11">
        <v>17</v>
      </c>
      <c r="B478" s="12" t="s">
        <v>727</v>
      </c>
      <c r="C478" s="13">
        <v>1114680</v>
      </c>
      <c r="D478" s="14" t="s">
        <v>729</v>
      </c>
      <c r="E478" s="15">
        <v>10723</v>
      </c>
      <c r="F478" s="15">
        <f t="shared" si="20"/>
        <v>107230</v>
      </c>
      <c r="G478" s="15">
        <v>47722.8</v>
      </c>
      <c r="H478" s="15">
        <f t="shared" si="21"/>
        <v>477228</v>
      </c>
      <c r="I478" s="16" t="str">
        <f>IFERROR(VLOOKUP($C478,[1]dados_2023!$C$3:$H$357,4,0),"-")</f>
        <v>-</v>
      </c>
      <c r="J478" s="16" t="str">
        <f>IFERROR(VLOOKUP($C478,[1]dados_2023!$C$3:$H$357,6,0),"-")</f>
        <v>-</v>
      </c>
    </row>
    <row r="479" spans="1:10" ht="18" customHeight="1" x14ac:dyDescent="0.3">
      <c r="A479" s="11">
        <v>17</v>
      </c>
      <c r="B479" s="12" t="s">
        <v>730</v>
      </c>
      <c r="C479" s="13">
        <v>1114478</v>
      </c>
      <c r="D479" s="14" t="s">
        <v>731</v>
      </c>
      <c r="E479" s="15">
        <v>10943.4</v>
      </c>
      <c r="F479" s="15">
        <f t="shared" si="20"/>
        <v>109434</v>
      </c>
      <c r="G479" s="15">
        <v>39089</v>
      </c>
      <c r="H479" s="15">
        <f t="shared" si="21"/>
        <v>390890</v>
      </c>
      <c r="I479" s="16" t="str">
        <f>IFERROR(VLOOKUP($C479,[1]dados_2023!$C$3:$H$357,4,0),"-")</f>
        <v>-</v>
      </c>
      <c r="J479" s="16" t="str">
        <f>IFERROR(VLOOKUP($C479,[1]dados_2023!$C$3:$H$357,6,0),"-")</f>
        <v>-</v>
      </c>
    </row>
    <row r="480" spans="1:10" ht="18" customHeight="1" x14ac:dyDescent="0.3">
      <c r="A480" s="11">
        <v>17</v>
      </c>
      <c r="B480" s="12" t="s">
        <v>732</v>
      </c>
      <c r="C480" s="13">
        <v>1178118</v>
      </c>
      <c r="D480" s="14" t="s">
        <v>733</v>
      </c>
      <c r="E480" s="15">
        <v>11576.2</v>
      </c>
      <c r="F480" s="15">
        <f t="shared" si="20"/>
        <v>115762</v>
      </c>
      <c r="G480" s="15">
        <v>36719</v>
      </c>
      <c r="H480" s="15">
        <f t="shared" si="21"/>
        <v>367190</v>
      </c>
      <c r="I480" s="16" t="str">
        <f>IFERROR(VLOOKUP($C480,[1]dados_2023!$C$3:$H$357,4,0),"-")</f>
        <v>-</v>
      </c>
      <c r="J480" s="16" t="str">
        <f>IFERROR(VLOOKUP($C480,[1]dados_2023!$C$3:$H$357,6,0),"-")</f>
        <v>-</v>
      </c>
    </row>
    <row r="481" spans="1:10" ht="18" customHeight="1" x14ac:dyDescent="0.3">
      <c r="A481" s="11">
        <v>17</v>
      </c>
      <c r="B481" s="12" t="s">
        <v>734</v>
      </c>
      <c r="C481" s="13">
        <v>1178136</v>
      </c>
      <c r="D481" s="14" t="s">
        <v>735</v>
      </c>
      <c r="E481" s="15">
        <v>2440</v>
      </c>
      <c r="F481" s="15">
        <f t="shared" si="20"/>
        <v>24400</v>
      </c>
      <c r="G481" s="15">
        <v>10443.200000000001</v>
      </c>
      <c r="H481" s="15">
        <f t="shared" si="21"/>
        <v>104432</v>
      </c>
      <c r="I481" s="16" t="str">
        <f>IFERROR(VLOOKUP($C481,[1]dados_2023!$C$3:$H$357,4,0),"-")</f>
        <v>-</v>
      </c>
      <c r="J481" s="16" t="str">
        <f>IFERROR(VLOOKUP($C481,[1]dados_2023!$C$3:$H$357,6,0),"-")</f>
        <v>-</v>
      </c>
    </row>
    <row r="482" spans="1:10" ht="18" customHeight="1" x14ac:dyDescent="0.3">
      <c r="A482" s="11">
        <v>17</v>
      </c>
      <c r="B482" s="12" t="s">
        <v>734</v>
      </c>
      <c r="C482" s="13">
        <v>1178014</v>
      </c>
      <c r="D482" s="14" t="s">
        <v>736</v>
      </c>
      <c r="E482" s="15">
        <v>7826.5999999999995</v>
      </c>
      <c r="F482" s="15">
        <f t="shared" si="20"/>
        <v>78266</v>
      </c>
      <c r="G482" s="15">
        <v>33179.200000000004</v>
      </c>
      <c r="H482" s="15">
        <f t="shared" si="21"/>
        <v>331792.00000000006</v>
      </c>
      <c r="I482" s="16" t="str">
        <f>IFERROR(VLOOKUP($C482,[1]dados_2023!$C$3:$H$357,4,0),"-")</f>
        <v>-</v>
      </c>
      <c r="J482" s="16" t="str">
        <f>IFERROR(VLOOKUP($C482,[1]dados_2023!$C$3:$H$357,6,0),"-")</f>
        <v>-</v>
      </c>
    </row>
    <row r="483" spans="1:10" ht="18" customHeight="1" x14ac:dyDescent="0.3">
      <c r="A483" s="11">
        <v>17</v>
      </c>
      <c r="B483" s="12" t="s">
        <v>734</v>
      </c>
      <c r="C483" s="13">
        <v>1114192</v>
      </c>
      <c r="D483" s="14" t="s">
        <v>737</v>
      </c>
      <c r="E483" s="15">
        <v>6840</v>
      </c>
      <c r="F483" s="15">
        <f t="shared" si="20"/>
        <v>68400</v>
      </c>
      <c r="G483" s="15">
        <v>29275.200000000001</v>
      </c>
      <c r="H483" s="15">
        <f t="shared" si="21"/>
        <v>292752</v>
      </c>
      <c r="I483" s="16" t="str">
        <f>IFERROR(VLOOKUP($C483,[1]dados_2023!$C$3:$H$357,4,0),"-")</f>
        <v>-</v>
      </c>
      <c r="J483" s="16" t="str">
        <f>IFERROR(VLOOKUP($C483,[1]dados_2023!$C$3:$H$357,6,0),"-")</f>
        <v>-</v>
      </c>
    </row>
    <row r="484" spans="1:10" ht="18" customHeight="1" x14ac:dyDescent="0.3">
      <c r="A484" s="11">
        <v>17</v>
      </c>
      <c r="B484" s="12" t="s">
        <v>738</v>
      </c>
      <c r="C484" s="13">
        <v>1177006</v>
      </c>
      <c r="D484" s="14" t="s">
        <v>739</v>
      </c>
      <c r="E484" s="15">
        <v>16889</v>
      </c>
      <c r="F484" s="15">
        <f t="shared" si="20"/>
        <v>168890</v>
      </c>
      <c r="G484" s="15">
        <v>62602.8</v>
      </c>
      <c r="H484" s="15">
        <f t="shared" si="21"/>
        <v>626028</v>
      </c>
      <c r="I484" s="16" t="str">
        <f>IFERROR(VLOOKUP($C484,[1]dados_2023!$C$3:$H$357,4,0),"-")</f>
        <v>-</v>
      </c>
      <c r="J484" s="16" t="str">
        <f>IFERROR(VLOOKUP($C484,[1]dados_2023!$C$3:$H$357,6,0),"-")</f>
        <v>-</v>
      </c>
    </row>
    <row r="485" spans="1:10" ht="18" customHeight="1" x14ac:dyDescent="0.3">
      <c r="A485" s="11">
        <v>17</v>
      </c>
      <c r="B485" s="12" t="s">
        <v>740</v>
      </c>
      <c r="C485" s="13">
        <v>1166133</v>
      </c>
      <c r="D485" s="14" t="s">
        <v>741</v>
      </c>
      <c r="E485" s="15">
        <v>5260.4</v>
      </c>
      <c r="F485" s="15">
        <f t="shared" si="20"/>
        <v>52604</v>
      </c>
      <c r="G485" s="15">
        <v>20340.800000000003</v>
      </c>
      <c r="H485" s="15">
        <f t="shared" si="21"/>
        <v>203408.00000000003</v>
      </c>
      <c r="I485" s="16" t="str">
        <f>IFERROR(VLOOKUP($C485,[1]dados_2023!$C$3:$H$357,4,0),"-")</f>
        <v>-</v>
      </c>
      <c r="J485" s="16" t="str">
        <f>IFERROR(VLOOKUP($C485,[1]dados_2023!$C$3:$H$357,6,0),"-")</f>
        <v>-</v>
      </c>
    </row>
    <row r="486" spans="1:10" ht="18" customHeight="1" x14ac:dyDescent="0.3">
      <c r="A486" s="11">
        <v>17</v>
      </c>
      <c r="B486" s="12" t="s">
        <v>742</v>
      </c>
      <c r="C486" s="13">
        <v>1115091</v>
      </c>
      <c r="D486" s="14" t="s">
        <v>743</v>
      </c>
      <c r="E486" s="15">
        <v>10616.4</v>
      </c>
      <c r="F486" s="15">
        <f t="shared" si="20"/>
        <v>106164</v>
      </c>
      <c r="G486" s="15">
        <v>46730.8</v>
      </c>
      <c r="H486" s="15">
        <f t="shared" si="21"/>
        <v>467308</v>
      </c>
      <c r="I486" s="16" t="str">
        <f>IFERROR(VLOOKUP($C486,[1]dados_2023!$C$3:$H$357,4,0),"-")</f>
        <v>-</v>
      </c>
      <c r="J486" s="16" t="str">
        <f>IFERROR(VLOOKUP($C486,[1]dados_2023!$C$3:$H$357,6,0),"-")</f>
        <v>-</v>
      </c>
    </row>
    <row r="487" spans="1:10" ht="18" customHeight="1" x14ac:dyDescent="0.3">
      <c r="A487" s="11">
        <v>17</v>
      </c>
      <c r="B487" s="12" t="s">
        <v>744</v>
      </c>
      <c r="C487" s="13">
        <v>1138539</v>
      </c>
      <c r="D487" s="14" t="s">
        <v>745</v>
      </c>
      <c r="E487" s="15">
        <v>6401.7999999999993</v>
      </c>
      <c r="F487" s="15">
        <f t="shared" si="20"/>
        <v>64017.999999999993</v>
      </c>
      <c r="G487" s="15">
        <v>26898.2</v>
      </c>
      <c r="H487" s="15">
        <f t="shared" si="21"/>
        <v>268982</v>
      </c>
      <c r="I487" s="16" t="str">
        <f>IFERROR(VLOOKUP($C487,[1]dados_2023!$C$3:$H$357,4,0),"-")</f>
        <v>-</v>
      </c>
      <c r="J487" s="16" t="str">
        <f>IFERROR(VLOOKUP($C487,[1]dados_2023!$C$3:$H$357,6,0),"-")</f>
        <v>-</v>
      </c>
    </row>
    <row r="488" spans="1:10" ht="18" customHeight="1" x14ac:dyDescent="0.3">
      <c r="A488" s="11">
        <v>17</v>
      </c>
      <c r="B488" s="12" t="s">
        <v>746</v>
      </c>
      <c r="C488" s="13">
        <v>1115342</v>
      </c>
      <c r="D488" s="14" t="s">
        <v>747</v>
      </c>
      <c r="E488" s="15">
        <v>5529.8</v>
      </c>
      <c r="F488" s="15">
        <f t="shared" si="20"/>
        <v>55298</v>
      </c>
      <c r="G488" s="15">
        <v>24849.600000000002</v>
      </c>
      <c r="H488" s="15">
        <f t="shared" si="21"/>
        <v>248496.00000000003</v>
      </c>
      <c r="I488" s="16" t="str">
        <f>IFERROR(VLOOKUP($C488,[1]dados_2023!$C$3:$H$357,4,0),"-")</f>
        <v>-</v>
      </c>
      <c r="J488" s="16" t="str">
        <f>IFERROR(VLOOKUP($C488,[1]dados_2023!$C$3:$H$357,6,0),"-")</f>
        <v>-</v>
      </c>
    </row>
    <row r="489" spans="1:10" ht="18" customHeight="1" x14ac:dyDescent="0.3">
      <c r="A489" s="11">
        <v>17</v>
      </c>
      <c r="B489" s="12" t="s">
        <v>748</v>
      </c>
      <c r="C489" s="13">
        <v>1115326</v>
      </c>
      <c r="D489" s="14" t="s">
        <v>749</v>
      </c>
      <c r="E489" s="15">
        <v>12610</v>
      </c>
      <c r="F489" s="15">
        <f t="shared" si="20"/>
        <v>126100</v>
      </c>
      <c r="G489" s="15">
        <v>53970.8</v>
      </c>
      <c r="H489" s="15">
        <f t="shared" si="21"/>
        <v>539708</v>
      </c>
      <c r="I489" s="16" t="str">
        <f>IFERROR(VLOOKUP($C489,[1]dados_2023!$C$3:$H$357,4,0),"-")</f>
        <v>-</v>
      </c>
      <c r="J489" s="16" t="str">
        <f>IFERROR(VLOOKUP($C489,[1]dados_2023!$C$3:$H$357,6,0),"-")</f>
        <v>-</v>
      </c>
    </row>
    <row r="490" spans="1:10" ht="18" customHeight="1" x14ac:dyDescent="0.3">
      <c r="A490" s="11">
        <v>17</v>
      </c>
      <c r="B490" s="12" t="s">
        <v>748</v>
      </c>
      <c r="C490" s="13">
        <v>1178084</v>
      </c>
      <c r="D490" s="14" t="s">
        <v>750</v>
      </c>
      <c r="E490" s="15">
        <v>7017.2</v>
      </c>
      <c r="F490" s="15">
        <f t="shared" si="20"/>
        <v>70172</v>
      </c>
      <c r="G490" s="15">
        <v>31275.199999999997</v>
      </c>
      <c r="H490" s="15">
        <f t="shared" si="21"/>
        <v>312752</v>
      </c>
      <c r="I490" s="16" t="str">
        <f>IFERROR(VLOOKUP($C490,[1]dados_2023!$C$3:$H$357,4,0),"-")</f>
        <v>-</v>
      </c>
      <c r="J490" s="16" t="str">
        <f>IFERROR(VLOOKUP($C490,[1]dados_2023!$C$3:$H$357,6,0),"-")</f>
        <v>-</v>
      </c>
    </row>
    <row r="491" spans="1:10" ht="18" customHeight="1" x14ac:dyDescent="0.3">
      <c r="A491" s="11">
        <v>17</v>
      </c>
      <c r="B491" s="12" t="s">
        <v>748</v>
      </c>
      <c r="C491" s="13">
        <v>1178429</v>
      </c>
      <c r="D491" s="14" t="s">
        <v>751</v>
      </c>
      <c r="E491" s="15">
        <v>3137.8</v>
      </c>
      <c r="F491" s="15">
        <f t="shared" si="20"/>
        <v>31378</v>
      </c>
      <c r="G491" s="15">
        <v>14526.8</v>
      </c>
      <c r="H491" s="15">
        <f t="shared" si="21"/>
        <v>145268</v>
      </c>
      <c r="I491" s="16" t="str">
        <f>IFERROR(VLOOKUP($C491,[1]dados_2023!$C$3:$H$357,4,0),"-")</f>
        <v>-</v>
      </c>
      <c r="J491" s="16" t="str">
        <f>IFERROR(VLOOKUP($C491,[1]dados_2023!$C$3:$H$357,6,0),"-")</f>
        <v>-</v>
      </c>
    </row>
    <row r="492" spans="1:10" ht="18" customHeight="1" x14ac:dyDescent="0.3">
      <c r="A492" s="11">
        <v>17</v>
      </c>
      <c r="B492" s="12" t="s">
        <v>748</v>
      </c>
      <c r="C492" s="13">
        <v>1115393</v>
      </c>
      <c r="D492" s="14" t="s">
        <v>752</v>
      </c>
      <c r="E492" s="15">
        <v>5069.2</v>
      </c>
      <c r="F492" s="15">
        <f t="shared" si="20"/>
        <v>50692</v>
      </c>
      <c r="G492" s="15">
        <v>23448</v>
      </c>
      <c r="H492" s="15">
        <f t="shared" si="21"/>
        <v>234480</v>
      </c>
      <c r="I492" s="16" t="str">
        <f>IFERROR(VLOOKUP($C492,[1]dados_2023!$C$3:$H$357,4,0),"-")</f>
        <v>-</v>
      </c>
      <c r="J492" s="16" t="str">
        <f>IFERROR(VLOOKUP($C492,[1]dados_2023!$C$3:$H$357,6,0),"-")</f>
        <v>-</v>
      </c>
    </row>
    <row r="493" spans="1:10" ht="18" customHeight="1" x14ac:dyDescent="0.3">
      <c r="A493" s="11">
        <v>17</v>
      </c>
      <c r="B493" s="12" t="s">
        <v>753</v>
      </c>
      <c r="C493" s="13">
        <v>1114303</v>
      </c>
      <c r="D493" s="14" t="s">
        <v>35</v>
      </c>
      <c r="E493" s="15">
        <v>6338</v>
      </c>
      <c r="F493" s="15">
        <f t="shared" si="20"/>
        <v>63380</v>
      </c>
      <c r="G493" s="15">
        <v>27334.2</v>
      </c>
      <c r="H493" s="15">
        <f t="shared" si="21"/>
        <v>273342</v>
      </c>
      <c r="I493" s="16" t="str">
        <f>IFERROR(VLOOKUP($C493,[1]dados_2023!$C$3:$H$357,4,0),"-")</f>
        <v>-</v>
      </c>
      <c r="J493" s="16" t="str">
        <f>IFERROR(VLOOKUP($C493,[1]dados_2023!$C$3:$H$357,6,0),"-")</f>
        <v>-</v>
      </c>
    </row>
    <row r="494" spans="1:10" ht="18" customHeight="1" x14ac:dyDescent="0.3">
      <c r="A494" s="11">
        <v>17</v>
      </c>
      <c r="B494" s="12" t="s">
        <v>754</v>
      </c>
      <c r="C494" s="13">
        <v>1171196</v>
      </c>
      <c r="D494" s="14" t="s">
        <v>755</v>
      </c>
      <c r="E494" s="15">
        <v>6558.8</v>
      </c>
      <c r="F494" s="15">
        <f t="shared" si="20"/>
        <v>65588</v>
      </c>
      <c r="G494" s="15">
        <v>23574.400000000001</v>
      </c>
      <c r="H494" s="15">
        <f t="shared" si="21"/>
        <v>235744</v>
      </c>
      <c r="I494" s="16" t="str">
        <f>IFERROR(VLOOKUP($C494,[1]dados_2023!$C$3:$H$357,4,0),"-")</f>
        <v>-</v>
      </c>
      <c r="J494" s="16" t="str">
        <f>IFERROR(VLOOKUP($C494,[1]dados_2023!$C$3:$H$357,6,0),"-")</f>
        <v>-</v>
      </c>
    </row>
    <row r="495" spans="1:10" ht="18" customHeight="1" x14ac:dyDescent="0.3">
      <c r="A495" s="11">
        <v>17</v>
      </c>
      <c r="B495" s="12" t="s">
        <v>718</v>
      </c>
      <c r="C495" s="13">
        <v>1179128</v>
      </c>
      <c r="D495" s="14" t="s">
        <v>756</v>
      </c>
      <c r="E495" s="15">
        <v>5074</v>
      </c>
      <c r="F495" s="15">
        <f t="shared" si="20"/>
        <v>50740</v>
      </c>
      <c r="G495" s="15">
        <v>10974</v>
      </c>
      <c r="H495" s="15">
        <f t="shared" si="21"/>
        <v>109740</v>
      </c>
      <c r="I495" s="16" t="str">
        <f>IFERROR(VLOOKUP($C495,[1]dados_2023!$C$3:$H$357,4,0),"-")</f>
        <v>-</v>
      </c>
      <c r="J495" s="16" t="str">
        <f>IFERROR(VLOOKUP($C495,[1]dados_2023!$C$3:$H$357,6,0),"-")</f>
        <v>-</v>
      </c>
    </row>
    <row r="496" spans="1:10" ht="18" customHeight="1" x14ac:dyDescent="0.3">
      <c r="A496" s="11">
        <v>17</v>
      </c>
      <c r="B496" s="12" t="s">
        <v>718</v>
      </c>
      <c r="C496" s="13">
        <v>1178319</v>
      </c>
      <c r="D496" s="14" t="s">
        <v>757</v>
      </c>
      <c r="E496" s="15">
        <v>8668.7999999999993</v>
      </c>
      <c r="F496" s="15">
        <f t="shared" si="20"/>
        <v>86688</v>
      </c>
      <c r="G496" s="15">
        <v>18748.8</v>
      </c>
      <c r="H496" s="15">
        <f t="shared" si="21"/>
        <v>187488</v>
      </c>
      <c r="I496" s="16" t="str">
        <f>IFERROR(VLOOKUP($C496,[1]dados_2023!$C$3:$H$357,4,0),"-")</f>
        <v>-</v>
      </c>
      <c r="J496" s="16" t="str">
        <f>IFERROR(VLOOKUP($C496,[1]dados_2023!$C$3:$H$357,6,0),"-")</f>
        <v>-</v>
      </c>
    </row>
    <row r="497" spans="1:10" ht="18" customHeight="1" x14ac:dyDescent="0.3">
      <c r="A497" s="11">
        <v>17</v>
      </c>
      <c r="B497" s="12" t="s">
        <v>718</v>
      </c>
      <c r="C497" s="13">
        <v>1179131</v>
      </c>
      <c r="D497" s="14" t="s">
        <v>758</v>
      </c>
      <c r="E497" s="15">
        <v>5056.8</v>
      </c>
      <c r="F497" s="15">
        <f t="shared" si="20"/>
        <v>50568</v>
      </c>
      <c r="G497" s="15">
        <v>10936.8</v>
      </c>
      <c r="H497" s="15">
        <f t="shared" si="21"/>
        <v>109368</v>
      </c>
      <c r="I497" s="16" t="str">
        <f>IFERROR(VLOOKUP($C497,[1]dados_2023!$C$3:$H$357,4,0),"-")</f>
        <v>-</v>
      </c>
      <c r="J497" s="16" t="str">
        <f>IFERROR(VLOOKUP($C497,[1]dados_2023!$C$3:$H$357,6,0),"-")</f>
        <v>-</v>
      </c>
    </row>
    <row r="498" spans="1:10" ht="18" customHeight="1" x14ac:dyDescent="0.3">
      <c r="A498" s="11">
        <v>17</v>
      </c>
      <c r="B498" s="12" t="s">
        <v>718</v>
      </c>
      <c r="C498" s="13">
        <v>1178443</v>
      </c>
      <c r="D498" s="14" t="s">
        <v>759</v>
      </c>
      <c r="E498" s="15">
        <v>7378.8</v>
      </c>
      <c r="F498" s="15">
        <f t="shared" si="20"/>
        <v>73788</v>
      </c>
      <c r="G498" s="15">
        <v>15958.800000000001</v>
      </c>
      <c r="H498" s="15">
        <f t="shared" si="21"/>
        <v>159588</v>
      </c>
      <c r="I498" s="16" t="str">
        <f>IFERROR(VLOOKUP($C498,[1]dados_2023!$C$3:$H$357,4,0),"-")</f>
        <v>-</v>
      </c>
      <c r="J498" s="16" t="str">
        <f>IFERROR(VLOOKUP($C498,[1]dados_2023!$C$3:$H$357,6,0),"-")</f>
        <v>-</v>
      </c>
    </row>
    <row r="499" spans="1:10" ht="18" customHeight="1" x14ac:dyDescent="0.3">
      <c r="A499" s="11">
        <v>17</v>
      </c>
      <c r="B499" s="12" t="s">
        <v>727</v>
      </c>
      <c r="C499" s="13">
        <v>1179120</v>
      </c>
      <c r="D499" s="14" t="s">
        <v>760</v>
      </c>
      <c r="E499" s="15">
        <v>7688.4</v>
      </c>
      <c r="F499" s="15">
        <f t="shared" si="20"/>
        <v>76884</v>
      </c>
      <c r="G499" s="15">
        <v>16628.400000000001</v>
      </c>
      <c r="H499" s="15">
        <f t="shared" si="21"/>
        <v>166284</v>
      </c>
      <c r="I499" s="16" t="str">
        <f>IFERROR(VLOOKUP($C499,[1]dados_2023!$C$3:$H$357,4,0),"-")</f>
        <v>-</v>
      </c>
      <c r="J499" s="16" t="str">
        <f>IFERROR(VLOOKUP($C499,[1]dados_2023!$C$3:$H$357,6,0),"-")</f>
        <v>-</v>
      </c>
    </row>
    <row r="500" spans="1:10" ht="18" customHeight="1" x14ac:dyDescent="0.3">
      <c r="A500" s="11">
        <v>18</v>
      </c>
      <c r="B500" s="12" t="s">
        <v>761</v>
      </c>
      <c r="C500" s="13">
        <v>1178221</v>
      </c>
      <c r="D500" s="14" t="s">
        <v>762</v>
      </c>
      <c r="E500" s="15">
        <v>7289</v>
      </c>
      <c r="F500" s="15">
        <f t="shared" si="20"/>
        <v>72890</v>
      </c>
      <c r="G500" s="15">
        <v>31478.400000000001</v>
      </c>
      <c r="H500" s="15">
        <f t="shared" si="21"/>
        <v>314784</v>
      </c>
      <c r="I500" s="16" t="str">
        <f>IFERROR(VLOOKUP($C500,[1]dados_2023!$C$3:$H$357,4,0),"-")</f>
        <v>-</v>
      </c>
      <c r="J500" s="16" t="str">
        <f>IFERROR(VLOOKUP($C500,[1]dados_2023!$C$3:$H$357,6,0),"-")</f>
        <v>-</v>
      </c>
    </row>
    <row r="501" spans="1:10" ht="18" customHeight="1" x14ac:dyDescent="0.3">
      <c r="A501" s="11">
        <v>18</v>
      </c>
      <c r="B501" s="12" t="s">
        <v>763</v>
      </c>
      <c r="C501" s="13">
        <v>1107927</v>
      </c>
      <c r="D501" s="14" t="s">
        <v>764</v>
      </c>
      <c r="E501" s="15">
        <v>19870</v>
      </c>
      <c r="F501" s="15">
        <f t="shared" si="20"/>
        <v>198700</v>
      </c>
      <c r="G501" s="15">
        <v>85043.6</v>
      </c>
      <c r="H501" s="15">
        <f t="shared" si="21"/>
        <v>850436</v>
      </c>
      <c r="I501" s="16" t="str">
        <f>IFERROR(VLOOKUP($C501,[1]dados_2023!$C$3:$H$357,4,0),"-")</f>
        <v>-</v>
      </c>
      <c r="J501" s="16" t="str">
        <f>IFERROR(VLOOKUP($C501,[1]dados_2023!$C$3:$H$357,6,0),"-")</f>
        <v>-</v>
      </c>
    </row>
    <row r="502" spans="1:10" ht="18" customHeight="1" x14ac:dyDescent="0.3">
      <c r="A502" s="11">
        <v>18</v>
      </c>
      <c r="B502" s="12" t="s">
        <v>763</v>
      </c>
      <c r="C502" s="13">
        <v>1176092</v>
      </c>
      <c r="D502" s="14" t="s">
        <v>765</v>
      </c>
      <c r="E502" s="15">
        <v>11580</v>
      </c>
      <c r="F502" s="15">
        <f t="shared" si="20"/>
        <v>115800</v>
      </c>
      <c r="G502" s="15">
        <v>49562.400000000009</v>
      </c>
      <c r="H502" s="15">
        <f t="shared" si="21"/>
        <v>495624.00000000012</v>
      </c>
      <c r="I502" s="16" t="str">
        <f>IFERROR(VLOOKUP($C502,[1]dados_2023!$C$3:$H$357,4,0),"-")</f>
        <v>-</v>
      </c>
      <c r="J502" s="16" t="str">
        <f>IFERROR(VLOOKUP($C502,[1]dados_2023!$C$3:$H$357,6,0),"-")</f>
        <v>-</v>
      </c>
    </row>
    <row r="503" spans="1:10" ht="18" customHeight="1" x14ac:dyDescent="0.3">
      <c r="A503" s="11">
        <v>18</v>
      </c>
      <c r="B503" s="12" t="s">
        <v>763</v>
      </c>
      <c r="C503" s="13">
        <v>1107773</v>
      </c>
      <c r="D503" s="14" t="s">
        <v>766</v>
      </c>
      <c r="E503" s="15">
        <v>13833.2</v>
      </c>
      <c r="F503" s="15">
        <f t="shared" si="20"/>
        <v>138332</v>
      </c>
      <c r="G503" s="15">
        <v>61128.000000000015</v>
      </c>
      <c r="H503" s="15">
        <f t="shared" si="21"/>
        <v>611280.00000000012</v>
      </c>
      <c r="I503" s="16" t="str">
        <f>IFERROR(VLOOKUP($C503,[1]dados_2023!$C$3:$H$357,4,0),"-")</f>
        <v>-</v>
      </c>
      <c r="J503" s="16" t="str">
        <f>IFERROR(VLOOKUP($C503,[1]dados_2023!$C$3:$H$357,6,0),"-")</f>
        <v>-</v>
      </c>
    </row>
    <row r="504" spans="1:10" ht="18" customHeight="1" x14ac:dyDescent="0.3">
      <c r="A504" s="11">
        <v>18</v>
      </c>
      <c r="B504" s="12" t="s">
        <v>763</v>
      </c>
      <c r="C504" s="13">
        <v>1135637</v>
      </c>
      <c r="D504" s="14" t="s">
        <v>767</v>
      </c>
      <c r="E504" s="15">
        <v>6576.4</v>
      </c>
      <c r="F504" s="15">
        <f t="shared" si="20"/>
        <v>65764</v>
      </c>
      <c r="G504" s="15">
        <v>34967.200000000004</v>
      </c>
      <c r="H504" s="15">
        <f t="shared" si="21"/>
        <v>349672.00000000006</v>
      </c>
      <c r="I504" s="16" t="str">
        <f>IFERROR(VLOOKUP($C504,[1]dados_2023!$C$3:$H$357,4,0),"-")</f>
        <v>-</v>
      </c>
      <c r="J504" s="16" t="str">
        <f>IFERROR(VLOOKUP($C504,[1]dados_2023!$C$3:$H$357,6,0),"-")</f>
        <v>-</v>
      </c>
    </row>
    <row r="505" spans="1:10" ht="18" customHeight="1" x14ac:dyDescent="0.3">
      <c r="A505" s="11">
        <v>18</v>
      </c>
      <c r="B505" s="12" t="s">
        <v>763</v>
      </c>
      <c r="C505" s="13">
        <v>1176465</v>
      </c>
      <c r="D505" s="14" t="s">
        <v>768</v>
      </c>
      <c r="E505" s="15">
        <v>5110</v>
      </c>
      <c r="F505" s="15">
        <f t="shared" si="20"/>
        <v>51100</v>
      </c>
      <c r="G505" s="15">
        <v>21870.799999999999</v>
      </c>
      <c r="H505" s="15">
        <f t="shared" si="21"/>
        <v>218708</v>
      </c>
      <c r="I505" s="16" t="str">
        <f>IFERROR(VLOOKUP($C505,[1]dados_2023!$C$3:$H$357,4,0),"-")</f>
        <v>-</v>
      </c>
      <c r="J505" s="16" t="str">
        <f>IFERROR(VLOOKUP($C505,[1]dados_2023!$C$3:$H$357,6,0),"-")</f>
        <v>-</v>
      </c>
    </row>
    <row r="506" spans="1:10" ht="18" customHeight="1" x14ac:dyDescent="0.3">
      <c r="A506" s="11">
        <v>18</v>
      </c>
      <c r="B506" s="12" t="s">
        <v>763</v>
      </c>
      <c r="C506" s="13">
        <v>1107986</v>
      </c>
      <c r="D506" s="14" t="s">
        <v>769</v>
      </c>
      <c r="E506" s="15">
        <v>3094.8</v>
      </c>
      <c r="F506" s="15">
        <f t="shared" si="20"/>
        <v>30948</v>
      </c>
      <c r="G506" s="15">
        <v>11234.800000000001</v>
      </c>
      <c r="H506" s="15">
        <f t="shared" si="21"/>
        <v>112348.00000000001</v>
      </c>
      <c r="I506" s="16" t="str">
        <f>IFERROR(VLOOKUP($C506,[1]dados_2023!$C$3:$H$357,4,0),"-")</f>
        <v>-</v>
      </c>
      <c r="J506" s="16" t="str">
        <f>IFERROR(VLOOKUP($C506,[1]dados_2023!$C$3:$H$357,6,0),"-")</f>
        <v>-</v>
      </c>
    </row>
    <row r="507" spans="1:10" ht="18" customHeight="1" x14ac:dyDescent="0.3">
      <c r="A507" s="11">
        <v>18</v>
      </c>
      <c r="B507" s="12" t="s">
        <v>763</v>
      </c>
      <c r="C507" s="13">
        <v>1178266</v>
      </c>
      <c r="D507" s="14" t="s">
        <v>770</v>
      </c>
      <c r="E507" s="15">
        <v>6601.8</v>
      </c>
      <c r="F507" s="15">
        <f t="shared" si="20"/>
        <v>66018</v>
      </c>
      <c r="G507" s="15">
        <v>20544.2</v>
      </c>
      <c r="H507" s="15">
        <f t="shared" si="21"/>
        <v>205442</v>
      </c>
      <c r="I507" s="16" t="str">
        <f>IFERROR(VLOOKUP($C507,[1]dados_2023!$C$3:$H$357,4,0),"-")</f>
        <v>-</v>
      </c>
      <c r="J507" s="16" t="str">
        <f>IFERROR(VLOOKUP($C507,[1]dados_2023!$C$3:$H$357,6,0),"-")</f>
        <v>-</v>
      </c>
    </row>
    <row r="508" spans="1:10" ht="18" customHeight="1" x14ac:dyDescent="0.3">
      <c r="A508" s="11">
        <v>18</v>
      </c>
      <c r="B508" s="12" t="s">
        <v>763</v>
      </c>
      <c r="C508" s="13">
        <v>1178440</v>
      </c>
      <c r="D508" s="14" t="s">
        <v>771</v>
      </c>
      <c r="E508" s="15">
        <v>2160</v>
      </c>
      <c r="F508" s="15">
        <f t="shared" si="20"/>
        <v>21600</v>
      </c>
      <c r="G508" s="15">
        <v>9244.7999999999993</v>
      </c>
      <c r="H508" s="15">
        <f t="shared" si="21"/>
        <v>92448</v>
      </c>
      <c r="I508" s="16" t="str">
        <f>IFERROR(VLOOKUP($C508,[1]dados_2023!$C$3:$H$357,4,0),"-")</f>
        <v>-</v>
      </c>
      <c r="J508" s="16" t="str">
        <f>IFERROR(VLOOKUP($C508,[1]dados_2023!$C$3:$H$357,6,0),"-")</f>
        <v>-</v>
      </c>
    </row>
    <row r="509" spans="1:10" ht="18" customHeight="1" x14ac:dyDescent="0.3">
      <c r="A509" s="11">
        <v>18</v>
      </c>
      <c r="B509" s="12" t="s">
        <v>763</v>
      </c>
      <c r="C509" s="13">
        <v>1178077</v>
      </c>
      <c r="D509" s="14" t="s">
        <v>772</v>
      </c>
      <c r="E509" s="15">
        <v>6570.6</v>
      </c>
      <c r="F509" s="15">
        <f t="shared" si="20"/>
        <v>65706</v>
      </c>
      <c r="G509" s="15">
        <v>30167.4</v>
      </c>
      <c r="H509" s="15">
        <f t="shared" si="21"/>
        <v>301674</v>
      </c>
      <c r="I509" s="16" t="str">
        <f>IFERROR(VLOOKUP($C509,[1]dados_2023!$C$3:$H$357,4,0),"-")</f>
        <v>-</v>
      </c>
      <c r="J509" s="16" t="str">
        <f>IFERROR(VLOOKUP($C509,[1]dados_2023!$C$3:$H$357,6,0),"-")</f>
        <v>-</v>
      </c>
    </row>
    <row r="510" spans="1:10" ht="18" customHeight="1" x14ac:dyDescent="0.3">
      <c r="A510" s="11">
        <v>18</v>
      </c>
      <c r="B510" s="12" t="s">
        <v>763</v>
      </c>
      <c r="C510" s="13">
        <v>1108028</v>
      </c>
      <c r="D510" s="14" t="s">
        <v>773</v>
      </c>
      <c r="E510" s="15">
        <v>8380</v>
      </c>
      <c r="F510" s="15">
        <f t="shared" si="20"/>
        <v>83800</v>
      </c>
      <c r="G510" s="15">
        <v>35866.400000000001</v>
      </c>
      <c r="H510" s="15">
        <f t="shared" si="21"/>
        <v>358664</v>
      </c>
      <c r="I510" s="16" t="str">
        <f>IFERROR(VLOOKUP($C510,[1]dados_2023!$C$3:$H$357,4,0),"-")</f>
        <v>-</v>
      </c>
      <c r="J510" s="16" t="str">
        <f>IFERROR(VLOOKUP($C510,[1]dados_2023!$C$3:$H$357,6,0),"-")</f>
        <v>-</v>
      </c>
    </row>
    <row r="511" spans="1:10" ht="18" customHeight="1" x14ac:dyDescent="0.3">
      <c r="A511" s="11">
        <v>18</v>
      </c>
      <c r="B511" s="12" t="s">
        <v>763</v>
      </c>
      <c r="C511" s="13">
        <v>1169809</v>
      </c>
      <c r="D511" s="14" t="s">
        <v>774</v>
      </c>
      <c r="E511" s="15">
        <v>8935</v>
      </c>
      <c r="F511" s="15">
        <f t="shared" si="20"/>
        <v>89350</v>
      </c>
      <c r="G511" s="15">
        <v>39304.800000000003</v>
      </c>
      <c r="H511" s="15">
        <f t="shared" si="21"/>
        <v>393048</v>
      </c>
      <c r="I511" s="16" t="str">
        <f>IFERROR(VLOOKUP($C511,[1]dados_2023!$C$3:$H$357,4,0),"-")</f>
        <v>-</v>
      </c>
      <c r="J511" s="16" t="str">
        <f>IFERROR(VLOOKUP($C511,[1]dados_2023!$C$3:$H$357,6,0),"-")</f>
        <v>-</v>
      </c>
    </row>
    <row r="512" spans="1:10" ht="18" customHeight="1" x14ac:dyDescent="0.3">
      <c r="A512" s="11">
        <v>18</v>
      </c>
      <c r="B512" s="12" t="s">
        <v>763</v>
      </c>
      <c r="C512" s="13">
        <v>1177089</v>
      </c>
      <c r="D512" s="14" t="s">
        <v>245</v>
      </c>
      <c r="E512" s="15">
        <v>10440</v>
      </c>
      <c r="F512" s="15">
        <f t="shared" si="20"/>
        <v>104400</v>
      </c>
      <c r="G512" s="15">
        <v>44683.200000000004</v>
      </c>
      <c r="H512" s="15">
        <f t="shared" si="21"/>
        <v>446832.00000000006</v>
      </c>
      <c r="I512" s="16" t="str">
        <f>IFERROR(VLOOKUP($C512,[1]dados_2023!$C$3:$H$357,4,0),"-")</f>
        <v>-</v>
      </c>
      <c r="J512" s="16" t="str">
        <f>IFERROR(VLOOKUP($C512,[1]dados_2023!$C$3:$H$357,6,0),"-")</f>
        <v>-</v>
      </c>
    </row>
    <row r="513" spans="1:10" ht="18" customHeight="1" x14ac:dyDescent="0.3">
      <c r="A513" s="11">
        <v>18</v>
      </c>
      <c r="B513" s="12" t="s">
        <v>763</v>
      </c>
      <c r="C513" s="13">
        <v>1105207</v>
      </c>
      <c r="D513" s="14" t="s">
        <v>775</v>
      </c>
      <c r="E513" s="15">
        <v>5610</v>
      </c>
      <c r="F513" s="15">
        <f t="shared" si="20"/>
        <v>56100</v>
      </c>
      <c r="G513" s="15">
        <v>24010.799999999999</v>
      </c>
      <c r="H513" s="15">
        <f t="shared" si="21"/>
        <v>240108</v>
      </c>
      <c r="I513" s="16" t="str">
        <f>IFERROR(VLOOKUP($C513,[1]dados_2023!$C$3:$H$357,4,0),"-")</f>
        <v>-</v>
      </c>
      <c r="J513" s="16" t="str">
        <f>IFERROR(VLOOKUP($C513,[1]dados_2023!$C$3:$H$357,6,0),"-")</f>
        <v>-</v>
      </c>
    </row>
    <row r="514" spans="1:10" ht="18" customHeight="1" x14ac:dyDescent="0.3">
      <c r="A514" s="11">
        <v>18</v>
      </c>
      <c r="B514" s="12" t="s">
        <v>763</v>
      </c>
      <c r="C514" s="13">
        <v>1107960</v>
      </c>
      <c r="D514" s="14" t="s">
        <v>776</v>
      </c>
      <c r="E514" s="15">
        <v>5470</v>
      </c>
      <c r="F514" s="15">
        <f t="shared" si="20"/>
        <v>54700</v>
      </c>
      <c r="G514" s="15">
        <v>23411.600000000002</v>
      </c>
      <c r="H514" s="15">
        <f t="shared" si="21"/>
        <v>234116.00000000003</v>
      </c>
      <c r="I514" s="16" t="str">
        <f>IFERROR(VLOOKUP($C514,[1]dados_2023!$C$3:$H$357,4,0),"-")</f>
        <v>-</v>
      </c>
      <c r="J514" s="16" t="str">
        <f>IFERROR(VLOOKUP($C514,[1]dados_2023!$C$3:$H$357,6,0),"-")</f>
        <v>-</v>
      </c>
    </row>
    <row r="515" spans="1:10" ht="18" customHeight="1" x14ac:dyDescent="0.3">
      <c r="A515" s="11">
        <v>18</v>
      </c>
      <c r="B515" s="12" t="s">
        <v>763</v>
      </c>
      <c r="C515" s="13">
        <v>1107862</v>
      </c>
      <c r="D515" s="14" t="s">
        <v>777</v>
      </c>
      <c r="E515" s="15">
        <v>2480</v>
      </c>
      <c r="F515" s="15">
        <f t="shared" si="20"/>
        <v>24800</v>
      </c>
      <c r="G515" s="15">
        <v>10614.400000000001</v>
      </c>
      <c r="H515" s="15">
        <f t="shared" si="21"/>
        <v>106144.00000000001</v>
      </c>
      <c r="I515" s="16" t="str">
        <f>IFERROR(VLOOKUP($C515,[1]dados_2023!$C$3:$H$357,4,0),"-")</f>
        <v>-</v>
      </c>
      <c r="J515" s="16" t="str">
        <f>IFERROR(VLOOKUP($C515,[1]dados_2023!$C$3:$H$357,6,0),"-")</f>
        <v>-</v>
      </c>
    </row>
    <row r="516" spans="1:10" ht="18" customHeight="1" x14ac:dyDescent="0.3">
      <c r="A516" s="11">
        <v>18</v>
      </c>
      <c r="B516" s="12" t="s">
        <v>778</v>
      </c>
      <c r="C516" s="13">
        <v>1107730</v>
      </c>
      <c r="D516" s="14" t="s">
        <v>779</v>
      </c>
      <c r="E516" s="15">
        <v>6405.8000000000011</v>
      </c>
      <c r="F516" s="15">
        <f t="shared" si="20"/>
        <v>64058.000000000015</v>
      </c>
      <c r="G516" s="15">
        <v>23315.4</v>
      </c>
      <c r="H516" s="15">
        <f t="shared" si="21"/>
        <v>233154</v>
      </c>
      <c r="I516" s="16" t="str">
        <f>IFERROR(VLOOKUP($C516,[1]dados_2023!$C$3:$H$357,4,0),"-")</f>
        <v>-</v>
      </c>
      <c r="J516" s="16" t="str">
        <f>IFERROR(VLOOKUP($C516,[1]dados_2023!$C$3:$H$357,6,0),"-")</f>
        <v>-</v>
      </c>
    </row>
    <row r="517" spans="1:10" ht="18" customHeight="1" x14ac:dyDescent="0.3">
      <c r="A517" s="11">
        <v>18</v>
      </c>
      <c r="B517" s="12" t="s">
        <v>778</v>
      </c>
      <c r="C517" s="13">
        <v>1107749</v>
      </c>
      <c r="D517" s="14" t="s">
        <v>780</v>
      </c>
      <c r="E517" s="15">
        <v>4957.8</v>
      </c>
      <c r="F517" s="15">
        <f t="shared" si="20"/>
        <v>49578</v>
      </c>
      <c r="G517" s="15">
        <v>17795.200000000004</v>
      </c>
      <c r="H517" s="15">
        <f t="shared" si="21"/>
        <v>177952.00000000006</v>
      </c>
      <c r="I517" s="16" t="str">
        <f>IFERROR(VLOOKUP($C517,[1]dados_2023!$C$3:$H$357,4,0),"-")</f>
        <v>-</v>
      </c>
      <c r="J517" s="16" t="str">
        <f>IFERROR(VLOOKUP($C517,[1]dados_2023!$C$3:$H$357,6,0),"-")</f>
        <v>-</v>
      </c>
    </row>
    <row r="518" spans="1:10" ht="18" customHeight="1" x14ac:dyDescent="0.3">
      <c r="A518" s="11">
        <v>18</v>
      </c>
      <c r="B518" s="12" t="s">
        <v>781</v>
      </c>
      <c r="C518" s="13">
        <v>1179312</v>
      </c>
      <c r="D518" s="14" t="s">
        <v>782</v>
      </c>
      <c r="E518" s="15">
        <v>9258.4000000000015</v>
      </c>
      <c r="F518" s="15">
        <f t="shared" ref="F518:F572" si="22">E518*10</f>
        <v>92584.000000000015</v>
      </c>
      <c r="G518" s="15">
        <v>37233.600000000006</v>
      </c>
      <c r="H518" s="15">
        <f t="shared" ref="H518:H572" si="23">G518*10</f>
        <v>372336.00000000006</v>
      </c>
      <c r="I518" s="16" t="str">
        <f>IFERROR(VLOOKUP($C518,[1]dados_2023!$C$3:$H$357,4,0),"-")</f>
        <v>-</v>
      </c>
      <c r="J518" s="16" t="str">
        <f>IFERROR(VLOOKUP($C518,[1]dados_2023!$C$3:$H$357,6,0),"-")</f>
        <v>-</v>
      </c>
    </row>
    <row r="519" spans="1:10" ht="18" customHeight="1" x14ac:dyDescent="0.3">
      <c r="A519" s="11">
        <v>18</v>
      </c>
      <c r="B519" s="12" t="s">
        <v>783</v>
      </c>
      <c r="C519" s="13">
        <v>1179439</v>
      </c>
      <c r="D519" s="14" t="s">
        <v>784</v>
      </c>
      <c r="E519" s="15">
        <v>11513</v>
      </c>
      <c r="F519" s="15">
        <f t="shared" si="22"/>
        <v>115130</v>
      </c>
      <c r="G519" s="15">
        <v>37178</v>
      </c>
      <c r="H519" s="15">
        <f t="shared" si="23"/>
        <v>371780</v>
      </c>
      <c r="I519" s="16" t="str">
        <f>IFERROR(VLOOKUP($C519,[1]dados_2023!$C$3:$H$357,4,0),"-")</f>
        <v>-</v>
      </c>
      <c r="J519" s="16" t="str">
        <f>IFERROR(VLOOKUP($C519,[1]dados_2023!$C$3:$H$357,6,0),"-")</f>
        <v>-</v>
      </c>
    </row>
    <row r="520" spans="1:10" ht="18" customHeight="1" x14ac:dyDescent="0.3">
      <c r="A520" s="11">
        <v>18</v>
      </c>
      <c r="B520" s="12" t="s">
        <v>785</v>
      </c>
      <c r="C520" s="13">
        <v>1108656</v>
      </c>
      <c r="D520" s="14" t="s">
        <v>786</v>
      </c>
      <c r="E520" s="15">
        <v>7541.2000000000007</v>
      </c>
      <c r="F520" s="15">
        <f t="shared" si="22"/>
        <v>75412</v>
      </c>
      <c r="G520" s="15">
        <v>28181.800000000003</v>
      </c>
      <c r="H520" s="15">
        <f t="shared" si="23"/>
        <v>281818</v>
      </c>
      <c r="I520" s="16" t="str">
        <f>IFERROR(VLOOKUP($C520,[1]dados_2023!$C$3:$H$357,4,0),"-")</f>
        <v>-</v>
      </c>
      <c r="J520" s="16" t="str">
        <f>IFERROR(VLOOKUP($C520,[1]dados_2023!$C$3:$H$357,6,0),"-")</f>
        <v>-</v>
      </c>
    </row>
    <row r="521" spans="1:10" ht="18" customHeight="1" x14ac:dyDescent="0.3">
      <c r="A521" s="11">
        <v>18</v>
      </c>
      <c r="B521" s="12" t="s">
        <v>787</v>
      </c>
      <c r="C521" s="13">
        <v>1108648</v>
      </c>
      <c r="D521" s="14" t="s">
        <v>788</v>
      </c>
      <c r="E521" s="15">
        <v>16440</v>
      </c>
      <c r="F521" s="15">
        <f t="shared" si="22"/>
        <v>164400</v>
      </c>
      <c r="G521" s="15">
        <v>70363.200000000012</v>
      </c>
      <c r="H521" s="15">
        <f t="shared" si="23"/>
        <v>703632.00000000012</v>
      </c>
      <c r="I521" s="16" t="str">
        <f>IFERROR(VLOOKUP($C521,[1]dados_2023!$C$3:$H$357,4,0),"-")</f>
        <v>-</v>
      </c>
      <c r="J521" s="16" t="str">
        <f>IFERROR(VLOOKUP($C521,[1]dados_2023!$C$3:$H$357,6,0),"-")</f>
        <v>-</v>
      </c>
    </row>
    <row r="522" spans="1:10" ht="18" customHeight="1" x14ac:dyDescent="0.3">
      <c r="A522" s="11">
        <v>18</v>
      </c>
      <c r="B522" s="12" t="s">
        <v>787</v>
      </c>
      <c r="C522" s="13">
        <v>1108591</v>
      </c>
      <c r="D522" s="14" t="s">
        <v>789</v>
      </c>
      <c r="E522" s="15">
        <v>4278.6000000000004</v>
      </c>
      <c r="F522" s="15">
        <f t="shared" si="22"/>
        <v>42786</v>
      </c>
      <c r="G522" s="15">
        <v>14574</v>
      </c>
      <c r="H522" s="15">
        <f t="shared" si="23"/>
        <v>145740</v>
      </c>
      <c r="I522" s="16" t="str">
        <f>IFERROR(VLOOKUP($C522,[1]dados_2023!$C$3:$H$357,4,0),"-")</f>
        <v>-</v>
      </c>
      <c r="J522" s="16" t="str">
        <f>IFERROR(VLOOKUP($C522,[1]dados_2023!$C$3:$H$357,6,0),"-")</f>
        <v>-</v>
      </c>
    </row>
    <row r="523" spans="1:10" ht="18" customHeight="1" x14ac:dyDescent="0.3">
      <c r="A523" s="11">
        <v>18</v>
      </c>
      <c r="B523" s="12" t="s">
        <v>787</v>
      </c>
      <c r="C523" s="13">
        <v>1108729</v>
      </c>
      <c r="D523" s="14" t="s">
        <v>790</v>
      </c>
      <c r="E523" s="15">
        <v>1745.2</v>
      </c>
      <c r="F523" s="15">
        <f t="shared" si="22"/>
        <v>17452</v>
      </c>
      <c r="G523" s="15">
        <v>7217.8</v>
      </c>
      <c r="H523" s="15">
        <f t="shared" si="23"/>
        <v>72178</v>
      </c>
      <c r="I523" s="16" t="str">
        <f>IFERROR(VLOOKUP($C523,[1]dados_2023!$C$3:$H$357,4,0),"-")</f>
        <v>-</v>
      </c>
      <c r="J523" s="16" t="str">
        <f>IFERROR(VLOOKUP($C523,[1]dados_2023!$C$3:$H$357,6,0),"-")</f>
        <v>-</v>
      </c>
    </row>
    <row r="524" spans="1:10" ht="18" customHeight="1" x14ac:dyDescent="0.3">
      <c r="A524" s="11">
        <v>18</v>
      </c>
      <c r="B524" s="12" t="s">
        <v>787</v>
      </c>
      <c r="C524" s="13">
        <v>1108761</v>
      </c>
      <c r="D524" s="14" t="s">
        <v>791</v>
      </c>
      <c r="E524" s="15">
        <v>7485.4</v>
      </c>
      <c r="F524" s="15">
        <f t="shared" si="22"/>
        <v>74854</v>
      </c>
      <c r="G524" s="15">
        <v>34563.199999999997</v>
      </c>
      <c r="H524" s="15">
        <f t="shared" si="23"/>
        <v>345632</v>
      </c>
      <c r="I524" s="16" t="str">
        <f>IFERROR(VLOOKUP($C524,[1]dados_2023!$C$3:$H$357,4,0),"-")</f>
        <v>-</v>
      </c>
      <c r="J524" s="16" t="str">
        <f>IFERROR(VLOOKUP($C524,[1]dados_2023!$C$3:$H$357,6,0),"-")</f>
        <v>-</v>
      </c>
    </row>
    <row r="525" spans="1:10" ht="18" customHeight="1" x14ac:dyDescent="0.3">
      <c r="A525" s="11">
        <v>18</v>
      </c>
      <c r="B525" s="12" t="s">
        <v>792</v>
      </c>
      <c r="C525" s="13">
        <v>1108524</v>
      </c>
      <c r="D525" s="14" t="s">
        <v>793</v>
      </c>
      <c r="E525" s="15">
        <v>10214.6</v>
      </c>
      <c r="F525" s="15">
        <f t="shared" si="22"/>
        <v>102146</v>
      </c>
      <c r="G525" s="15">
        <v>45444.800000000003</v>
      </c>
      <c r="H525" s="15">
        <f t="shared" si="23"/>
        <v>454448</v>
      </c>
      <c r="I525" s="16" t="str">
        <f>IFERROR(VLOOKUP($C525,[1]dados_2023!$C$3:$H$357,4,0),"-")</f>
        <v>-</v>
      </c>
      <c r="J525" s="16" t="str">
        <f>IFERROR(VLOOKUP($C525,[1]dados_2023!$C$3:$H$357,6,0),"-")</f>
        <v>-</v>
      </c>
    </row>
    <row r="526" spans="1:10" ht="18" customHeight="1" x14ac:dyDescent="0.3">
      <c r="A526" s="11">
        <v>18</v>
      </c>
      <c r="B526" s="12" t="s">
        <v>792</v>
      </c>
      <c r="C526" s="13">
        <v>1108532</v>
      </c>
      <c r="D526" s="14" t="s">
        <v>794</v>
      </c>
      <c r="E526" s="15">
        <v>3484.2</v>
      </c>
      <c r="F526" s="15">
        <f t="shared" si="22"/>
        <v>34842</v>
      </c>
      <c r="G526" s="15">
        <v>12815.2</v>
      </c>
      <c r="H526" s="15">
        <f t="shared" si="23"/>
        <v>128152</v>
      </c>
      <c r="I526" s="16" t="str">
        <f>IFERROR(VLOOKUP($C526,[1]dados_2023!$C$3:$H$357,4,0),"-")</f>
        <v>-</v>
      </c>
      <c r="J526" s="16" t="str">
        <f>IFERROR(VLOOKUP($C526,[1]dados_2023!$C$3:$H$357,6,0),"-")</f>
        <v>-</v>
      </c>
    </row>
    <row r="527" spans="1:10" ht="18" customHeight="1" x14ac:dyDescent="0.3">
      <c r="A527" s="11">
        <v>18</v>
      </c>
      <c r="B527" s="12" t="s">
        <v>795</v>
      </c>
      <c r="C527" s="13">
        <v>1114613</v>
      </c>
      <c r="D527" s="14" t="s">
        <v>796</v>
      </c>
      <c r="E527" s="15">
        <v>14071.8</v>
      </c>
      <c r="F527" s="15">
        <f t="shared" si="22"/>
        <v>140718</v>
      </c>
      <c r="G527" s="15">
        <v>48647.600000000006</v>
      </c>
      <c r="H527" s="15">
        <f t="shared" si="23"/>
        <v>486476.00000000006</v>
      </c>
      <c r="I527" s="16" t="str">
        <f>IFERROR(VLOOKUP($C527,[1]dados_2023!$C$3:$H$357,4,0),"-")</f>
        <v>-</v>
      </c>
      <c r="J527" s="16" t="str">
        <f>IFERROR(VLOOKUP($C527,[1]dados_2023!$C$3:$H$357,6,0),"-")</f>
        <v>-</v>
      </c>
    </row>
    <row r="528" spans="1:10" ht="18" customHeight="1" x14ac:dyDescent="0.3">
      <c r="A528" s="11">
        <v>18</v>
      </c>
      <c r="B528" s="12" t="s">
        <v>797</v>
      </c>
      <c r="C528" s="13">
        <v>1108753</v>
      </c>
      <c r="D528" s="14" t="s">
        <v>798</v>
      </c>
      <c r="E528" s="15">
        <v>14924</v>
      </c>
      <c r="F528" s="15">
        <f t="shared" si="22"/>
        <v>149240</v>
      </c>
      <c r="G528" s="15">
        <v>60206</v>
      </c>
      <c r="H528" s="15">
        <f t="shared" si="23"/>
        <v>602060</v>
      </c>
      <c r="I528" s="16" t="str">
        <f>IFERROR(VLOOKUP($C528,[1]dados_2023!$C$3:$H$357,4,0),"-")</f>
        <v>-</v>
      </c>
      <c r="J528" s="16" t="str">
        <f>IFERROR(VLOOKUP($C528,[1]dados_2023!$C$3:$H$357,6,0),"-")</f>
        <v>-</v>
      </c>
    </row>
    <row r="529" spans="1:10" ht="18" customHeight="1" x14ac:dyDescent="0.3">
      <c r="A529" s="11">
        <v>18</v>
      </c>
      <c r="B529" s="12" t="s">
        <v>797</v>
      </c>
      <c r="C529" s="13">
        <v>1179222</v>
      </c>
      <c r="D529" s="14" t="s">
        <v>799</v>
      </c>
      <c r="E529" s="15">
        <v>5365</v>
      </c>
      <c r="F529" s="15">
        <f t="shared" si="22"/>
        <v>53650</v>
      </c>
      <c r="G529" s="15">
        <v>22419.600000000002</v>
      </c>
      <c r="H529" s="15">
        <f t="shared" si="23"/>
        <v>224196.00000000003</v>
      </c>
      <c r="I529" s="16" t="str">
        <f>IFERROR(VLOOKUP($C529,[1]dados_2023!$C$3:$H$357,4,0),"-")</f>
        <v>-</v>
      </c>
      <c r="J529" s="16" t="str">
        <f>IFERROR(VLOOKUP($C529,[1]dados_2023!$C$3:$H$357,6,0),"-")</f>
        <v>-</v>
      </c>
    </row>
    <row r="530" spans="1:10" ht="18" customHeight="1" x14ac:dyDescent="0.3">
      <c r="A530" s="11">
        <v>18</v>
      </c>
      <c r="B530" s="12" t="s">
        <v>800</v>
      </c>
      <c r="C530" s="13">
        <v>1176401</v>
      </c>
      <c r="D530" s="14" t="s">
        <v>801</v>
      </c>
      <c r="E530" s="15">
        <v>18894.800000000003</v>
      </c>
      <c r="F530" s="15">
        <f t="shared" si="22"/>
        <v>188948.00000000003</v>
      </c>
      <c r="G530" s="15">
        <v>75706.399999999994</v>
      </c>
      <c r="H530" s="15">
        <f t="shared" si="23"/>
        <v>757064</v>
      </c>
      <c r="I530" s="16" t="str">
        <f>IFERROR(VLOOKUP($C530,[1]dados_2023!$C$3:$H$357,4,0),"-")</f>
        <v>-</v>
      </c>
      <c r="J530" s="16" t="str">
        <f>IFERROR(VLOOKUP($C530,[1]dados_2023!$C$3:$H$357,6,0),"-")</f>
        <v>-</v>
      </c>
    </row>
    <row r="531" spans="1:10" ht="18" customHeight="1" x14ac:dyDescent="0.3">
      <c r="A531" s="11">
        <v>18</v>
      </c>
      <c r="B531" s="12" t="s">
        <v>802</v>
      </c>
      <c r="C531" s="13">
        <v>1178251</v>
      </c>
      <c r="D531" s="14" t="s">
        <v>803</v>
      </c>
      <c r="E531" s="15">
        <v>1770</v>
      </c>
      <c r="F531" s="15">
        <f t="shared" si="22"/>
        <v>17700</v>
      </c>
      <c r="G531" s="15">
        <v>7575.6</v>
      </c>
      <c r="H531" s="15">
        <f t="shared" si="23"/>
        <v>75756</v>
      </c>
      <c r="I531" s="16" t="str">
        <f>IFERROR(VLOOKUP($C531,[1]dados_2023!$C$3:$H$357,4,0),"-")</f>
        <v>-</v>
      </c>
      <c r="J531" s="16" t="str">
        <f>IFERROR(VLOOKUP($C531,[1]dados_2023!$C$3:$H$357,6,0),"-")</f>
        <v>-</v>
      </c>
    </row>
    <row r="532" spans="1:10" ht="18" customHeight="1" x14ac:dyDescent="0.3">
      <c r="A532" s="11">
        <v>18</v>
      </c>
      <c r="B532" s="12" t="s">
        <v>802</v>
      </c>
      <c r="C532" s="13">
        <v>1178078</v>
      </c>
      <c r="D532" s="14" t="s">
        <v>804</v>
      </c>
      <c r="E532" s="15">
        <v>13274</v>
      </c>
      <c r="F532" s="15">
        <f t="shared" si="22"/>
        <v>132740</v>
      </c>
      <c r="G532" s="15">
        <v>58683.6</v>
      </c>
      <c r="H532" s="15">
        <f t="shared" si="23"/>
        <v>586836</v>
      </c>
      <c r="I532" s="16" t="str">
        <f>IFERROR(VLOOKUP($C532,[1]dados_2023!$C$3:$H$357,4,0),"-")</f>
        <v>-</v>
      </c>
      <c r="J532" s="16" t="str">
        <f>IFERROR(VLOOKUP($C532,[1]dados_2023!$C$3:$H$357,6,0),"-")</f>
        <v>-</v>
      </c>
    </row>
    <row r="533" spans="1:10" ht="18" customHeight="1" x14ac:dyDescent="0.3">
      <c r="A533" s="11">
        <v>18</v>
      </c>
      <c r="B533" s="12" t="s">
        <v>805</v>
      </c>
      <c r="C533" s="13">
        <v>1133936</v>
      </c>
      <c r="D533" s="14" t="s">
        <v>806</v>
      </c>
      <c r="E533" s="15">
        <v>6105.8</v>
      </c>
      <c r="F533" s="15">
        <f t="shared" si="22"/>
        <v>61058</v>
      </c>
      <c r="G533" s="15">
        <v>20197</v>
      </c>
      <c r="H533" s="15">
        <f t="shared" si="23"/>
        <v>201970</v>
      </c>
      <c r="I533" s="16" t="str">
        <f>IFERROR(VLOOKUP($C533,[1]dados_2023!$C$3:$H$357,4,0),"-")</f>
        <v>-</v>
      </c>
      <c r="J533" s="16" t="str">
        <f>IFERROR(VLOOKUP($C533,[1]dados_2023!$C$3:$H$357,6,0),"-")</f>
        <v>-</v>
      </c>
    </row>
    <row r="534" spans="1:10" ht="18" customHeight="1" x14ac:dyDescent="0.3">
      <c r="A534" s="11">
        <v>18</v>
      </c>
      <c r="B534" s="12" t="s">
        <v>807</v>
      </c>
      <c r="C534" s="13">
        <v>1179315</v>
      </c>
      <c r="D534" s="14" t="s">
        <v>808</v>
      </c>
      <c r="E534" s="15">
        <v>7309.4</v>
      </c>
      <c r="F534" s="15">
        <f t="shared" si="22"/>
        <v>73094</v>
      </c>
      <c r="G534" s="15">
        <v>33554.800000000003</v>
      </c>
      <c r="H534" s="15">
        <f t="shared" si="23"/>
        <v>335548</v>
      </c>
      <c r="I534" s="16" t="str">
        <f>IFERROR(VLOOKUP($C534,[1]dados_2023!$C$3:$H$357,4,0),"-")</f>
        <v>-</v>
      </c>
      <c r="J534" s="16" t="str">
        <f>IFERROR(VLOOKUP($C534,[1]dados_2023!$C$3:$H$357,6,0),"-")</f>
        <v>-</v>
      </c>
    </row>
    <row r="535" spans="1:10" ht="18" customHeight="1" x14ac:dyDescent="0.3">
      <c r="A535" s="11">
        <v>18</v>
      </c>
      <c r="B535" s="12" t="s">
        <v>807</v>
      </c>
      <c r="C535" s="13">
        <v>1143494</v>
      </c>
      <c r="D535" s="14" t="s">
        <v>809</v>
      </c>
      <c r="E535" s="15">
        <v>6097.6</v>
      </c>
      <c r="F535" s="15">
        <f t="shared" si="22"/>
        <v>60976</v>
      </c>
      <c r="G535" s="15">
        <v>27101.200000000001</v>
      </c>
      <c r="H535" s="15">
        <f t="shared" si="23"/>
        <v>271012</v>
      </c>
      <c r="I535" s="16" t="str">
        <f>IFERROR(VLOOKUP($C535,[1]dados_2023!$C$3:$H$357,4,0),"-")</f>
        <v>-</v>
      </c>
      <c r="J535" s="16" t="str">
        <f>IFERROR(VLOOKUP($C535,[1]dados_2023!$C$3:$H$357,6,0),"-")</f>
        <v>-</v>
      </c>
    </row>
    <row r="536" spans="1:10" ht="18" customHeight="1" x14ac:dyDescent="0.3">
      <c r="A536" s="11">
        <v>18</v>
      </c>
      <c r="B536" s="12" t="s">
        <v>810</v>
      </c>
      <c r="C536" s="13">
        <v>1108141</v>
      </c>
      <c r="D536" s="14" t="s">
        <v>811</v>
      </c>
      <c r="E536" s="15">
        <v>4208.6000000000004</v>
      </c>
      <c r="F536" s="15">
        <f t="shared" si="22"/>
        <v>42086</v>
      </c>
      <c r="G536" s="15">
        <v>18633.600000000002</v>
      </c>
      <c r="H536" s="15">
        <f t="shared" si="23"/>
        <v>186336.00000000003</v>
      </c>
      <c r="I536" s="16" t="str">
        <f>IFERROR(VLOOKUP($C536,[1]dados_2023!$C$3:$H$357,4,0),"-")</f>
        <v>-</v>
      </c>
      <c r="J536" s="16" t="str">
        <f>IFERROR(VLOOKUP($C536,[1]dados_2023!$C$3:$H$357,6,0),"-")</f>
        <v>-</v>
      </c>
    </row>
    <row r="537" spans="1:10" ht="18" customHeight="1" x14ac:dyDescent="0.3">
      <c r="A537" s="11">
        <v>18</v>
      </c>
      <c r="B537" s="12" t="s">
        <v>812</v>
      </c>
      <c r="C537" s="13">
        <v>1178259</v>
      </c>
      <c r="D537" s="14" t="s">
        <v>813</v>
      </c>
      <c r="E537" s="15">
        <v>3572.7999999999997</v>
      </c>
      <c r="F537" s="15">
        <f t="shared" si="22"/>
        <v>35728</v>
      </c>
      <c r="G537" s="15">
        <v>13981.2</v>
      </c>
      <c r="H537" s="15">
        <f t="shared" si="23"/>
        <v>139812</v>
      </c>
      <c r="I537" s="16" t="str">
        <f>IFERROR(VLOOKUP($C537,[1]dados_2023!$C$3:$H$357,4,0),"-")</f>
        <v>-</v>
      </c>
      <c r="J537" s="16" t="str">
        <f>IFERROR(VLOOKUP($C537,[1]dados_2023!$C$3:$H$357,6,0),"-")</f>
        <v>-</v>
      </c>
    </row>
    <row r="538" spans="1:10" ht="18" customHeight="1" x14ac:dyDescent="0.3">
      <c r="A538" s="11">
        <v>18</v>
      </c>
      <c r="B538" s="12" t="s">
        <v>812</v>
      </c>
      <c r="C538" s="13">
        <v>1115229</v>
      </c>
      <c r="D538" s="14" t="s">
        <v>814</v>
      </c>
      <c r="E538" s="15">
        <v>23985.000000000004</v>
      </c>
      <c r="F538" s="15">
        <f t="shared" si="22"/>
        <v>239850.00000000003</v>
      </c>
      <c r="G538" s="15">
        <v>74123.600000000006</v>
      </c>
      <c r="H538" s="15">
        <f t="shared" si="23"/>
        <v>741236</v>
      </c>
      <c r="I538" s="16" t="str">
        <f>IFERROR(VLOOKUP($C538,[1]dados_2023!$C$3:$H$357,4,0),"-")</f>
        <v>-</v>
      </c>
      <c r="J538" s="16" t="str">
        <f>IFERROR(VLOOKUP($C538,[1]dados_2023!$C$3:$H$357,6,0),"-")</f>
        <v>-</v>
      </c>
    </row>
    <row r="539" spans="1:10" ht="18" customHeight="1" x14ac:dyDescent="0.3">
      <c r="A539" s="11">
        <v>18</v>
      </c>
      <c r="B539" s="12" t="s">
        <v>815</v>
      </c>
      <c r="C539" s="13">
        <v>1160186</v>
      </c>
      <c r="D539" s="14" t="s">
        <v>816</v>
      </c>
      <c r="E539" s="15">
        <v>6379.2000000000007</v>
      </c>
      <c r="F539" s="15">
        <f t="shared" si="22"/>
        <v>63792.000000000007</v>
      </c>
      <c r="G539" s="15">
        <v>20143</v>
      </c>
      <c r="H539" s="15">
        <f t="shared" si="23"/>
        <v>201430</v>
      </c>
      <c r="I539" s="16" t="str">
        <f>IFERROR(VLOOKUP($C539,[1]dados_2023!$C$3:$H$357,4,0),"-")</f>
        <v>-</v>
      </c>
      <c r="J539" s="16" t="str">
        <f>IFERROR(VLOOKUP($C539,[1]dados_2023!$C$3:$H$357,6,0),"-")</f>
        <v>-</v>
      </c>
    </row>
    <row r="540" spans="1:10" ht="18" customHeight="1" x14ac:dyDescent="0.3">
      <c r="A540" s="11">
        <v>18</v>
      </c>
      <c r="B540" s="12" t="s">
        <v>817</v>
      </c>
      <c r="C540" s="13">
        <v>1108222</v>
      </c>
      <c r="D540" s="14" t="s">
        <v>818</v>
      </c>
      <c r="E540" s="15">
        <v>3504.4</v>
      </c>
      <c r="F540" s="15">
        <f t="shared" si="22"/>
        <v>35044</v>
      </c>
      <c r="G540" s="15">
        <v>13487.2</v>
      </c>
      <c r="H540" s="15">
        <f t="shared" si="23"/>
        <v>134872</v>
      </c>
      <c r="I540" s="16" t="str">
        <f>IFERROR(VLOOKUP($C540,[1]dados_2023!$C$3:$H$357,4,0),"-")</f>
        <v>-</v>
      </c>
      <c r="J540" s="16" t="str">
        <f>IFERROR(VLOOKUP($C540,[1]dados_2023!$C$3:$H$357,6,0),"-")</f>
        <v>-</v>
      </c>
    </row>
    <row r="541" spans="1:10" ht="18" customHeight="1" x14ac:dyDescent="0.3">
      <c r="A541" s="11">
        <v>18</v>
      </c>
      <c r="B541" s="12" t="s">
        <v>819</v>
      </c>
      <c r="C541" s="13">
        <v>1108320</v>
      </c>
      <c r="D541" s="14" t="s">
        <v>820</v>
      </c>
      <c r="E541" s="15">
        <v>11371.2</v>
      </c>
      <c r="F541" s="15">
        <f t="shared" si="22"/>
        <v>113712</v>
      </c>
      <c r="G541" s="15">
        <v>50080.4</v>
      </c>
      <c r="H541" s="15">
        <f t="shared" si="23"/>
        <v>500804</v>
      </c>
      <c r="I541" s="16" t="str">
        <f>IFERROR(VLOOKUP($C541,[1]dados_2023!$C$3:$H$357,4,0),"-")</f>
        <v>-</v>
      </c>
      <c r="J541" s="16" t="str">
        <f>IFERROR(VLOOKUP($C541,[1]dados_2023!$C$3:$H$357,6,0),"-")</f>
        <v>-</v>
      </c>
    </row>
    <row r="542" spans="1:10" ht="18" customHeight="1" x14ac:dyDescent="0.3">
      <c r="A542" s="11">
        <v>18</v>
      </c>
      <c r="B542" s="12" t="s">
        <v>819</v>
      </c>
      <c r="C542" s="13">
        <v>1108311</v>
      </c>
      <c r="D542" s="14" t="s">
        <v>821</v>
      </c>
      <c r="E542" s="15">
        <v>3745</v>
      </c>
      <c r="F542" s="15">
        <f t="shared" si="22"/>
        <v>37450</v>
      </c>
      <c r="G542" s="15">
        <v>16666.400000000001</v>
      </c>
      <c r="H542" s="15">
        <f t="shared" si="23"/>
        <v>166664</v>
      </c>
      <c r="I542" s="16" t="str">
        <f>IFERROR(VLOOKUP($C542,[1]dados_2023!$C$3:$H$357,4,0),"-")</f>
        <v>-</v>
      </c>
      <c r="J542" s="16" t="str">
        <f>IFERROR(VLOOKUP($C542,[1]dados_2023!$C$3:$H$357,6,0),"-")</f>
        <v>-</v>
      </c>
    </row>
    <row r="543" spans="1:10" ht="18" customHeight="1" x14ac:dyDescent="0.3">
      <c r="A543" s="11">
        <v>18</v>
      </c>
      <c r="B543" s="12" t="s">
        <v>822</v>
      </c>
      <c r="C543" s="13">
        <v>1108273</v>
      </c>
      <c r="D543" s="14" t="s">
        <v>823</v>
      </c>
      <c r="E543" s="15">
        <v>7192.2</v>
      </c>
      <c r="F543" s="15">
        <f t="shared" si="22"/>
        <v>71922</v>
      </c>
      <c r="G543" s="15">
        <v>30956.2</v>
      </c>
      <c r="H543" s="15">
        <f t="shared" si="23"/>
        <v>309562</v>
      </c>
      <c r="I543" s="16" t="str">
        <f>IFERROR(VLOOKUP($C543,[1]dados_2023!$C$3:$H$357,4,0),"-")</f>
        <v>-</v>
      </c>
      <c r="J543" s="16" t="str">
        <f>IFERROR(VLOOKUP($C543,[1]dados_2023!$C$3:$H$357,6,0),"-")</f>
        <v>-</v>
      </c>
    </row>
    <row r="544" spans="1:10" ht="18" customHeight="1" x14ac:dyDescent="0.3">
      <c r="A544" s="11">
        <v>19</v>
      </c>
      <c r="B544" s="12" t="s">
        <v>824</v>
      </c>
      <c r="C544" s="13">
        <v>1105320</v>
      </c>
      <c r="D544" s="14" t="s">
        <v>825</v>
      </c>
      <c r="E544" s="15">
        <v>6539.2</v>
      </c>
      <c r="F544" s="15">
        <f t="shared" ref="F544:F546" si="24">E544*10+I544</f>
        <v>88630</v>
      </c>
      <c r="G544" s="15">
        <v>27937.599999999999</v>
      </c>
      <c r="H544" s="15">
        <f>G544*10+J544</f>
        <v>333598</v>
      </c>
      <c r="I544" s="16">
        <f>IFERROR(VLOOKUP($C544,[1]dados_2023!$C$3:$H$357,4,0),"-")</f>
        <v>23238</v>
      </c>
      <c r="J544" s="16">
        <f>IFERROR(VLOOKUP($C544,[1]dados_2023!$C$3:$H$357,6,0),"-")</f>
        <v>54222</v>
      </c>
    </row>
    <row r="545" spans="1:10" ht="18" customHeight="1" x14ac:dyDescent="0.3">
      <c r="A545" s="11">
        <v>19</v>
      </c>
      <c r="B545" s="12" t="s">
        <v>826</v>
      </c>
      <c r="C545" s="13">
        <v>1105436</v>
      </c>
      <c r="D545" s="14" t="s">
        <v>827</v>
      </c>
      <c r="E545" s="15">
        <v>16167.8</v>
      </c>
      <c r="F545" s="15">
        <f t="shared" si="24"/>
        <v>190793</v>
      </c>
      <c r="G545" s="15">
        <v>62656</v>
      </c>
      <c r="H545" s="15">
        <f>G545*10+J545</f>
        <v>694495</v>
      </c>
      <c r="I545" s="16">
        <f>IFERROR(VLOOKUP($C545,[1]dados_2023!$C$3:$H$357,4,0),"-")</f>
        <v>29115</v>
      </c>
      <c r="J545" s="16">
        <f>IFERROR(VLOOKUP($C545,[1]dados_2023!$C$3:$H$357,6,0),"-")</f>
        <v>67935</v>
      </c>
    </row>
    <row r="546" spans="1:10" ht="18" customHeight="1" x14ac:dyDescent="0.3">
      <c r="A546" s="11">
        <v>19</v>
      </c>
      <c r="B546" s="12" t="s">
        <v>828</v>
      </c>
      <c r="C546" s="13">
        <v>1105584</v>
      </c>
      <c r="D546" s="14" t="s">
        <v>829</v>
      </c>
      <c r="E546" s="15">
        <v>7273.4</v>
      </c>
      <c r="F546" s="15">
        <f t="shared" si="24"/>
        <v>94268</v>
      </c>
      <c r="G546" s="15">
        <v>25741.200000000001</v>
      </c>
      <c r="H546" s="15">
        <f>G546*10+J546</f>
        <v>307658</v>
      </c>
      <c r="I546" s="16">
        <f>IFERROR(VLOOKUP($C546,[1]dados_2023!$C$3:$H$357,4,0),"-")</f>
        <v>21534</v>
      </c>
      <c r="J546" s="16">
        <f>IFERROR(VLOOKUP($C546,[1]dados_2023!$C$3:$H$357,6,0),"-")</f>
        <v>50246</v>
      </c>
    </row>
    <row r="547" spans="1:10" ht="18" customHeight="1" x14ac:dyDescent="0.3">
      <c r="A547" s="11">
        <v>19</v>
      </c>
      <c r="B547" s="12" t="s">
        <v>830</v>
      </c>
      <c r="C547" s="13">
        <v>1105460</v>
      </c>
      <c r="D547" s="14" t="s">
        <v>831</v>
      </c>
      <c r="E547" s="15">
        <v>4091.8</v>
      </c>
      <c r="F547" s="15">
        <f t="shared" si="22"/>
        <v>40918</v>
      </c>
      <c r="G547" s="15">
        <v>15308.600000000002</v>
      </c>
      <c r="H547" s="15">
        <f t="shared" si="23"/>
        <v>153086.00000000003</v>
      </c>
      <c r="I547" s="16" t="str">
        <f>IFERROR(VLOOKUP($C547,[1]dados_2023!$C$3:$H$357,4,0),"-")</f>
        <v>-</v>
      </c>
      <c r="J547" s="16" t="str">
        <f>IFERROR(VLOOKUP($C547,[1]dados_2023!$C$3:$H$357,6,0),"-")</f>
        <v>-</v>
      </c>
    </row>
    <row r="548" spans="1:10" ht="18" customHeight="1" x14ac:dyDescent="0.3">
      <c r="A548" s="11">
        <v>19</v>
      </c>
      <c r="B548" s="12" t="s">
        <v>832</v>
      </c>
      <c r="C548" s="13">
        <v>1105568</v>
      </c>
      <c r="D548" s="14" t="s">
        <v>833</v>
      </c>
      <c r="E548" s="15">
        <v>10709.4</v>
      </c>
      <c r="F548" s="15">
        <f t="shared" ref="F548:F571" si="25">E548*10+I548</f>
        <v>156144</v>
      </c>
      <c r="G548" s="15">
        <v>44011.8</v>
      </c>
      <c r="H548" s="15">
        <f t="shared" ref="H548:H571" si="26">G548*10+J548</f>
        <v>554568</v>
      </c>
      <c r="I548" s="16">
        <f>IFERROR(VLOOKUP($C548,[1]dados_2023!$C$3:$H$357,4,0),"-")</f>
        <v>49050</v>
      </c>
      <c r="J548" s="16">
        <f>IFERROR(VLOOKUP($C548,[1]dados_2023!$C$3:$H$357,6,0),"-")</f>
        <v>114450</v>
      </c>
    </row>
    <row r="549" spans="1:10" ht="18" customHeight="1" x14ac:dyDescent="0.3">
      <c r="A549" s="11">
        <v>19</v>
      </c>
      <c r="B549" s="12" t="s">
        <v>834</v>
      </c>
      <c r="C549" s="13">
        <v>1105266</v>
      </c>
      <c r="D549" s="14" t="s">
        <v>835</v>
      </c>
      <c r="E549" s="15">
        <v>22301.200000000001</v>
      </c>
      <c r="F549" s="15">
        <f t="shared" si="25"/>
        <v>285811</v>
      </c>
      <c r="G549" s="15">
        <v>81522.600000000006</v>
      </c>
      <c r="H549" s="15">
        <f t="shared" si="26"/>
        <v>961757</v>
      </c>
      <c r="I549" s="16">
        <f>IFERROR(VLOOKUP($C549,[1]dados_2023!$C$3:$H$357,4,0),"-")</f>
        <v>62799</v>
      </c>
      <c r="J549" s="16">
        <f>IFERROR(VLOOKUP($C549,[1]dados_2023!$C$3:$H$357,6,0),"-")</f>
        <v>146531</v>
      </c>
    </row>
    <row r="550" spans="1:10" ht="18" customHeight="1" x14ac:dyDescent="0.3">
      <c r="A550" s="11">
        <v>19</v>
      </c>
      <c r="B550" s="12" t="s">
        <v>836</v>
      </c>
      <c r="C550" s="13">
        <v>1105169</v>
      </c>
      <c r="D550" s="14" t="s">
        <v>837</v>
      </c>
      <c r="E550" s="15">
        <v>16899.600000000002</v>
      </c>
      <c r="F550" s="15">
        <f t="shared" si="25"/>
        <v>203505.00000000003</v>
      </c>
      <c r="G550" s="15">
        <v>55328</v>
      </c>
      <c r="H550" s="15">
        <f t="shared" si="26"/>
        <v>633801</v>
      </c>
      <c r="I550" s="16">
        <f>IFERROR(VLOOKUP($C550,[1]dados_2023!$C$3:$H$357,4,0),"-")</f>
        <v>34509</v>
      </c>
      <c r="J550" s="16">
        <f>IFERROR(VLOOKUP($C550,[1]dados_2023!$C$3:$H$357,6,0),"-")</f>
        <v>80521</v>
      </c>
    </row>
    <row r="551" spans="1:10" ht="18" customHeight="1" x14ac:dyDescent="0.3">
      <c r="A551" s="11">
        <v>19</v>
      </c>
      <c r="B551" s="12" t="s">
        <v>836</v>
      </c>
      <c r="C551" s="13">
        <v>1105100</v>
      </c>
      <c r="D551" s="14" t="s">
        <v>838</v>
      </c>
      <c r="E551" s="15">
        <v>3898.8</v>
      </c>
      <c r="F551" s="15">
        <f t="shared" si="25"/>
        <v>59730</v>
      </c>
      <c r="G551" s="15">
        <v>17826.400000000001</v>
      </c>
      <c r="H551" s="15">
        <f t="shared" si="26"/>
        <v>226662</v>
      </c>
      <c r="I551" s="16">
        <f>IFERROR(VLOOKUP($C551,[1]dados_2023!$C$3:$H$357,4,0),"-")</f>
        <v>20742</v>
      </c>
      <c r="J551" s="16">
        <f>IFERROR(VLOOKUP($C551,[1]dados_2023!$C$3:$H$357,6,0),"-")</f>
        <v>48398</v>
      </c>
    </row>
    <row r="552" spans="1:10" ht="18" customHeight="1" x14ac:dyDescent="0.3">
      <c r="A552" s="11">
        <v>19</v>
      </c>
      <c r="B552" s="12" t="s">
        <v>839</v>
      </c>
      <c r="C552" s="13">
        <v>1142994</v>
      </c>
      <c r="D552" s="14" t="s">
        <v>840</v>
      </c>
      <c r="E552" s="15">
        <v>3209</v>
      </c>
      <c r="F552" s="15">
        <f t="shared" si="25"/>
        <v>47708</v>
      </c>
      <c r="G552" s="15">
        <v>12707.000000000004</v>
      </c>
      <c r="H552" s="15">
        <f t="shared" si="26"/>
        <v>163512.00000000003</v>
      </c>
      <c r="I552" s="16">
        <f>IFERROR(VLOOKUP($C552,[1]dados_2023!$C$3:$H$357,4,0),"-")</f>
        <v>15618</v>
      </c>
      <c r="J552" s="16">
        <f>IFERROR(VLOOKUP($C552,[1]dados_2023!$C$3:$H$357,6,0),"-")</f>
        <v>36442</v>
      </c>
    </row>
    <row r="553" spans="1:10" ht="18" customHeight="1" x14ac:dyDescent="0.3">
      <c r="A553" s="11">
        <v>19</v>
      </c>
      <c r="B553" s="12" t="s">
        <v>839</v>
      </c>
      <c r="C553" s="13">
        <v>1160607</v>
      </c>
      <c r="D553" s="14" t="s">
        <v>841</v>
      </c>
      <c r="E553" s="15">
        <v>3619</v>
      </c>
      <c r="F553" s="15">
        <f t="shared" si="25"/>
        <v>52672</v>
      </c>
      <c r="G553" s="15">
        <v>16722.400000000001</v>
      </c>
      <c r="H553" s="15">
        <f t="shared" si="26"/>
        <v>205682</v>
      </c>
      <c r="I553" s="16">
        <f>IFERROR(VLOOKUP($C553,[1]dados_2023!$C$3:$H$357,4,0),"-")</f>
        <v>16482</v>
      </c>
      <c r="J553" s="16">
        <f>IFERROR(VLOOKUP($C553,[1]dados_2023!$C$3:$H$357,6,0),"-")</f>
        <v>38458</v>
      </c>
    </row>
    <row r="554" spans="1:10" ht="18" customHeight="1" x14ac:dyDescent="0.3">
      <c r="A554" s="11">
        <v>19</v>
      </c>
      <c r="B554" s="12" t="s">
        <v>839</v>
      </c>
      <c r="C554" s="13">
        <v>1105797</v>
      </c>
      <c r="D554" s="14" t="s">
        <v>842</v>
      </c>
      <c r="E554" s="15">
        <v>10330</v>
      </c>
      <c r="F554" s="15">
        <f t="shared" si="25"/>
        <v>145015</v>
      </c>
      <c r="G554" s="15">
        <v>44212.400000000009</v>
      </c>
      <c r="H554" s="15">
        <f t="shared" si="26"/>
        <v>539459.00000000012</v>
      </c>
      <c r="I554" s="16">
        <f>IFERROR(VLOOKUP($C554,[1]dados_2023!$C$3:$H$357,4,0),"-")</f>
        <v>41715</v>
      </c>
      <c r="J554" s="16">
        <f>IFERROR(VLOOKUP($C554,[1]dados_2023!$C$3:$H$357,6,0),"-")</f>
        <v>97335</v>
      </c>
    </row>
    <row r="555" spans="1:10" ht="18" customHeight="1" x14ac:dyDescent="0.3">
      <c r="A555" s="11">
        <v>19</v>
      </c>
      <c r="B555" s="12" t="s">
        <v>839</v>
      </c>
      <c r="C555" s="13">
        <v>1105975</v>
      </c>
      <c r="D555" s="14" t="s">
        <v>843</v>
      </c>
      <c r="E555" s="15">
        <v>16860</v>
      </c>
      <c r="F555" s="15">
        <f t="shared" si="25"/>
        <v>243444</v>
      </c>
      <c r="G555" s="15">
        <v>72160.800000000003</v>
      </c>
      <c r="H555" s="15">
        <f t="shared" si="26"/>
        <v>896244</v>
      </c>
      <c r="I555" s="16">
        <f>IFERROR(VLOOKUP($C555,[1]dados_2023!$C$3:$H$357,4,0),"-")</f>
        <v>74844</v>
      </c>
      <c r="J555" s="16">
        <f>IFERROR(VLOOKUP($C555,[1]dados_2023!$C$3:$H$357,6,0),"-")</f>
        <v>174636</v>
      </c>
    </row>
    <row r="556" spans="1:10" ht="18" customHeight="1" x14ac:dyDescent="0.3">
      <c r="A556" s="11">
        <v>19</v>
      </c>
      <c r="B556" s="12" t="s">
        <v>839</v>
      </c>
      <c r="C556" s="13">
        <v>1105754</v>
      </c>
      <c r="D556" s="14" t="s">
        <v>844</v>
      </c>
      <c r="E556" s="15">
        <v>31096.2</v>
      </c>
      <c r="F556" s="15">
        <f t="shared" si="25"/>
        <v>450633</v>
      </c>
      <c r="G556" s="15">
        <v>131831.79999999999</v>
      </c>
      <c r="H556" s="15">
        <f t="shared" si="26"/>
        <v>1644217</v>
      </c>
      <c r="I556" s="16">
        <f>IFERROR(VLOOKUP($C556,[1]dados_2023!$C$3:$H$357,4,0),"-")</f>
        <v>139671</v>
      </c>
      <c r="J556" s="16">
        <f>IFERROR(VLOOKUP($C556,[1]dados_2023!$C$3:$H$357,6,0),"-")</f>
        <v>325899</v>
      </c>
    </row>
    <row r="557" spans="1:10" ht="18" customHeight="1" x14ac:dyDescent="0.3">
      <c r="A557" s="11">
        <v>19</v>
      </c>
      <c r="B557" s="12" t="s">
        <v>839</v>
      </c>
      <c r="C557" s="13">
        <v>1163894</v>
      </c>
      <c r="D557" s="14" t="s">
        <v>845</v>
      </c>
      <c r="E557" s="15">
        <v>5730</v>
      </c>
      <c r="F557" s="15">
        <f t="shared" si="25"/>
        <v>80958</v>
      </c>
      <c r="G557" s="15">
        <v>24524.400000000001</v>
      </c>
      <c r="H557" s="15">
        <f t="shared" si="26"/>
        <v>300446</v>
      </c>
      <c r="I557" s="16">
        <f>IFERROR(VLOOKUP($C557,[1]dados_2023!$C$3:$H$357,4,0),"-")</f>
        <v>23658</v>
      </c>
      <c r="J557" s="16">
        <f>IFERROR(VLOOKUP($C557,[1]dados_2023!$C$3:$H$357,6,0),"-")</f>
        <v>55202</v>
      </c>
    </row>
    <row r="558" spans="1:10" ht="18" customHeight="1" x14ac:dyDescent="0.3">
      <c r="A558" s="11">
        <v>19</v>
      </c>
      <c r="B558" s="12" t="s">
        <v>839</v>
      </c>
      <c r="C558" s="13">
        <v>1105878</v>
      </c>
      <c r="D558" s="14" t="s">
        <v>846</v>
      </c>
      <c r="E558" s="15">
        <v>10527.4</v>
      </c>
      <c r="F558" s="15">
        <f t="shared" si="25"/>
        <v>153127</v>
      </c>
      <c r="G558" s="15">
        <v>45967.199999999997</v>
      </c>
      <c r="H558" s="15">
        <f t="shared" si="26"/>
        <v>571329</v>
      </c>
      <c r="I558" s="16">
        <f>IFERROR(VLOOKUP($C558,[1]dados_2023!$C$3:$H$357,4,0),"-")</f>
        <v>47853</v>
      </c>
      <c r="J558" s="16">
        <f>IFERROR(VLOOKUP($C558,[1]dados_2023!$C$3:$H$357,6,0),"-")</f>
        <v>111657</v>
      </c>
    </row>
    <row r="559" spans="1:10" ht="18" customHeight="1" x14ac:dyDescent="0.3">
      <c r="A559" s="11">
        <v>19</v>
      </c>
      <c r="B559" s="12" t="s">
        <v>839</v>
      </c>
      <c r="C559" s="13">
        <v>1176449</v>
      </c>
      <c r="D559" s="14" t="s">
        <v>847</v>
      </c>
      <c r="E559" s="15">
        <v>9250</v>
      </c>
      <c r="F559" s="15">
        <f t="shared" si="25"/>
        <v>137776</v>
      </c>
      <c r="G559" s="15">
        <v>39590.000000000007</v>
      </c>
      <c r="H559" s="15">
        <f t="shared" si="26"/>
        <v>501544.00000000006</v>
      </c>
      <c r="I559" s="16">
        <f>IFERROR(VLOOKUP($C559,[1]dados_2023!$C$3:$H$357,4,0),"-")</f>
        <v>45276</v>
      </c>
      <c r="J559" s="16">
        <f>IFERROR(VLOOKUP($C559,[1]dados_2023!$C$3:$H$357,6,0),"-")</f>
        <v>105644</v>
      </c>
    </row>
    <row r="560" spans="1:10" ht="18" customHeight="1" x14ac:dyDescent="0.3">
      <c r="A560" s="11">
        <v>19</v>
      </c>
      <c r="B560" s="12" t="s">
        <v>839</v>
      </c>
      <c r="C560" s="13">
        <v>1106645</v>
      </c>
      <c r="D560" s="14" t="s">
        <v>848</v>
      </c>
      <c r="E560" s="15">
        <v>22472.2</v>
      </c>
      <c r="F560" s="15">
        <f t="shared" si="25"/>
        <v>304717</v>
      </c>
      <c r="G560" s="15">
        <v>90356.400000000009</v>
      </c>
      <c r="H560" s="15">
        <f t="shared" si="26"/>
        <v>1090219</v>
      </c>
      <c r="I560" s="16">
        <f>IFERROR(VLOOKUP($C560,[1]dados_2023!$C$3:$H$357,4,0),"-")</f>
        <v>79995</v>
      </c>
      <c r="J560" s="16">
        <f>IFERROR(VLOOKUP($C560,[1]dados_2023!$C$3:$H$357,6,0),"-")</f>
        <v>186655</v>
      </c>
    </row>
    <row r="561" spans="1:10" ht="18" customHeight="1" x14ac:dyDescent="0.3">
      <c r="A561" s="11">
        <v>19</v>
      </c>
      <c r="B561" s="12" t="s">
        <v>839</v>
      </c>
      <c r="C561" s="13">
        <v>1106386</v>
      </c>
      <c r="D561" s="14" t="s">
        <v>849</v>
      </c>
      <c r="E561" s="15">
        <v>21507</v>
      </c>
      <c r="F561" s="15">
        <f t="shared" si="25"/>
        <v>268296</v>
      </c>
      <c r="G561" s="15">
        <v>85982</v>
      </c>
      <c r="H561" s="15">
        <f t="shared" si="26"/>
        <v>984014</v>
      </c>
      <c r="I561" s="16">
        <f>IFERROR(VLOOKUP($C561,[1]dados_2023!$C$3:$H$357,4,0),"-")</f>
        <v>53226</v>
      </c>
      <c r="J561" s="16">
        <f>IFERROR(VLOOKUP($C561,[1]dados_2023!$C$3:$H$357,6,0),"-")</f>
        <v>124194</v>
      </c>
    </row>
    <row r="562" spans="1:10" ht="18" customHeight="1" x14ac:dyDescent="0.3">
      <c r="A562" s="11">
        <v>19</v>
      </c>
      <c r="B562" s="12" t="s">
        <v>839</v>
      </c>
      <c r="C562" s="13">
        <v>1178137</v>
      </c>
      <c r="D562" s="14" t="s">
        <v>850</v>
      </c>
      <c r="E562" s="15">
        <v>1520.8</v>
      </c>
      <c r="F562" s="15">
        <f t="shared" si="25"/>
        <v>21778</v>
      </c>
      <c r="G562" s="15">
        <v>6883.2000000000007</v>
      </c>
      <c r="H562" s="15">
        <f t="shared" si="26"/>
        <v>84162</v>
      </c>
      <c r="I562" s="16">
        <f>IFERROR(VLOOKUP($C562,[1]dados_2023!$C$3:$H$357,4,0),"-")</f>
        <v>6570</v>
      </c>
      <c r="J562" s="16">
        <f>IFERROR(VLOOKUP($C562,[1]dados_2023!$C$3:$H$357,6,0),"-")</f>
        <v>15330</v>
      </c>
    </row>
    <row r="563" spans="1:10" ht="18" customHeight="1" x14ac:dyDescent="0.3">
      <c r="A563" s="11">
        <v>19</v>
      </c>
      <c r="B563" s="12" t="s">
        <v>839</v>
      </c>
      <c r="C563" s="13">
        <v>1105932</v>
      </c>
      <c r="D563" s="14" t="s">
        <v>851</v>
      </c>
      <c r="E563" s="15">
        <v>2120</v>
      </c>
      <c r="F563" s="15">
        <f t="shared" si="25"/>
        <v>32279</v>
      </c>
      <c r="G563" s="15">
        <v>9073.6</v>
      </c>
      <c r="H563" s="15">
        <f t="shared" si="26"/>
        <v>116587</v>
      </c>
      <c r="I563" s="16">
        <f>IFERROR(VLOOKUP($C563,[1]dados_2023!$C$3:$H$357,4,0),"-")</f>
        <v>11079</v>
      </c>
      <c r="J563" s="16">
        <f>IFERROR(VLOOKUP($C563,[1]dados_2023!$C$3:$H$357,6,0),"-")</f>
        <v>25851</v>
      </c>
    </row>
    <row r="564" spans="1:10" ht="18" customHeight="1" x14ac:dyDescent="0.3">
      <c r="A564" s="11">
        <v>19</v>
      </c>
      <c r="B564" s="12" t="s">
        <v>839</v>
      </c>
      <c r="C564" s="13">
        <v>1106394</v>
      </c>
      <c r="D564" s="14" t="s">
        <v>852</v>
      </c>
      <c r="E564" s="15">
        <v>4650</v>
      </c>
      <c r="F564" s="15">
        <f t="shared" si="25"/>
        <v>65643</v>
      </c>
      <c r="G564" s="15">
        <v>20752.400000000001</v>
      </c>
      <c r="H564" s="15">
        <f t="shared" si="26"/>
        <v>252191</v>
      </c>
      <c r="I564" s="16">
        <f>IFERROR(VLOOKUP($C564,[1]dados_2023!$C$3:$H$357,4,0),"-")</f>
        <v>19143</v>
      </c>
      <c r="J564" s="16">
        <f>IFERROR(VLOOKUP($C564,[1]dados_2023!$C$3:$H$357,6,0),"-")</f>
        <v>44667</v>
      </c>
    </row>
    <row r="565" spans="1:10" ht="18" customHeight="1" x14ac:dyDescent="0.3">
      <c r="A565" s="11">
        <v>19</v>
      </c>
      <c r="B565" s="12" t="s">
        <v>839</v>
      </c>
      <c r="C565" s="13">
        <v>1106718</v>
      </c>
      <c r="D565" s="14" t="s">
        <v>853</v>
      </c>
      <c r="E565" s="15">
        <v>11251.6</v>
      </c>
      <c r="F565" s="15">
        <f t="shared" si="25"/>
        <v>173308</v>
      </c>
      <c r="G565" s="15">
        <v>50606</v>
      </c>
      <c r="H565" s="15">
        <f t="shared" si="26"/>
        <v>647908</v>
      </c>
      <c r="I565" s="16">
        <f>IFERROR(VLOOKUP($C565,[1]dados_2023!$C$3:$H$357,4,0),"-")</f>
        <v>60792</v>
      </c>
      <c r="J565" s="16">
        <f>IFERROR(VLOOKUP($C565,[1]dados_2023!$C$3:$H$357,6,0),"-")</f>
        <v>141848</v>
      </c>
    </row>
    <row r="566" spans="1:10" ht="18" customHeight="1" x14ac:dyDescent="0.3">
      <c r="A566" s="11">
        <v>19</v>
      </c>
      <c r="B566" s="12" t="s">
        <v>839</v>
      </c>
      <c r="C566" s="13">
        <v>1106211</v>
      </c>
      <c r="D566" s="14" t="s">
        <v>854</v>
      </c>
      <c r="E566" s="15">
        <v>8137.8</v>
      </c>
      <c r="F566" s="15">
        <f t="shared" si="25"/>
        <v>124446</v>
      </c>
      <c r="G566" s="15">
        <v>36352</v>
      </c>
      <c r="H566" s="15">
        <f t="shared" si="26"/>
        <v>464012</v>
      </c>
      <c r="I566" s="16">
        <f>IFERROR(VLOOKUP($C566,[1]dados_2023!$C$3:$H$357,4,0),"-")</f>
        <v>43068</v>
      </c>
      <c r="J566" s="16">
        <f>IFERROR(VLOOKUP($C566,[1]dados_2023!$C$3:$H$357,6,0),"-")</f>
        <v>100492</v>
      </c>
    </row>
    <row r="567" spans="1:10" ht="18" customHeight="1" x14ac:dyDescent="0.3">
      <c r="A567" s="11">
        <v>19</v>
      </c>
      <c r="B567" s="12" t="s">
        <v>839</v>
      </c>
      <c r="C567" s="13">
        <v>1178219</v>
      </c>
      <c r="D567" s="14" t="s">
        <v>855</v>
      </c>
      <c r="E567" s="15">
        <v>5348.4</v>
      </c>
      <c r="F567" s="15">
        <f t="shared" si="25"/>
        <v>76029</v>
      </c>
      <c r="G567" s="15">
        <v>21548.6</v>
      </c>
      <c r="H567" s="15">
        <f t="shared" si="26"/>
        <v>268091</v>
      </c>
      <c r="I567" s="16">
        <f>IFERROR(VLOOKUP($C567,[1]dados_2023!$C$3:$H$357,4,0),"-")</f>
        <v>22545</v>
      </c>
      <c r="J567" s="16">
        <f>IFERROR(VLOOKUP($C567,[1]dados_2023!$C$3:$H$357,6,0),"-")</f>
        <v>52605</v>
      </c>
    </row>
    <row r="568" spans="1:10" ht="18" customHeight="1" x14ac:dyDescent="0.3">
      <c r="A568" s="11">
        <v>19</v>
      </c>
      <c r="B568" s="12" t="s">
        <v>839</v>
      </c>
      <c r="C568" s="13">
        <v>1105886</v>
      </c>
      <c r="D568" s="14" t="s">
        <v>856</v>
      </c>
      <c r="E568" s="15">
        <v>9740.2000000000007</v>
      </c>
      <c r="F568" s="15">
        <f t="shared" si="25"/>
        <v>144262</v>
      </c>
      <c r="G568" s="15">
        <v>43057.200000000004</v>
      </c>
      <c r="H568" s="15">
        <f t="shared" si="26"/>
        <v>539912</v>
      </c>
      <c r="I568" s="16">
        <f>IFERROR(VLOOKUP($C568,[1]dados_2023!$C$3:$H$357,4,0),"-")</f>
        <v>46860</v>
      </c>
      <c r="J568" s="16">
        <f>IFERROR(VLOOKUP($C568,[1]dados_2023!$C$3:$H$357,6,0),"-")</f>
        <v>109340</v>
      </c>
    </row>
    <row r="569" spans="1:10" ht="18" customHeight="1" x14ac:dyDescent="0.3">
      <c r="A569" s="11">
        <v>19</v>
      </c>
      <c r="B569" s="12" t="s">
        <v>839</v>
      </c>
      <c r="C569" s="13">
        <v>1105916</v>
      </c>
      <c r="D569" s="14" t="s">
        <v>857</v>
      </c>
      <c r="E569" s="15">
        <v>26896</v>
      </c>
      <c r="F569" s="15">
        <f t="shared" si="25"/>
        <v>362863</v>
      </c>
      <c r="G569" s="15">
        <v>99832.4</v>
      </c>
      <c r="H569" s="15">
        <f t="shared" si="26"/>
        <v>1217431</v>
      </c>
      <c r="I569" s="16">
        <f>IFERROR(VLOOKUP($C569,[1]dados_2023!$C$3:$H$357,4,0),"-")</f>
        <v>93903</v>
      </c>
      <c r="J569" s="16">
        <f>IFERROR(VLOOKUP($C569,[1]dados_2023!$C$3:$H$357,6,0),"-")</f>
        <v>219107</v>
      </c>
    </row>
    <row r="570" spans="1:10" ht="18" customHeight="1" x14ac:dyDescent="0.3">
      <c r="A570" s="11">
        <v>19</v>
      </c>
      <c r="B570" s="12" t="s">
        <v>839</v>
      </c>
      <c r="C570" s="13">
        <v>1105940</v>
      </c>
      <c r="D570" s="14" t="s">
        <v>708</v>
      </c>
      <c r="E570" s="15">
        <v>7653.8</v>
      </c>
      <c r="F570" s="15">
        <f t="shared" si="25"/>
        <v>118520</v>
      </c>
      <c r="G570" s="15">
        <v>34535.600000000006</v>
      </c>
      <c r="H570" s="15">
        <f t="shared" si="26"/>
        <v>443314.00000000006</v>
      </c>
      <c r="I570" s="16">
        <f>IFERROR(VLOOKUP($C570,[1]dados_2023!$C$3:$H$357,4,0),"-")</f>
        <v>41982</v>
      </c>
      <c r="J570" s="16">
        <f>IFERROR(VLOOKUP($C570,[1]dados_2023!$C$3:$H$357,6,0),"-")</f>
        <v>97958</v>
      </c>
    </row>
    <row r="571" spans="1:10" ht="18" customHeight="1" x14ac:dyDescent="0.3">
      <c r="A571" s="11">
        <v>19</v>
      </c>
      <c r="B571" s="12" t="s">
        <v>839</v>
      </c>
      <c r="C571" s="13">
        <v>1106335</v>
      </c>
      <c r="D571" s="14" t="s">
        <v>858</v>
      </c>
      <c r="E571" s="15">
        <v>6021.4</v>
      </c>
      <c r="F571" s="15">
        <f t="shared" si="25"/>
        <v>88630</v>
      </c>
      <c r="G571" s="15">
        <v>24000.799999999999</v>
      </c>
      <c r="H571" s="15">
        <f t="shared" si="26"/>
        <v>306312</v>
      </c>
      <c r="I571" s="16">
        <f>IFERROR(VLOOKUP($C571,[1]dados_2023!$C$3:$H$357,4,0),"-")</f>
        <v>28416</v>
      </c>
      <c r="J571" s="16">
        <f>IFERROR(VLOOKUP($C571,[1]dados_2023!$C$3:$H$357,6,0),"-")</f>
        <v>66304</v>
      </c>
    </row>
    <row r="572" spans="1:10" ht="18" customHeight="1" x14ac:dyDescent="0.3">
      <c r="A572" s="11">
        <v>19</v>
      </c>
      <c r="B572" s="12" t="s">
        <v>839</v>
      </c>
      <c r="C572" s="13">
        <v>1106530</v>
      </c>
      <c r="D572" s="14" t="e">
        <v>#N/A</v>
      </c>
      <c r="E572" s="15">
        <v>12092.6</v>
      </c>
      <c r="F572" s="15">
        <f t="shared" si="22"/>
        <v>120926</v>
      </c>
      <c r="G572" s="15">
        <v>45994.200000000004</v>
      </c>
      <c r="H572" s="15">
        <f t="shared" si="23"/>
        <v>459942.00000000006</v>
      </c>
      <c r="I572" s="16" t="str">
        <f>IFERROR(VLOOKUP($C572,[1]dados_2023!$C$3:$H$357,4,0),"-")</f>
        <v>-</v>
      </c>
      <c r="J572" s="16" t="str">
        <f>IFERROR(VLOOKUP($C572,[1]dados_2023!$C$3:$H$357,6,0),"-")</f>
        <v>-</v>
      </c>
    </row>
    <row r="573" spans="1:10" ht="18" customHeight="1" x14ac:dyDescent="0.3">
      <c r="A573" s="11">
        <v>19</v>
      </c>
      <c r="B573" s="12" t="s">
        <v>839</v>
      </c>
      <c r="C573" s="13">
        <v>1106742</v>
      </c>
      <c r="D573" s="14" t="s">
        <v>557</v>
      </c>
      <c r="E573" s="15">
        <v>19038</v>
      </c>
      <c r="F573" s="15">
        <f t="shared" ref="F573:F593" si="27">E573*10+I573</f>
        <v>275991</v>
      </c>
      <c r="G573" s="15">
        <v>74411.400000000009</v>
      </c>
      <c r="H573" s="15">
        <f t="shared" ref="H573:H593" si="28">G573*10+J573</f>
        <v>943873.00000000012</v>
      </c>
      <c r="I573" s="16">
        <f>IFERROR(VLOOKUP($C573,[1]dados_2023!$C$3:$H$357,4,0),"-")</f>
        <v>85611</v>
      </c>
      <c r="J573" s="16">
        <f>IFERROR(VLOOKUP($C573,[1]dados_2023!$C$3:$H$357,6,0),"-")</f>
        <v>199759</v>
      </c>
    </row>
    <row r="574" spans="1:10" ht="18" customHeight="1" x14ac:dyDescent="0.3">
      <c r="A574" s="11">
        <v>19</v>
      </c>
      <c r="B574" s="12" t="s">
        <v>839</v>
      </c>
      <c r="C574" s="13">
        <v>1176448</v>
      </c>
      <c r="D574" s="14" t="s">
        <v>859</v>
      </c>
      <c r="E574" s="15">
        <v>3843.2</v>
      </c>
      <c r="F574" s="15">
        <f t="shared" si="27"/>
        <v>61163</v>
      </c>
      <c r="G574" s="15">
        <v>17095.2</v>
      </c>
      <c r="H574" s="15">
        <f t="shared" si="28"/>
        <v>223991</v>
      </c>
      <c r="I574" s="16">
        <f>IFERROR(VLOOKUP($C574,[1]dados_2023!$C$3:$H$357,4,0),"-")</f>
        <v>22731</v>
      </c>
      <c r="J574" s="16">
        <f>IFERROR(VLOOKUP($C574,[1]dados_2023!$C$3:$H$357,6,0),"-")</f>
        <v>53039</v>
      </c>
    </row>
    <row r="575" spans="1:10" ht="18" customHeight="1" x14ac:dyDescent="0.3">
      <c r="A575" s="11">
        <v>19</v>
      </c>
      <c r="B575" s="12" t="s">
        <v>839</v>
      </c>
      <c r="C575" s="13">
        <v>1106270</v>
      </c>
      <c r="D575" s="14" t="s">
        <v>860</v>
      </c>
      <c r="E575" s="15">
        <v>6550</v>
      </c>
      <c r="F575" s="15">
        <f t="shared" si="27"/>
        <v>93466</v>
      </c>
      <c r="G575" s="15">
        <v>28034</v>
      </c>
      <c r="H575" s="15">
        <f t="shared" si="28"/>
        <v>345594</v>
      </c>
      <c r="I575" s="16">
        <f>IFERROR(VLOOKUP($C575,[1]dados_2023!$C$3:$H$357,4,0),"-")</f>
        <v>27966</v>
      </c>
      <c r="J575" s="16">
        <f>IFERROR(VLOOKUP($C575,[1]dados_2023!$C$3:$H$357,6,0),"-")</f>
        <v>65254</v>
      </c>
    </row>
    <row r="576" spans="1:10" ht="18" customHeight="1" x14ac:dyDescent="0.3">
      <c r="A576" s="11">
        <v>19</v>
      </c>
      <c r="B576" s="12" t="s">
        <v>839</v>
      </c>
      <c r="C576" s="13">
        <v>1106297</v>
      </c>
      <c r="D576" s="14" t="s">
        <v>17</v>
      </c>
      <c r="E576" s="15">
        <v>7890.4</v>
      </c>
      <c r="F576" s="15">
        <f t="shared" si="27"/>
        <v>119581</v>
      </c>
      <c r="G576" s="15">
        <v>35233.600000000006</v>
      </c>
      <c r="H576" s="15">
        <f t="shared" si="28"/>
        <v>447249.00000000006</v>
      </c>
      <c r="I576" s="16">
        <f>IFERROR(VLOOKUP($C576,[1]dados_2023!$C$3:$H$357,4,0),"-")</f>
        <v>40677</v>
      </c>
      <c r="J576" s="16">
        <f>IFERROR(VLOOKUP($C576,[1]dados_2023!$C$3:$H$357,6,0),"-")</f>
        <v>94913</v>
      </c>
    </row>
    <row r="577" spans="1:10" ht="18" customHeight="1" x14ac:dyDescent="0.3">
      <c r="A577" s="11">
        <v>19</v>
      </c>
      <c r="B577" s="12" t="s">
        <v>839</v>
      </c>
      <c r="C577" s="13">
        <v>1106599</v>
      </c>
      <c r="D577" s="14" t="s">
        <v>861</v>
      </c>
      <c r="E577" s="15">
        <v>5650</v>
      </c>
      <c r="F577" s="15">
        <f t="shared" si="27"/>
        <v>76453</v>
      </c>
      <c r="G577" s="15">
        <v>24182.000000000004</v>
      </c>
      <c r="H577" s="15">
        <f t="shared" si="28"/>
        <v>288377</v>
      </c>
      <c r="I577" s="16">
        <f>IFERROR(VLOOKUP($C577,[1]dados_2023!$C$3:$H$357,4,0),"-")</f>
        <v>19953</v>
      </c>
      <c r="J577" s="16">
        <f>IFERROR(VLOOKUP($C577,[1]dados_2023!$C$3:$H$357,6,0),"-")</f>
        <v>46557</v>
      </c>
    </row>
    <row r="578" spans="1:10" ht="18" customHeight="1" x14ac:dyDescent="0.3">
      <c r="A578" s="11">
        <v>19</v>
      </c>
      <c r="B578" s="12" t="s">
        <v>839</v>
      </c>
      <c r="C578" s="13">
        <v>1106106</v>
      </c>
      <c r="D578" s="14" t="s">
        <v>862</v>
      </c>
      <c r="E578" s="15">
        <v>5081</v>
      </c>
      <c r="F578" s="15">
        <f t="shared" si="27"/>
        <v>68372</v>
      </c>
      <c r="G578" s="15">
        <v>23064.800000000003</v>
      </c>
      <c r="H578" s="15">
        <f t="shared" si="28"/>
        <v>271626</v>
      </c>
      <c r="I578" s="16">
        <f>IFERROR(VLOOKUP($C578,[1]dados_2023!$C$3:$H$357,4,0),"-")</f>
        <v>17562</v>
      </c>
      <c r="J578" s="16">
        <f>IFERROR(VLOOKUP($C578,[1]dados_2023!$C$3:$H$357,6,0),"-")</f>
        <v>40978</v>
      </c>
    </row>
    <row r="579" spans="1:10" ht="18" customHeight="1" x14ac:dyDescent="0.3">
      <c r="A579" s="11">
        <v>19</v>
      </c>
      <c r="B579" s="12" t="s">
        <v>839</v>
      </c>
      <c r="C579" s="13">
        <v>1106467</v>
      </c>
      <c r="D579" s="14" t="s">
        <v>863</v>
      </c>
      <c r="E579" s="15">
        <v>16032.6</v>
      </c>
      <c r="F579" s="15">
        <f t="shared" si="27"/>
        <v>221043</v>
      </c>
      <c r="G579" s="15">
        <v>59251.4</v>
      </c>
      <c r="H579" s="15">
        <f t="shared" si="28"/>
        <v>734187</v>
      </c>
      <c r="I579" s="16">
        <f>IFERROR(VLOOKUP($C579,[1]dados_2023!$C$3:$H$357,4,0),"-")</f>
        <v>60717</v>
      </c>
      <c r="J579" s="16">
        <f>IFERROR(VLOOKUP($C579,[1]dados_2023!$C$3:$H$357,6,0),"-")</f>
        <v>141673</v>
      </c>
    </row>
    <row r="580" spans="1:10" ht="18" customHeight="1" x14ac:dyDescent="0.3">
      <c r="A580" s="11">
        <v>19</v>
      </c>
      <c r="B580" s="12" t="s">
        <v>839</v>
      </c>
      <c r="C580" s="13">
        <v>1106491</v>
      </c>
      <c r="D580" s="14" t="s">
        <v>864</v>
      </c>
      <c r="E580" s="15">
        <v>13645.200000000003</v>
      </c>
      <c r="F580" s="15">
        <f t="shared" si="27"/>
        <v>158052.00000000003</v>
      </c>
      <c r="G580" s="15">
        <v>39142.800000000003</v>
      </c>
      <c r="H580" s="15">
        <f t="shared" si="28"/>
        <v>441828</v>
      </c>
      <c r="I580" s="16">
        <f>IFERROR(VLOOKUP($C580,[1]dados_2023!$C$3:$H$357,4,0),"-")</f>
        <v>21600</v>
      </c>
      <c r="J580" s="16">
        <f>IFERROR(VLOOKUP($C580,[1]dados_2023!$C$3:$H$357,6,0),"-")</f>
        <v>50400</v>
      </c>
    </row>
    <row r="581" spans="1:10" ht="18" customHeight="1" x14ac:dyDescent="0.3">
      <c r="A581" s="11">
        <v>19</v>
      </c>
      <c r="B581" s="12" t="s">
        <v>839</v>
      </c>
      <c r="C581" s="13">
        <v>1176068</v>
      </c>
      <c r="D581" s="14" t="s">
        <v>865</v>
      </c>
      <c r="E581" s="15">
        <v>9990.7999999999993</v>
      </c>
      <c r="F581" s="15">
        <f t="shared" si="27"/>
        <v>134969</v>
      </c>
      <c r="G581" s="15">
        <v>34283.800000000003</v>
      </c>
      <c r="H581" s="15">
        <f t="shared" si="28"/>
        <v>424647</v>
      </c>
      <c r="I581" s="16">
        <f>IFERROR(VLOOKUP($C581,[1]dados_2023!$C$3:$H$357,4,0),"-")</f>
        <v>35061</v>
      </c>
      <c r="J581" s="16">
        <f>IFERROR(VLOOKUP($C581,[1]dados_2023!$C$3:$H$357,6,0),"-")</f>
        <v>81809</v>
      </c>
    </row>
    <row r="582" spans="1:10" ht="18" customHeight="1" x14ac:dyDescent="0.3">
      <c r="A582" s="11">
        <v>19</v>
      </c>
      <c r="B582" s="12" t="s">
        <v>839</v>
      </c>
      <c r="C582" s="13">
        <v>1106289</v>
      </c>
      <c r="D582" s="14" t="s">
        <v>866</v>
      </c>
      <c r="E582" s="15">
        <v>11511</v>
      </c>
      <c r="F582" s="15">
        <f t="shared" si="27"/>
        <v>167748</v>
      </c>
      <c r="G582" s="15">
        <v>51010.400000000009</v>
      </c>
      <c r="H582" s="15">
        <f t="shared" si="28"/>
        <v>632926.00000000012</v>
      </c>
      <c r="I582" s="16">
        <f>IFERROR(VLOOKUP($C582,[1]dados_2023!$C$3:$H$357,4,0),"-")</f>
        <v>52638</v>
      </c>
      <c r="J582" s="16">
        <f>IFERROR(VLOOKUP($C582,[1]dados_2023!$C$3:$H$357,6,0),"-")</f>
        <v>122822</v>
      </c>
    </row>
    <row r="583" spans="1:10" ht="18" customHeight="1" x14ac:dyDescent="0.3">
      <c r="A583" s="11">
        <v>19</v>
      </c>
      <c r="B583" s="12" t="s">
        <v>839</v>
      </c>
      <c r="C583" s="13">
        <v>1106688</v>
      </c>
      <c r="D583" s="14" t="s">
        <v>867</v>
      </c>
      <c r="E583" s="15">
        <v>1430</v>
      </c>
      <c r="F583" s="15">
        <f t="shared" si="27"/>
        <v>26666</v>
      </c>
      <c r="G583" s="15">
        <v>6120.4000000000005</v>
      </c>
      <c r="H583" s="15">
        <f t="shared" si="28"/>
        <v>90058</v>
      </c>
      <c r="I583" s="16">
        <f>IFERROR(VLOOKUP($C583,[1]dados_2023!$C$3:$H$357,4,0),"-")</f>
        <v>12366</v>
      </c>
      <c r="J583" s="16">
        <f>IFERROR(VLOOKUP($C583,[1]dados_2023!$C$3:$H$357,6,0),"-")</f>
        <v>28854</v>
      </c>
    </row>
    <row r="584" spans="1:10" ht="18" customHeight="1" x14ac:dyDescent="0.3">
      <c r="A584" s="11">
        <v>19</v>
      </c>
      <c r="B584" s="12" t="s">
        <v>839</v>
      </c>
      <c r="C584" s="13">
        <v>1106564</v>
      </c>
      <c r="D584" s="14" t="s">
        <v>868</v>
      </c>
      <c r="E584" s="15">
        <v>15882.6</v>
      </c>
      <c r="F584" s="15">
        <f t="shared" si="27"/>
        <v>207408</v>
      </c>
      <c r="G584" s="15">
        <v>64700.800000000003</v>
      </c>
      <c r="H584" s="15">
        <f t="shared" si="28"/>
        <v>760366</v>
      </c>
      <c r="I584" s="16">
        <f>IFERROR(VLOOKUP($C584,[1]dados_2023!$C$3:$H$357,4,0),"-")</f>
        <v>48582</v>
      </c>
      <c r="J584" s="16">
        <f>IFERROR(VLOOKUP($C584,[1]dados_2023!$C$3:$H$357,6,0),"-")</f>
        <v>113358</v>
      </c>
    </row>
    <row r="585" spans="1:10" ht="18" customHeight="1" x14ac:dyDescent="0.3">
      <c r="A585" s="11">
        <v>19</v>
      </c>
      <c r="B585" s="12" t="s">
        <v>839</v>
      </c>
      <c r="C585" s="13">
        <v>1106637</v>
      </c>
      <c r="D585" s="14" t="s">
        <v>869</v>
      </c>
      <c r="E585" s="15">
        <v>3640</v>
      </c>
      <c r="F585" s="15">
        <f t="shared" si="27"/>
        <v>61054</v>
      </c>
      <c r="G585" s="15">
        <v>15579.2</v>
      </c>
      <c r="H585" s="15">
        <f t="shared" si="28"/>
        <v>213318</v>
      </c>
      <c r="I585" s="16">
        <f>IFERROR(VLOOKUP($C585,[1]dados_2023!$C$3:$H$357,4,0),"-")</f>
        <v>24654</v>
      </c>
      <c r="J585" s="16">
        <f>IFERROR(VLOOKUP($C585,[1]dados_2023!$C$3:$H$357,6,0),"-")</f>
        <v>57526</v>
      </c>
    </row>
    <row r="586" spans="1:10" ht="18" customHeight="1" x14ac:dyDescent="0.3">
      <c r="A586" s="11">
        <v>19</v>
      </c>
      <c r="B586" s="12" t="s">
        <v>839</v>
      </c>
      <c r="C586" s="13">
        <v>1106556</v>
      </c>
      <c r="D586" s="14" t="s">
        <v>870</v>
      </c>
      <c r="E586" s="15">
        <v>5300</v>
      </c>
      <c r="F586" s="15">
        <f t="shared" si="27"/>
        <v>75371</v>
      </c>
      <c r="G586" s="15">
        <v>22684</v>
      </c>
      <c r="H586" s="15">
        <f t="shared" si="28"/>
        <v>279039</v>
      </c>
      <c r="I586" s="16">
        <f>IFERROR(VLOOKUP($C586,[1]dados_2023!$C$3:$H$357,4,0),"-")</f>
        <v>22371</v>
      </c>
      <c r="J586" s="16">
        <f>IFERROR(VLOOKUP($C586,[1]dados_2023!$C$3:$H$357,6,0),"-")</f>
        <v>52199</v>
      </c>
    </row>
    <row r="587" spans="1:10" ht="18" customHeight="1" x14ac:dyDescent="0.3">
      <c r="A587" s="11">
        <v>19</v>
      </c>
      <c r="B587" s="12" t="s">
        <v>839</v>
      </c>
      <c r="C587" s="13">
        <v>1106220</v>
      </c>
      <c r="D587" s="14" t="s">
        <v>726</v>
      </c>
      <c r="E587" s="15">
        <v>10773.4</v>
      </c>
      <c r="F587" s="15">
        <f t="shared" si="27"/>
        <v>150913</v>
      </c>
      <c r="G587" s="15">
        <v>46850</v>
      </c>
      <c r="H587" s="15">
        <f t="shared" si="28"/>
        <v>569251</v>
      </c>
      <c r="I587" s="16">
        <f>IFERROR(VLOOKUP($C587,[1]dados_2023!$C$3:$H$357,4,0),"-")</f>
        <v>43179</v>
      </c>
      <c r="J587" s="16">
        <f>IFERROR(VLOOKUP($C587,[1]dados_2023!$C$3:$H$357,6,0),"-")</f>
        <v>100751</v>
      </c>
    </row>
    <row r="588" spans="1:10" ht="18" customHeight="1" x14ac:dyDescent="0.3">
      <c r="A588" s="11">
        <v>19</v>
      </c>
      <c r="B588" s="12" t="s">
        <v>839</v>
      </c>
      <c r="C588" s="13">
        <v>1142242</v>
      </c>
      <c r="D588" s="14" t="s">
        <v>871</v>
      </c>
      <c r="E588" s="15">
        <v>15003</v>
      </c>
      <c r="F588" s="15">
        <f t="shared" si="27"/>
        <v>212967</v>
      </c>
      <c r="G588" s="15">
        <v>55554.2</v>
      </c>
      <c r="H588" s="15">
        <f t="shared" si="28"/>
        <v>702395</v>
      </c>
      <c r="I588" s="16">
        <f>IFERROR(VLOOKUP($C588,[1]dados_2023!$C$3:$H$357,4,0),"-")</f>
        <v>62937</v>
      </c>
      <c r="J588" s="16">
        <f>IFERROR(VLOOKUP($C588,[1]dados_2023!$C$3:$H$357,6,0),"-")</f>
        <v>146853</v>
      </c>
    </row>
    <row r="589" spans="1:10" ht="18" customHeight="1" x14ac:dyDescent="0.3">
      <c r="A589" s="11">
        <v>19</v>
      </c>
      <c r="B589" s="12" t="s">
        <v>839</v>
      </c>
      <c r="C589" s="13">
        <v>1179770</v>
      </c>
      <c r="D589" s="14" t="s">
        <v>872</v>
      </c>
      <c r="E589" s="15">
        <v>17220.400000000001</v>
      </c>
      <c r="F589" s="15">
        <f t="shared" si="27"/>
        <v>186292</v>
      </c>
      <c r="G589" s="15">
        <v>52587.399999999994</v>
      </c>
      <c r="H589" s="15">
        <f t="shared" si="28"/>
        <v>558746</v>
      </c>
      <c r="I589" s="16">
        <f>IFERROR(VLOOKUP($C589,[1]dados_2023!$C$3:$H$357,4,0),"-")</f>
        <v>14088</v>
      </c>
      <c r="J589" s="16">
        <f>IFERROR(VLOOKUP($C589,[1]dados_2023!$C$3:$H$357,6,0),"-")</f>
        <v>32872</v>
      </c>
    </row>
    <row r="590" spans="1:10" ht="18" customHeight="1" x14ac:dyDescent="0.3">
      <c r="A590" s="11">
        <v>19</v>
      </c>
      <c r="B590" s="12" t="s">
        <v>839</v>
      </c>
      <c r="C590" s="13">
        <v>1106238</v>
      </c>
      <c r="D590" s="14" t="s">
        <v>873</v>
      </c>
      <c r="E590" s="15">
        <v>3834.0000000000009</v>
      </c>
      <c r="F590" s="15">
        <f t="shared" si="27"/>
        <v>52401.000000000007</v>
      </c>
      <c r="G590" s="15">
        <v>12220.4</v>
      </c>
      <c r="H590" s="15">
        <f t="shared" si="28"/>
        <v>155013</v>
      </c>
      <c r="I590" s="16">
        <f>IFERROR(VLOOKUP($C590,[1]dados_2023!$C$3:$H$357,4,0),"-")</f>
        <v>14061</v>
      </c>
      <c r="J590" s="16">
        <f>IFERROR(VLOOKUP($C590,[1]dados_2023!$C$3:$H$357,6,0),"-")</f>
        <v>32809</v>
      </c>
    </row>
    <row r="591" spans="1:10" ht="18" customHeight="1" x14ac:dyDescent="0.3">
      <c r="A591" s="11">
        <v>19</v>
      </c>
      <c r="B591" s="12" t="s">
        <v>839</v>
      </c>
      <c r="C591" s="13">
        <v>1106084</v>
      </c>
      <c r="D591" s="14" t="s">
        <v>874</v>
      </c>
      <c r="E591" s="15">
        <v>8406.7999999999993</v>
      </c>
      <c r="F591" s="15">
        <f t="shared" si="27"/>
        <v>136409</v>
      </c>
      <c r="G591" s="15">
        <v>38311.199999999997</v>
      </c>
      <c r="H591" s="15">
        <f t="shared" si="28"/>
        <v>505241</v>
      </c>
      <c r="I591" s="16">
        <f>IFERROR(VLOOKUP($C591,[1]dados_2023!$C$3:$H$357,4,0),"-")</f>
        <v>52341</v>
      </c>
      <c r="J591" s="16">
        <f>IFERROR(VLOOKUP($C591,[1]dados_2023!$C$3:$H$357,6,0),"-")</f>
        <v>122129</v>
      </c>
    </row>
    <row r="592" spans="1:10" ht="18" customHeight="1" x14ac:dyDescent="0.3">
      <c r="A592" s="11">
        <v>19</v>
      </c>
      <c r="B592" s="12" t="s">
        <v>839</v>
      </c>
      <c r="C592" s="13">
        <v>1176423</v>
      </c>
      <c r="D592" s="14" t="s">
        <v>245</v>
      </c>
      <c r="E592" s="15">
        <v>22673</v>
      </c>
      <c r="F592" s="15">
        <f t="shared" si="27"/>
        <v>313766</v>
      </c>
      <c r="G592" s="15">
        <v>79729.200000000012</v>
      </c>
      <c r="H592" s="15">
        <f t="shared" si="28"/>
        <v>1000376.0000000001</v>
      </c>
      <c r="I592" s="16">
        <f>IFERROR(VLOOKUP($C592,[1]dados_2023!$C$3:$H$357,4,0),"-")</f>
        <v>87036</v>
      </c>
      <c r="J592" s="16">
        <f>IFERROR(VLOOKUP($C592,[1]dados_2023!$C$3:$H$357,6,0),"-")</f>
        <v>203084</v>
      </c>
    </row>
    <row r="593" spans="1:10" ht="18" customHeight="1" x14ac:dyDescent="0.3">
      <c r="A593" s="11">
        <v>19</v>
      </c>
      <c r="B593" s="12" t="s">
        <v>839</v>
      </c>
      <c r="C593" s="13">
        <v>1105959</v>
      </c>
      <c r="D593" s="14" t="s">
        <v>875</v>
      </c>
      <c r="E593" s="15">
        <v>34465.400000000009</v>
      </c>
      <c r="F593" s="15">
        <f t="shared" si="27"/>
        <v>440537.00000000012</v>
      </c>
      <c r="G593" s="15">
        <v>109961.40000000001</v>
      </c>
      <c r="H593" s="15">
        <f t="shared" si="28"/>
        <v>1323341</v>
      </c>
      <c r="I593" s="16">
        <f>IFERROR(VLOOKUP($C593,[1]dados_2023!$C$3:$H$357,4,0),"-")</f>
        <v>95883</v>
      </c>
      <c r="J593" s="16">
        <f>IFERROR(VLOOKUP($C593,[1]dados_2023!$C$3:$H$357,6,0),"-")</f>
        <v>223727</v>
      </c>
    </row>
    <row r="594" spans="1:10" ht="18" customHeight="1" x14ac:dyDescent="0.3">
      <c r="A594" s="29">
        <v>19</v>
      </c>
      <c r="B594" s="30" t="s">
        <v>839</v>
      </c>
      <c r="C594" s="29">
        <v>1179769</v>
      </c>
      <c r="D594" s="14" t="s">
        <v>876</v>
      </c>
      <c r="E594" s="15">
        <v>11613.800000000001</v>
      </c>
      <c r="F594" s="15">
        <f t="shared" ref="F594:F657" si="29">E594*10</f>
        <v>116138.00000000001</v>
      </c>
      <c r="G594" s="15">
        <v>44409</v>
      </c>
      <c r="H594" s="15">
        <f t="shared" ref="H594:H657" si="30">G594*10</f>
        <v>444090</v>
      </c>
      <c r="I594" s="16" t="str">
        <f>IFERROR(VLOOKUP($C594,[1]dados_2023!$C$3:$H$357,4,0),"-")</f>
        <v>-</v>
      </c>
      <c r="J594" s="16" t="str">
        <f>IFERROR(VLOOKUP($C594,[1]dados_2023!$C$3:$H$357,6,0),"-")</f>
        <v>-</v>
      </c>
    </row>
    <row r="595" spans="1:10" ht="18" customHeight="1" x14ac:dyDescent="0.3">
      <c r="A595" s="11">
        <v>19</v>
      </c>
      <c r="B595" s="12" t="s">
        <v>877</v>
      </c>
      <c r="C595" s="13">
        <v>1160380</v>
      </c>
      <c r="D595" s="14" t="s">
        <v>878</v>
      </c>
      <c r="E595" s="15">
        <v>11341.6</v>
      </c>
      <c r="F595" s="15">
        <f t="shared" ref="F595:F605" si="31">E595*10+I595</f>
        <v>138154</v>
      </c>
      <c r="G595" s="15">
        <v>35625.600000000006</v>
      </c>
      <c r="H595" s="15">
        <f t="shared" ref="H595:H605" si="32">G595*10+J595</f>
        <v>413978.00000000006</v>
      </c>
      <c r="I595" s="16">
        <f>IFERROR(VLOOKUP($C595,[1]dados_2023!$C$3:$H$357,4,0),"-")</f>
        <v>24738</v>
      </c>
      <c r="J595" s="16">
        <f>IFERROR(VLOOKUP($C595,[1]dados_2023!$C$3:$H$357,6,0),"-")</f>
        <v>57722</v>
      </c>
    </row>
    <row r="596" spans="1:10" ht="18" customHeight="1" x14ac:dyDescent="0.3">
      <c r="A596" s="11">
        <v>19</v>
      </c>
      <c r="B596" s="12" t="s">
        <v>879</v>
      </c>
      <c r="C596" s="13">
        <v>1107129</v>
      </c>
      <c r="D596" s="14" t="s">
        <v>880</v>
      </c>
      <c r="E596" s="15">
        <v>15633.600000000002</v>
      </c>
      <c r="F596" s="15">
        <f t="shared" si="31"/>
        <v>214641.00000000003</v>
      </c>
      <c r="G596" s="15">
        <v>61352.200000000004</v>
      </c>
      <c r="H596" s="15">
        <f t="shared" si="32"/>
        <v>749567</v>
      </c>
      <c r="I596" s="16">
        <f>IFERROR(VLOOKUP($C596,[1]dados_2023!$C$3:$H$357,4,0),"-")</f>
        <v>58305</v>
      </c>
      <c r="J596" s="16">
        <f>IFERROR(VLOOKUP($C596,[1]dados_2023!$C$3:$H$357,6,0),"-")</f>
        <v>136045</v>
      </c>
    </row>
    <row r="597" spans="1:10" ht="18" customHeight="1" x14ac:dyDescent="0.3">
      <c r="A597" s="11">
        <v>19</v>
      </c>
      <c r="B597" s="12" t="s">
        <v>881</v>
      </c>
      <c r="C597" s="13">
        <v>1107382</v>
      </c>
      <c r="D597" s="14" t="s">
        <v>882</v>
      </c>
      <c r="E597" s="15">
        <v>7240</v>
      </c>
      <c r="F597" s="15">
        <f t="shared" si="31"/>
        <v>109513</v>
      </c>
      <c r="G597" s="15">
        <v>30987.200000000004</v>
      </c>
      <c r="H597" s="15">
        <f t="shared" si="32"/>
        <v>396469.00000000006</v>
      </c>
      <c r="I597" s="16">
        <f>IFERROR(VLOOKUP($C597,[1]dados_2023!$C$3:$H$357,4,0),"-")</f>
        <v>37113</v>
      </c>
      <c r="J597" s="16">
        <f>IFERROR(VLOOKUP($C597,[1]dados_2023!$C$3:$H$357,6,0),"-")</f>
        <v>86597</v>
      </c>
    </row>
    <row r="598" spans="1:10" ht="18" customHeight="1" x14ac:dyDescent="0.3">
      <c r="A598" s="11">
        <v>19</v>
      </c>
      <c r="B598" s="12" t="s">
        <v>881</v>
      </c>
      <c r="C598" s="13">
        <v>1107404</v>
      </c>
      <c r="D598" s="14" t="s">
        <v>883</v>
      </c>
      <c r="E598" s="15">
        <v>6028.8</v>
      </c>
      <c r="F598" s="15">
        <f t="shared" si="31"/>
        <v>94797</v>
      </c>
      <c r="G598" s="15">
        <v>27368</v>
      </c>
      <c r="H598" s="15">
        <f t="shared" si="32"/>
        <v>354201</v>
      </c>
      <c r="I598" s="16">
        <f>IFERROR(VLOOKUP($C598,[1]dados_2023!$C$3:$H$357,4,0),"-")</f>
        <v>34509</v>
      </c>
      <c r="J598" s="16">
        <f>IFERROR(VLOOKUP($C598,[1]dados_2023!$C$3:$H$357,6,0),"-")</f>
        <v>80521</v>
      </c>
    </row>
    <row r="599" spans="1:10" ht="18" customHeight="1" x14ac:dyDescent="0.3">
      <c r="A599" s="11">
        <v>19</v>
      </c>
      <c r="B599" s="12" t="s">
        <v>884</v>
      </c>
      <c r="C599" s="13">
        <v>1107420</v>
      </c>
      <c r="D599" s="14" t="s">
        <v>885</v>
      </c>
      <c r="E599" s="15">
        <v>5383.4</v>
      </c>
      <c r="F599" s="15">
        <f t="shared" si="31"/>
        <v>76565</v>
      </c>
      <c r="G599" s="15">
        <v>21715.600000000002</v>
      </c>
      <c r="H599" s="15">
        <f t="shared" si="32"/>
        <v>270195</v>
      </c>
      <c r="I599" s="16">
        <f>IFERROR(VLOOKUP($C599,[1]dados_2023!$C$3:$H$357,4,0),"-")</f>
        <v>22731</v>
      </c>
      <c r="J599" s="16">
        <f>IFERROR(VLOOKUP($C599,[1]dados_2023!$C$3:$H$357,6,0),"-")</f>
        <v>53039</v>
      </c>
    </row>
    <row r="600" spans="1:10" ht="18" customHeight="1" x14ac:dyDescent="0.3">
      <c r="A600" s="11">
        <v>19</v>
      </c>
      <c r="B600" s="12" t="s">
        <v>886</v>
      </c>
      <c r="C600" s="13">
        <v>1107501</v>
      </c>
      <c r="D600" s="14" t="s">
        <v>887</v>
      </c>
      <c r="E600" s="15">
        <v>21708.600000000002</v>
      </c>
      <c r="F600" s="15">
        <f t="shared" si="31"/>
        <v>306588</v>
      </c>
      <c r="G600" s="15">
        <v>89270.6</v>
      </c>
      <c r="H600" s="15">
        <f t="shared" si="32"/>
        <v>1101544</v>
      </c>
      <c r="I600" s="16">
        <f>IFERROR(VLOOKUP($C600,[1]dados_2023!$C$3:$H$357,4,0),"-")</f>
        <v>89502</v>
      </c>
      <c r="J600" s="16">
        <f>IFERROR(VLOOKUP($C600,[1]dados_2023!$C$3:$H$357,6,0),"-")</f>
        <v>208838</v>
      </c>
    </row>
    <row r="601" spans="1:10" ht="18" customHeight="1" x14ac:dyDescent="0.3">
      <c r="A601" s="11">
        <v>19</v>
      </c>
      <c r="B601" s="12" t="s">
        <v>886</v>
      </c>
      <c r="C601" s="13">
        <v>1107455</v>
      </c>
      <c r="D601" s="14" t="s">
        <v>888</v>
      </c>
      <c r="E601" s="15">
        <v>6338.4</v>
      </c>
      <c r="F601" s="15">
        <f t="shared" si="31"/>
        <v>97611</v>
      </c>
      <c r="G601" s="15">
        <v>25326.2</v>
      </c>
      <c r="H601" s="15">
        <f t="shared" si="32"/>
        <v>333125</v>
      </c>
      <c r="I601" s="16">
        <f>IFERROR(VLOOKUP($C601,[1]dados_2023!$C$3:$H$357,4,0),"-")</f>
        <v>34227</v>
      </c>
      <c r="J601" s="16">
        <f>IFERROR(VLOOKUP($C601,[1]dados_2023!$C$3:$H$357,6,0),"-")</f>
        <v>79863</v>
      </c>
    </row>
    <row r="602" spans="1:10" ht="18" customHeight="1" x14ac:dyDescent="0.3">
      <c r="A602" s="11">
        <v>19</v>
      </c>
      <c r="B602" s="12" t="s">
        <v>889</v>
      </c>
      <c r="C602" s="13">
        <v>1107536</v>
      </c>
      <c r="D602" s="14" t="s">
        <v>890</v>
      </c>
      <c r="E602" s="15">
        <v>11066.6</v>
      </c>
      <c r="F602" s="15">
        <f t="shared" si="31"/>
        <v>169019</v>
      </c>
      <c r="G602" s="15">
        <v>48553.8</v>
      </c>
      <c r="H602" s="15">
        <f t="shared" si="32"/>
        <v>621695</v>
      </c>
      <c r="I602" s="16">
        <f>IFERROR(VLOOKUP($C602,[1]dados_2023!$C$3:$H$357,4,0),"-")</f>
        <v>58353</v>
      </c>
      <c r="J602" s="16">
        <f>IFERROR(VLOOKUP($C602,[1]dados_2023!$C$3:$H$357,6,0),"-")</f>
        <v>136157</v>
      </c>
    </row>
    <row r="603" spans="1:10" ht="18" customHeight="1" x14ac:dyDescent="0.3">
      <c r="A603" s="11">
        <v>19</v>
      </c>
      <c r="B603" s="12" t="s">
        <v>891</v>
      </c>
      <c r="C603" s="13">
        <v>1107706</v>
      </c>
      <c r="D603" s="14" t="s">
        <v>892</v>
      </c>
      <c r="E603" s="15">
        <v>4477.2</v>
      </c>
      <c r="F603" s="15">
        <f t="shared" si="31"/>
        <v>68340</v>
      </c>
      <c r="G603" s="15">
        <v>17062.2</v>
      </c>
      <c r="H603" s="15">
        <f t="shared" si="32"/>
        <v>225614</v>
      </c>
      <c r="I603" s="16">
        <f>IFERROR(VLOOKUP($C603,[1]dados_2023!$C$3:$H$357,4,0),"-")</f>
        <v>23568</v>
      </c>
      <c r="J603" s="16">
        <f>IFERROR(VLOOKUP($C603,[1]dados_2023!$C$3:$H$357,6,0),"-")</f>
        <v>54992</v>
      </c>
    </row>
    <row r="604" spans="1:10" ht="18" customHeight="1" x14ac:dyDescent="0.3">
      <c r="A604" s="11">
        <v>19</v>
      </c>
      <c r="B604" s="12" t="s">
        <v>893</v>
      </c>
      <c r="C604" s="13">
        <v>1178202</v>
      </c>
      <c r="D604" s="14" t="s">
        <v>894</v>
      </c>
      <c r="E604" s="15">
        <v>2373.6</v>
      </c>
      <c r="F604" s="15">
        <f t="shared" si="31"/>
        <v>36924</v>
      </c>
      <c r="G604" s="15">
        <v>10567.2</v>
      </c>
      <c r="H604" s="15">
        <f t="shared" si="32"/>
        <v>136444</v>
      </c>
      <c r="I604" s="16">
        <f>IFERROR(VLOOKUP($C604,[1]dados_2023!$C$3:$H$357,4,0),"-")</f>
        <v>13188</v>
      </c>
      <c r="J604" s="16">
        <f>IFERROR(VLOOKUP($C604,[1]dados_2023!$C$3:$H$357,6,0),"-")</f>
        <v>30772</v>
      </c>
    </row>
    <row r="605" spans="1:10" ht="18" customHeight="1" x14ac:dyDescent="0.3">
      <c r="A605" s="11">
        <v>19</v>
      </c>
      <c r="B605" s="12" t="s">
        <v>895</v>
      </c>
      <c r="C605" s="13">
        <v>1178047</v>
      </c>
      <c r="D605" s="14" t="s">
        <v>896</v>
      </c>
      <c r="E605" s="15">
        <v>4610.8</v>
      </c>
      <c r="F605" s="15">
        <f t="shared" si="31"/>
        <v>75493</v>
      </c>
      <c r="G605" s="15">
        <v>20533.600000000002</v>
      </c>
      <c r="H605" s="15">
        <f t="shared" si="32"/>
        <v>273901</v>
      </c>
      <c r="I605" s="16">
        <f>IFERROR(VLOOKUP($C605,[1]dados_2023!$C$3:$H$357,4,0),"-")</f>
        <v>29385</v>
      </c>
      <c r="J605" s="16">
        <f>IFERROR(VLOOKUP($C605,[1]dados_2023!$C$3:$H$357,6,0),"-")</f>
        <v>68565</v>
      </c>
    </row>
    <row r="606" spans="1:10" ht="18" customHeight="1" x14ac:dyDescent="0.3">
      <c r="A606" s="11">
        <v>19</v>
      </c>
      <c r="B606" s="12" t="s">
        <v>839</v>
      </c>
      <c r="C606" s="13">
        <v>1178163</v>
      </c>
      <c r="D606" s="14" t="s">
        <v>897</v>
      </c>
      <c r="E606" s="23">
        <v>2502.4</v>
      </c>
      <c r="F606" s="15">
        <f t="shared" si="29"/>
        <v>25024</v>
      </c>
      <c r="G606" s="23">
        <v>7249.6</v>
      </c>
      <c r="H606" s="15">
        <f t="shared" si="30"/>
        <v>72496</v>
      </c>
      <c r="I606" s="16" t="str">
        <f>IFERROR(VLOOKUP($C606,[1]dados_2023!$C$3:$H$357,4,0),"-")</f>
        <v>-</v>
      </c>
      <c r="J606" s="16" t="str">
        <f>IFERROR(VLOOKUP($C606,[1]dados_2023!$C$3:$H$357,6,0),"-")</f>
        <v>-</v>
      </c>
    </row>
    <row r="607" spans="1:10" ht="18" customHeight="1" x14ac:dyDescent="0.3">
      <c r="A607" s="11">
        <v>19</v>
      </c>
      <c r="B607" s="12" t="s">
        <v>839</v>
      </c>
      <c r="C607" s="13">
        <v>1178101</v>
      </c>
      <c r="D607" s="14" t="s">
        <v>898</v>
      </c>
      <c r="E607" s="23">
        <v>6650.4000000000005</v>
      </c>
      <c r="F607" s="15">
        <f t="shared" si="29"/>
        <v>66504</v>
      </c>
      <c r="G607" s="23">
        <v>19266.600000000002</v>
      </c>
      <c r="H607" s="15">
        <f t="shared" si="30"/>
        <v>192666.00000000003</v>
      </c>
      <c r="I607" s="16" t="str">
        <f>IFERROR(VLOOKUP($C607,[1]dados_2023!$C$3:$H$357,4,0),"-")</f>
        <v>-</v>
      </c>
      <c r="J607" s="16" t="str">
        <f>IFERROR(VLOOKUP($C607,[1]dados_2023!$C$3:$H$357,6,0),"-")</f>
        <v>-</v>
      </c>
    </row>
    <row r="608" spans="1:10" ht="18" customHeight="1" x14ac:dyDescent="0.3">
      <c r="A608" s="11">
        <v>20</v>
      </c>
      <c r="B608" s="12" t="s">
        <v>899</v>
      </c>
      <c r="C608" s="13">
        <v>1124813</v>
      </c>
      <c r="D608" s="14" t="s">
        <v>900</v>
      </c>
      <c r="E608" s="15">
        <v>7075.8</v>
      </c>
      <c r="F608" s="15">
        <f t="shared" si="29"/>
        <v>70758</v>
      </c>
      <c r="G608" s="15">
        <v>30017.800000000003</v>
      </c>
      <c r="H608" s="15">
        <f t="shared" si="30"/>
        <v>300178</v>
      </c>
      <c r="I608" s="16" t="str">
        <f>IFERROR(VLOOKUP($C608,[1]dados_2023!$C$3:$H$357,4,0),"-")</f>
        <v>-</v>
      </c>
      <c r="J608" s="16" t="str">
        <f>IFERROR(VLOOKUP($C608,[1]dados_2023!$C$3:$H$357,6,0),"-")</f>
        <v>-</v>
      </c>
    </row>
    <row r="609" spans="1:10" ht="18" customHeight="1" x14ac:dyDescent="0.3">
      <c r="A609" s="11">
        <v>20</v>
      </c>
      <c r="B609" s="12" t="s">
        <v>899</v>
      </c>
      <c r="C609" s="13">
        <v>1178405</v>
      </c>
      <c r="D609" s="14" t="s">
        <v>901</v>
      </c>
      <c r="E609" s="15">
        <v>3085.2000000000003</v>
      </c>
      <c r="F609" s="15">
        <f t="shared" si="29"/>
        <v>30852.000000000004</v>
      </c>
      <c r="G609" s="15">
        <v>9414.8000000000011</v>
      </c>
      <c r="H609" s="15">
        <f t="shared" si="30"/>
        <v>94148.000000000015</v>
      </c>
      <c r="I609" s="16" t="str">
        <f>IFERROR(VLOOKUP($C609,[1]dados_2023!$C$3:$H$357,4,0),"-")</f>
        <v>-</v>
      </c>
      <c r="J609" s="16" t="str">
        <f>IFERROR(VLOOKUP($C609,[1]dados_2023!$C$3:$H$357,6,0),"-")</f>
        <v>-</v>
      </c>
    </row>
    <row r="610" spans="1:10" ht="18" customHeight="1" x14ac:dyDescent="0.3">
      <c r="A610" s="11">
        <v>20</v>
      </c>
      <c r="B610" s="12" t="s">
        <v>902</v>
      </c>
      <c r="C610" s="13">
        <v>1123671</v>
      </c>
      <c r="D610" s="14" t="s">
        <v>903</v>
      </c>
      <c r="E610" s="15">
        <v>6891.6</v>
      </c>
      <c r="F610" s="15">
        <f t="shared" si="29"/>
        <v>68916</v>
      </c>
      <c r="G610" s="15">
        <v>24903.200000000004</v>
      </c>
      <c r="H610" s="15">
        <f t="shared" si="30"/>
        <v>249032.00000000006</v>
      </c>
      <c r="I610" s="16" t="str">
        <f>IFERROR(VLOOKUP($C610,[1]dados_2023!$C$3:$H$357,4,0),"-")</f>
        <v>-</v>
      </c>
      <c r="J610" s="16" t="str">
        <f>IFERROR(VLOOKUP($C610,[1]dados_2023!$C$3:$H$357,6,0),"-")</f>
        <v>-</v>
      </c>
    </row>
    <row r="611" spans="1:10" ht="18" customHeight="1" x14ac:dyDescent="0.3">
      <c r="A611" s="11">
        <v>20</v>
      </c>
      <c r="B611" s="12" t="s">
        <v>904</v>
      </c>
      <c r="C611" s="13">
        <v>1124856</v>
      </c>
      <c r="D611" s="14" t="s">
        <v>905</v>
      </c>
      <c r="E611" s="15">
        <v>17982.400000000001</v>
      </c>
      <c r="F611" s="15">
        <f t="shared" si="29"/>
        <v>179824</v>
      </c>
      <c r="G611" s="15">
        <v>63007.200000000004</v>
      </c>
      <c r="H611" s="15">
        <f t="shared" si="30"/>
        <v>630072</v>
      </c>
      <c r="I611" s="16" t="str">
        <f>IFERROR(VLOOKUP($C611,[1]dados_2023!$C$3:$H$357,4,0),"-")</f>
        <v>-</v>
      </c>
      <c r="J611" s="16" t="str">
        <f>IFERROR(VLOOKUP($C611,[1]dados_2023!$C$3:$H$357,6,0),"-")</f>
        <v>-</v>
      </c>
    </row>
    <row r="612" spans="1:10" ht="18" customHeight="1" x14ac:dyDescent="0.3">
      <c r="A612" s="11">
        <v>20</v>
      </c>
      <c r="B612" s="12" t="s">
        <v>904</v>
      </c>
      <c r="C612" s="13">
        <v>1179113</v>
      </c>
      <c r="D612" s="14" t="s">
        <v>906</v>
      </c>
      <c r="E612" s="15">
        <v>4214.4000000000005</v>
      </c>
      <c r="F612" s="15">
        <f t="shared" si="29"/>
        <v>42144.000000000007</v>
      </c>
      <c r="G612" s="15">
        <v>14494.2</v>
      </c>
      <c r="H612" s="15">
        <f t="shared" si="30"/>
        <v>144942</v>
      </c>
      <c r="I612" s="16" t="str">
        <f>IFERROR(VLOOKUP($C612,[1]dados_2023!$C$3:$H$357,4,0),"-")</f>
        <v>-</v>
      </c>
      <c r="J612" s="16" t="str">
        <f>IFERROR(VLOOKUP($C612,[1]dados_2023!$C$3:$H$357,6,0),"-")</f>
        <v>-</v>
      </c>
    </row>
    <row r="613" spans="1:10" ht="18" customHeight="1" x14ac:dyDescent="0.3">
      <c r="A613" s="11">
        <v>20</v>
      </c>
      <c r="B613" s="12" t="s">
        <v>904</v>
      </c>
      <c r="C613" s="13">
        <v>1178404</v>
      </c>
      <c r="D613" s="14" t="s">
        <v>907</v>
      </c>
      <c r="E613" s="15">
        <v>3269.8</v>
      </c>
      <c r="F613" s="15">
        <f t="shared" si="29"/>
        <v>32698</v>
      </c>
      <c r="G613" s="15">
        <v>13210.800000000001</v>
      </c>
      <c r="H613" s="15">
        <f t="shared" si="30"/>
        <v>132108</v>
      </c>
      <c r="I613" s="16" t="str">
        <f>IFERROR(VLOOKUP($C613,[1]dados_2023!$C$3:$H$357,4,0),"-")</f>
        <v>-</v>
      </c>
      <c r="J613" s="16" t="str">
        <f>IFERROR(VLOOKUP($C613,[1]dados_2023!$C$3:$H$357,6,0),"-")</f>
        <v>-</v>
      </c>
    </row>
    <row r="614" spans="1:10" ht="18" customHeight="1" x14ac:dyDescent="0.3">
      <c r="A614" s="11">
        <v>20</v>
      </c>
      <c r="B614" s="12" t="s">
        <v>908</v>
      </c>
      <c r="C614" s="13">
        <v>1124872</v>
      </c>
      <c r="D614" s="14" t="s">
        <v>909</v>
      </c>
      <c r="E614" s="15">
        <v>11641.400000000001</v>
      </c>
      <c r="F614" s="15">
        <f t="shared" si="29"/>
        <v>116414.00000000001</v>
      </c>
      <c r="G614" s="15">
        <v>46545</v>
      </c>
      <c r="H614" s="15">
        <f t="shared" si="30"/>
        <v>465450</v>
      </c>
      <c r="I614" s="16" t="str">
        <f>IFERROR(VLOOKUP($C614,[1]dados_2023!$C$3:$H$357,4,0),"-")</f>
        <v>-</v>
      </c>
      <c r="J614" s="16" t="str">
        <f>IFERROR(VLOOKUP($C614,[1]dados_2023!$C$3:$H$357,6,0),"-")</f>
        <v>-</v>
      </c>
    </row>
    <row r="615" spans="1:10" ht="18" customHeight="1" x14ac:dyDescent="0.3">
      <c r="A615" s="11">
        <v>20</v>
      </c>
      <c r="B615" s="12" t="s">
        <v>910</v>
      </c>
      <c r="C615" s="13">
        <v>1165706</v>
      </c>
      <c r="D615" s="14" t="s">
        <v>911</v>
      </c>
      <c r="E615" s="15">
        <v>8627.2000000000007</v>
      </c>
      <c r="F615" s="15">
        <f t="shared" si="29"/>
        <v>86272</v>
      </c>
      <c r="G615" s="15">
        <v>28008</v>
      </c>
      <c r="H615" s="15">
        <f t="shared" si="30"/>
        <v>280080</v>
      </c>
      <c r="I615" s="16" t="str">
        <f>IFERROR(VLOOKUP($C615,[1]dados_2023!$C$3:$H$357,4,0),"-")</f>
        <v>-</v>
      </c>
      <c r="J615" s="16" t="str">
        <f>IFERROR(VLOOKUP($C615,[1]dados_2023!$C$3:$H$357,6,0),"-")</f>
        <v>-</v>
      </c>
    </row>
    <row r="616" spans="1:10" ht="18" customHeight="1" x14ac:dyDescent="0.3">
      <c r="A616" s="11">
        <v>20</v>
      </c>
      <c r="B616" s="12" t="s">
        <v>912</v>
      </c>
      <c r="C616" s="13">
        <v>1165722</v>
      </c>
      <c r="D616" s="14" t="s">
        <v>913</v>
      </c>
      <c r="E616" s="15">
        <v>7894.6</v>
      </c>
      <c r="F616" s="15">
        <f t="shared" si="29"/>
        <v>78946</v>
      </c>
      <c r="G616" s="15">
        <v>28110.800000000003</v>
      </c>
      <c r="H616" s="15">
        <f t="shared" si="30"/>
        <v>281108</v>
      </c>
      <c r="I616" s="16" t="str">
        <f>IFERROR(VLOOKUP($C616,[1]dados_2023!$C$3:$H$357,4,0),"-")</f>
        <v>-</v>
      </c>
      <c r="J616" s="16" t="str">
        <f>IFERROR(VLOOKUP($C616,[1]dados_2023!$C$3:$H$357,6,0),"-")</f>
        <v>-</v>
      </c>
    </row>
    <row r="617" spans="1:10" ht="18" customHeight="1" x14ac:dyDescent="0.3">
      <c r="A617" s="11">
        <v>20</v>
      </c>
      <c r="B617" s="12" t="s">
        <v>914</v>
      </c>
      <c r="C617" s="13">
        <v>1178438</v>
      </c>
      <c r="D617" s="14" t="s">
        <v>915</v>
      </c>
      <c r="E617" s="15">
        <v>8319.2000000000007</v>
      </c>
      <c r="F617" s="15">
        <f t="shared" si="29"/>
        <v>83192</v>
      </c>
      <c r="G617" s="15">
        <v>33130.400000000001</v>
      </c>
      <c r="H617" s="15">
        <f t="shared" si="30"/>
        <v>331304</v>
      </c>
      <c r="I617" s="16" t="str">
        <f>IFERROR(VLOOKUP($C617,[1]dados_2023!$C$3:$H$357,4,0),"-")</f>
        <v>-</v>
      </c>
      <c r="J617" s="16" t="str">
        <f>IFERROR(VLOOKUP($C617,[1]dados_2023!$C$3:$H$357,6,0),"-")</f>
        <v>-</v>
      </c>
    </row>
    <row r="618" spans="1:10" ht="18" customHeight="1" x14ac:dyDescent="0.3">
      <c r="A618" s="11">
        <v>20</v>
      </c>
      <c r="B618" s="12" t="s">
        <v>914</v>
      </c>
      <c r="C618" s="13">
        <v>1179137</v>
      </c>
      <c r="D618" s="14" t="s">
        <v>916</v>
      </c>
      <c r="E618" s="15">
        <v>2558</v>
      </c>
      <c r="F618" s="15">
        <f t="shared" si="29"/>
        <v>25580</v>
      </c>
      <c r="G618" s="15">
        <v>9715.2000000000007</v>
      </c>
      <c r="H618" s="15">
        <f t="shared" si="30"/>
        <v>97152</v>
      </c>
      <c r="I618" s="16" t="str">
        <f>IFERROR(VLOOKUP($C618,[1]dados_2023!$C$3:$H$357,4,0),"-")</f>
        <v>-</v>
      </c>
      <c r="J618" s="16" t="str">
        <f>IFERROR(VLOOKUP($C618,[1]dados_2023!$C$3:$H$357,6,0),"-")</f>
        <v>-</v>
      </c>
    </row>
    <row r="619" spans="1:10" ht="18" customHeight="1" x14ac:dyDescent="0.3">
      <c r="A619" s="11">
        <v>20</v>
      </c>
      <c r="B619" s="12" t="s">
        <v>914</v>
      </c>
      <c r="C619" s="13">
        <v>1179136</v>
      </c>
      <c r="D619" s="14" t="s">
        <v>917</v>
      </c>
      <c r="E619" s="15">
        <v>2125.4</v>
      </c>
      <c r="F619" s="15">
        <f t="shared" si="29"/>
        <v>21254</v>
      </c>
      <c r="G619" s="15">
        <v>9004.4000000000015</v>
      </c>
      <c r="H619" s="15">
        <f t="shared" si="30"/>
        <v>90044.000000000015</v>
      </c>
      <c r="I619" s="16" t="str">
        <f>IFERROR(VLOOKUP($C619,[1]dados_2023!$C$3:$H$357,4,0),"-")</f>
        <v>-</v>
      </c>
      <c r="J619" s="16" t="str">
        <f>IFERROR(VLOOKUP($C619,[1]dados_2023!$C$3:$H$357,6,0),"-")</f>
        <v>-</v>
      </c>
    </row>
    <row r="620" spans="1:10" ht="18" customHeight="1" x14ac:dyDescent="0.3">
      <c r="A620" s="11">
        <v>20</v>
      </c>
      <c r="B620" s="12" t="s">
        <v>918</v>
      </c>
      <c r="C620" s="13">
        <v>1177071</v>
      </c>
      <c r="D620" s="14" t="s">
        <v>919</v>
      </c>
      <c r="E620" s="15">
        <v>3772.6000000000004</v>
      </c>
      <c r="F620" s="15">
        <f t="shared" si="29"/>
        <v>37726</v>
      </c>
      <c r="G620" s="15">
        <v>15365.4</v>
      </c>
      <c r="H620" s="15">
        <f t="shared" si="30"/>
        <v>153654</v>
      </c>
      <c r="I620" s="16" t="str">
        <f>IFERROR(VLOOKUP($C620,[1]dados_2023!$C$3:$H$357,4,0),"-")</f>
        <v>-</v>
      </c>
      <c r="J620" s="16" t="str">
        <f>IFERROR(VLOOKUP($C620,[1]dados_2023!$C$3:$H$357,6,0),"-")</f>
        <v>-</v>
      </c>
    </row>
    <row r="621" spans="1:10" ht="18" customHeight="1" x14ac:dyDescent="0.3">
      <c r="A621" s="11">
        <v>20</v>
      </c>
      <c r="B621" s="12" t="s">
        <v>920</v>
      </c>
      <c r="C621" s="13">
        <v>1128878</v>
      </c>
      <c r="D621" s="14" t="s">
        <v>921</v>
      </c>
      <c r="E621" s="15">
        <v>6834</v>
      </c>
      <c r="F621" s="15">
        <f t="shared" si="29"/>
        <v>68340</v>
      </c>
      <c r="G621" s="15">
        <v>26304.6</v>
      </c>
      <c r="H621" s="15">
        <f t="shared" si="30"/>
        <v>263046</v>
      </c>
      <c r="I621" s="16" t="str">
        <f>IFERROR(VLOOKUP($C621,[1]dados_2023!$C$3:$H$357,4,0),"-")</f>
        <v>-</v>
      </c>
      <c r="J621" s="16" t="str">
        <f>IFERROR(VLOOKUP($C621,[1]dados_2023!$C$3:$H$357,6,0),"-")</f>
        <v>-</v>
      </c>
    </row>
    <row r="622" spans="1:10" ht="18" customHeight="1" x14ac:dyDescent="0.3">
      <c r="A622" s="11">
        <v>20</v>
      </c>
      <c r="B622" s="12" t="s">
        <v>922</v>
      </c>
      <c r="C622" s="13">
        <v>1128924</v>
      </c>
      <c r="D622" s="14" t="s">
        <v>923</v>
      </c>
      <c r="E622" s="15">
        <v>3654.8</v>
      </c>
      <c r="F622" s="15">
        <f t="shared" si="29"/>
        <v>36548</v>
      </c>
      <c r="G622" s="15">
        <v>13631.600000000002</v>
      </c>
      <c r="H622" s="15">
        <f t="shared" si="30"/>
        <v>136316.00000000003</v>
      </c>
      <c r="I622" s="16" t="str">
        <f>IFERROR(VLOOKUP($C622,[1]dados_2023!$C$3:$H$357,4,0),"-")</f>
        <v>-</v>
      </c>
      <c r="J622" s="16" t="str">
        <f>IFERROR(VLOOKUP($C622,[1]dados_2023!$C$3:$H$357,6,0),"-")</f>
        <v>-</v>
      </c>
    </row>
    <row r="623" spans="1:10" ht="18" customHeight="1" x14ac:dyDescent="0.3">
      <c r="A623" s="11">
        <v>20</v>
      </c>
      <c r="B623" s="12" t="s">
        <v>924</v>
      </c>
      <c r="C623" s="13">
        <v>1179271</v>
      </c>
      <c r="D623" s="14" t="s">
        <v>925</v>
      </c>
      <c r="E623" s="15">
        <v>3067.6</v>
      </c>
      <c r="F623" s="15">
        <f t="shared" si="29"/>
        <v>30676</v>
      </c>
      <c r="G623" s="15">
        <v>14132.8</v>
      </c>
      <c r="H623" s="15">
        <f t="shared" si="30"/>
        <v>141328</v>
      </c>
      <c r="I623" s="16" t="str">
        <f>IFERROR(VLOOKUP($C623,[1]dados_2023!$C$3:$H$357,4,0),"-")</f>
        <v>-</v>
      </c>
      <c r="J623" s="16" t="str">
        <f>IFERROR(VLOOKUP($C623,[1]dados_2023!$C$3:$H$357,6,0),"-")</f>
        <v>-</v>
      </c>
    </row>
    <row r="624" spans="1:10" ht="18" customHeight="1" x14ac:dyDescent="0.3">
      <c r="A624" s="11">
        <v>20</v>
      </c>
      <c r="B624" s="12" t="s">
        <v>924</v>
      </c>
      <c r="C624" s="13">
        <v>1165277</v>
      </c>
      <c r="D624" s="14" t="s">
        <v>926</v>
      </c>
      <c r="E624" s="15">
        <v>6710.5999999999995</v>
      </c>
      <c r="F624" s="15">
        <f t="shared" si="29"/>
        <v>67106</v>
      </c>
      <c r="G624" s="15">
        <v>21594.600000000002</v>
      </c>
      <c r="H624" s="15">
        <f t="shared" si="30"/>
        <v>215946.00000000003</v>
      </c>
      <c r="I624" s="16" t="str">
        <f>IFERROR(VLOOKUP($C624,[1]dados_2023!$C$3:$H$357,4,0),"-")</f>
        <v>-</v>
      </c>
      <c r="J624" s="16" t="str">
        <f>IFERROR(VLOOKUP($C624,[1]dados_2023!$C$3:$H$357,6,0),"-")</f>
        <v>-</v>
      </c>
    </row>
    <row r="625" spans="1:10" ht="18" customHeight="1" x14ac:dyDescent="0.3">
      <c r="A625" s="11">
        <v>20</v>
      </c>
      <c r="B625" s="12" t="s">
        <v>927</v>
      </c>
      <c r="C625" s="13">
        <v>1178271</v>
      </c>
      <c r="D625" s="14" t="s">
        <v>297</v>
      </c>
      <c r="E625" s="15">
        <v>3258.6</v>
      </c>
      <c r="F625" s="15">
        <f t="shared" si="29"/>
        <v>32586</v>
      </c>
      <c r="G625" s="15">
        <v>13454</v>
      </c>
      <c r="H625" s="15">
        <f t="shared" si="30"/>
        <v>134540</v>
      </c>
      <c r="I625" s="16" t="str">
        <f>IFERROR(VLOOKUP($C625,[1]dados_2023!$C$3:$H$357,4,0),"-")</f>
        <v>-</v>
      </c>
      <c r="J625" s="16" t="str">
        <f>IFERROR(VLOOKUP($C625,[1]dados_2023!$C$3:$H$357,6,0),"-")</f>
        <v>-</v>
      </c>
    </row>
    <row r="626" spans="1:10" ht="18" customHeight="1" x14ac:dyDescent="0.3">
      <c r="A626" s="11">
        <v>20</v>
      </c>
      <c r="B626" s="12" t="s">
        <v>928</v>
      </c>
      <c r="C626" s="13">
        <v>1176160</v>
      </c>
      <c r="D626" s="14" t="s">
        <v>929</v>
      </c>
      <c r="E626" s="15">
        <v>7572.2000000000007</v>
      </c>
      <c r="F626" s="15">
        <f t="shared" si="29"/>
        <v>75722</v>
      </c>
      <c r="G626" s="15">
        <v>26492.200000000004</v>
      </c>
      <c r="H626" s="15">
        <f t="shared" si="30"/>
        <v>264922.00000000006</v>
      </c>
      <c r="I626" s="16" t="str">
        <f>IFERROR(VLOOKUP($C626,[1]dados_2023!$C$3:$H$357,4,0),"-")</f>
        <v>-</v>
      </c>
      <c r="J626" s="16" t="str">
        <f>IFERROR(VLOOKUP($C626,[1]dados_2023!$C$3:$H$357,6,0),"-")</f>
        <v>-</v>
      </c>
    </row>
    <row r="627" spans="1:10" ht="18" customHeight="1" x14ac:dyDescent="0.3">
      <c r="A627" s="11">
        <v>20</v>
      </c>
      <c r="B627" s="12" t="s">
        <v>930</v>
      </c>
      <c r="C627" s="13">
        <v>1128460</v>
      </c>
      <c r="D627" s="14" t="s">
        <v>408</v>
      </c>
      <c r="E627" s="15">
        <v>6047</v>
      </c>
      <c r="F627" s="15">
        <f t="shared" si="29"/>
        <v>60470</v>
      </c>
      <c r="G627" s="15">
        <v>23556.800000000003</v>
      </c>
      <c r="H627" s="15">
        <f t="shared" si="30"/>
        <v>235568.00000000003</v>
      </c>
      <c r="I627" s="16" t="str">
        <f>IFERROR(VLOOKUP($C627,[1]dados_2023!$C$3:$H$357,4,0),"-")</f>
        <v>-</v>
      </c>
      <c r="J627" s="16" t="str">
        <f>IFERROR(VLOOKUP($C627,[1]dados_2023!$C$3:$H$357,6,0),"-")</f>
        <v>-</v>
      </c>
    </row>
    <row r="628" spans="1:10" ht="18" customHeight="1" x14ac:dyDescent="0.3">
      <c r="A628" s="11">
        <v>20</v>
      </c>
      <c r="B628" s="12" t="s">
        <v>931</v>
      </c>
      <c r="C628" s="13">
        <v>1141815</v>
      </c>
      <c r="D628" s="14" t="s">
        <v>932</v>
      </c>
      <c r="E628" s="15">
        <v>3053.2</v>
      </c>
      <c r="F628" s="15">
        <f t="shared" si="29"/>
        <v>30532</v>
      </c>
      <c r="G628" s="15">
        <v>12240</v>
      </c>
      <c r="H628" s="15">
        <f t="shared" si="30"/>
        <v>122400</v>
      </c>
      <c r="I628" s="16" t="str">
        <f>IFERROR(VLOOKUP($C628,[1]dados_2023!$C$3:$H$357,4,0),"-")</f>
        <v>-</v>
      </c>
      <c r="J628" s="16" t="str">
        <f>IFERROR(VLOOKUP($C628,[1]dados_2023!$C$3:$H$357,6,0),"-")</f>
        <v>-</v>
      </c>
    </row>
    <row r="629" spans="1:10" s="31" customFormat="1" ht="21" customHeight="1" x14ac:dyDescent="0.3">
      <c r="A629" s="11">
        <v>20</v>
      </c>
      <c r="B629" s="12" t="s">
        <v>933</v>
      </c>
      <c r="C629" s="13">
        <v>1178113</v>
      </c>
      <c r="D629" s="14" t="s">
        <v>934</v>
      </c>
      <c r="E629" s="15">
        <v>2961.3999999999996</v>
      </c>
      <c r="F629" s="15">
        <f t="shared" si="29"/>
        <v>29613.999999999996</v>
      </c>
      <c r="G629" s="15">
        <v>12019.6</v>
      </c>
      <c r="H629" s="15">
        <f t="shared" si="30"/>
        <v>120196</v>
      </c>
      <c r="I629" s="16" t="str">
        <f>IFERROR(VLOOKUP($C629,[1]dados_2023!$C$3:$H$357,4,0),"-")</f>
        <v>-</v>
      </c>
      <c r="J629" s="16" t="str">
        <f>IFERROR(VLOOKUP($C629,[1]dados_2023!$C$3:$H$357,6,0),"-")</f>
        <v>-</v>
      </c>
    </row>
    <row r="630" spans="1:10" ht="18" customHeight="1" x14ac:dyDescent="0.3">
      <c r="A630" s="11">
        <v>20</v>
      </c>
      <c r="B630" s="12" t="s">
        <v>935</v>
      </c>
      <c r="C630" s="13">
        <v>1129181</v>
      </c>
      <c r="D630" s="14" t="s">
        <v>936</v>
      </c>
      <c r="E630" s="15">
        <v>10661.8</v>
      </c>
      <c r="F630" s="15">
        <f t="shared" si="29"/>
        <v>106618</v>
      </c>
      <c r="G630" s="15">
        <v>32873.4</v>
      </c>
      <c r="H630" s="15">
        <f t="shared" si="30"/>
        <v>328734</v>
      </c>
      <c r="I630" s="16" t="str">
        <f>IFERROR(VLOOKUP($C630,[1]dados_2023!$C$3:$H$357,4,0),"-")</f>
        <v>-</v>
      </c>
      <c r="J630" s="16" t="str">
        <f>IFERROR(VLOOKUP($C630,[1]dados_2023!$C$3:$H$357,6,0),"-")</f>
        <v>-</v>
      </c>
    </row>
    <row r="631" spans="1:10" ht="18" customHeight="1" x14ac:dyDescent="0.3">
      <c r="A631" s="11">
        <v>20</v>
      </c>
      <c r="B631" s="12" t="s">
        <v>937</v>
      </c>
      <c r="C631" s="13">
        <v>1156634</v>
      </c>
      <c r="D631" s="14" t="s">
        <v>938</v>
      </c>
      <c r="E631" s="15">
        <v>4077.6</v>
      </c>
      <c r="F631" s="15">
        <f t="shared" si="29"/>
        <v>40776</v>
      </c>
      <c r="G631" s="15">
        <v>17210.400000000001</v>
      </c>
      <c r="H631" s="15">
        <f t="shared" si="30"/>
        <v>172104</v>
      </c>
      <c r="I631" s="16" t="str">
        <f>IFERROR(VLOOKUP($C631,[1]dados_2023!$C$3:$H$357,4,0),"-")</f>
        <v>-</v>
      </c>
      <c r="J631" s="16" t="str">
        <f>IFERROR(VLOOKUP($C631,[1]dados_2023!$C$3:$H$357,6,0),"-")</f>
        <v>-</v>
      </c>
    </row>
    <row r="632" spans="1:10" ht="18" customHeight="1" x14ac:dyDescent="0.3">
      <c r="A632" s="11">
        <v>20</v>
      </c>
      <c r="B632" s="12" t="s">
        <v>939</v>
      </c>
      <c r="C632" s="13">
        <v>1124996</v>
      </c>
      <c r="D632" s="14" t="s">
        <v>940</v>
      </c>
      <c r="E632" s="15">
        <v>15441.400000000001</v>
      </c>
      <c r="F632" s="15">
        <f t="shared" si="29"/>
        <v>154414</v>
      </c>
      <c r="G632" s="15">
        <v>57237.000000000007</v>
      </c>
      <c r="H632" s="15">
        <f t="shared" si="30"/>
        <v>572370.00000000012</v>
      </c>
      <c r="I632" s="16" t="str">
        <f>IFERROR(VLOOKUP($C632,[1]dados_2023!$C$3:$H$357,4,0),"-")</f>
        <v>-</v>
      </c>
      <c r="J632" s="16" t="str">
        <f>IFERROR(VLOOKUP($C632,[1]dados_2023!$C$3:$H$357,6,0),"-")</f>
        <v>-</v>
      </c>
    </row>
    <row r="633" spans="1:10" ht="18" customHeight="1" x14ac:dyDescent="0.3">
      <c r="A633" s="11">
        <v>20</v>
      </c>
      <c r="B633" s="12" t="s">
        <v>941</v>
      </c>
      <c r="C633" s="13">
        <v>1125186</v>
      </c>
      <c r="D633" s="14" t="s">
        <v>942</v>
      </c>
      <c r="E633" s="15">
        <v>19561.8</v>
      </c>
      <c r="F633" s="15">
        <f t="shared" si="29"/>
        <v>195618</v>
      </c>
      <c r="G633" s="15">
        <v>67652</v>
      </c>
      <c r="H633" s="15">
        <f t="shared" si="30"/>
        <v>676520</v>
      </c>
      <c r="I633" s="16" t="str">
        <f>IFERROR(VLOOKUP($C633,[1]dados_2023!$C$3:$H$357,4,0),"-")</f>
        <v>-</v>
      </c>
      <c r="J633" s="16" t="str">
        <f>IFERROR(VLOOKUP($C633,[1]dados_2023!$C$3:$H$357,6,0),"-")</f>
        <v>-</v>
      </c>
    </row>
    <row r="634" spans="1:10" ht="18" customHeight="1" x14ac:dyDescent="0.3">
      <c r="A634" s="11">
        <v>20</v>
      </c>
      <c r="B634" s="12" t="s">
        <v>941</v>
      </c>
      <c r="C634" s="13">
        <v>1125062</v>
      </c>
      <c r="D634" s="14" t="s">
        <v>943</v>
      </c>
      <c r="E634" s="15">
        <v>8962.5999999999985</v>
      </c>
      <c r="F634" s="15">
        <f t="shared" si="29"/>
        <v>89625.999999999985</v>
      </c>
      <c r="G634" s="15">
        <v>32593.800000000003</v>
      </c>
      <c r="H634" s="15">
        <f t="shared" si="30"/>
        <v>325938</v>
      </c>
      <c r="I634" s="16" t="str">
        <f>IFERROR(VLOOKUP($C634,[1]dados_2023!$C$3:$H$357,4,0),"-")</f>
        <v>-</v>
      </c>
      <c r="J634" s="16" t="str">
        <f>IFERROR(VLOOKUP($C634,[1]dados_2023!$C$3:$H$357,6,0),"-")</f>
        <v>-</v>
      </c>
    </row>
    <row r="635" spans="1:10" ht="18" customHeight="1" x14ac:dyDescent="0.3">
      <c r="A635" s="11">
        <v>20</v>
      </c>
      <c r="B635" s="12" t="s">
        <v>941</v>
      </c>
      <c r="C635" s="13">
        <v>1125070</v>
      </c>
      <c r="D635" s="14" t="s">
        <v>944</v>
      </c>
      <c r="E635" s="15">
        <v>6080.4000000000005</v>
      </c>
      <c r="F635" s="15">
        <f t="shared" si="29"/>
        <v>60804.000000000007</v>
      </c>
      <c r="G635" s="15">
        <v>22735.8</v>
      </c>
      <c r="H635" s="15">
        <f t="shared" si="30"/>
        <v>227358</v>
      </c>
      <c r="I635" s="16" t="str">
        <f>IFERROR(VLOOKUP($C635,[1]dados_2023!$C$3:$H$357,4,0),"-")</f>
        <v>-</v>
      </c>
      <c r="J635" s="16" t="str">
        <f>IFERROR(VLOOKUP($C635,[1]dados_2023!$C$3:$H$357,6,0),"-")</f>
        <v>-</v>
      </c>
    </row>
    <row r="636" spans="1:10" ht="18" customHeight="1" x14ac:dyDescent="0.3">
      <c r="A636" s="11">
        <v>20</v>
      </c>
      <c r="B636" s="12" t="s">
        <v>945</v>
      </c>
      <c r="C636" s="13">
        <v>1178071</v>
      </c>
      <c r="D636" s="14" t="s">
        <v>946</v>
      </c>
      <c r="E636" s="15">
        <v>7650.6</v>
      </c>
      <c r="F636" s="15">
        <f t="shared" si="29"/>
        <v>76506</v>
      </c>
      <c r="G636" s="15">
        <v>25649.200000000001</v>
      </c>
      <c r="H636" s="15">
        <f t="shared" si="30"/>
        <v>256492</v>
      </c>
      <c r="I636" s="16" t="str">
        <f>IFERROR(VLOOKUP($C636,[1]dados_2023!$C$3:$H$357,4,0),"-")</f>
        <v>-</v>
      </c>
      <c r="J636" s="16" t="str">
        <f>IFERROR(VLOOKUP($C636,[1]dados_2023!$C$3:$H$357,6,0),"-")</f>
        <v>-</v>
      </c>
    </row>
    <row r="637" spans="1:10" ht="18" customHeight="1" x14ac:dyDescent="0.3">
      <c r="A637" s="11">
        <v>20</v>
      </c>
      <c r="B637" s="12" t="s">
        <v>947</v>
      </c>
      <c r="C637" s="13">
        <v>1124929</v>
      </c>
      <c r="D637" s="14" t="s">
        <v>948</v>
      </c>
      <c r="E637" s="15">
        <v>5453</v>
      </c>
      <c r="F637" s="15">
        <f t="shared" si="29"/>
        <v>54530</v>
      </c>
      <c r="G637" s="15">
        <v>19106.2</v>
      </c>
      <c r="H637" s="15">
        <f t="shared" si="30"/>
        <v>191062</v>
      </c>
      <c r="I637" s="16" t="str">
        <f>IFERROR(VLOOKUP($C637,[1]dados_2023!$C$3:$H$357,4,0),"-")</f>
        <v>-</v>
      </c>
      <c r="J637" s="16" t="str">
        <f>IFERROR(VLOOKUP($C637,[1]dados_2023!$C$3:$H$357,6,0),"-")</f>
        <v>-</v>
      </c>
    </row>
    <row r="638" spans="1:10" ht="18" customHeight="1" x14ac:dyDescent="0.3">
      <c r="A638" s="11">
        <v>20</v>
      </c>
      <c r="B638" s="12" t="s">
        <v>949</v>
      </c>
      <c r="C638" s="13">
        <v>1178248</v>
      </c>
      <c r="D638" s="14" t="s">
        <v>950</v>
      </c>
      <c r="E638" s="15">
        <v>7633</v>
      </c>
      <c r="F638" s="15">
        <f t="shared" si="29"/>
        <v>76330</v>
      </c>
      <c r="G638" s="15">
        <v>30171.800000000003</v>
      </c>
      <c r="H638" s="15">
        <f t="shared" si="30"/>
        <v>301718</v>
      </c>
      <c r="I638" s="16" t="str">
        <f>IFERROR(VLOOKUP($C638,[1]dados_2023!$C$3:$H$357,4,0),"-")</f>
        <v>-</v>
      </c>
      <c r="J638" s="16" t="str">
        <f>IFERROR(VLOOKUP($C638,[1]dados_2023!$C$3:$H$357,6,0),"-")</f>
        <v>-</v>
      </c>
    </row>
    <row r="639" spans="1:10" ht="18" customHeight="1" x14ac:dyDescent="0.3">
      <c r="A639" s="11">
        <v>20</v>
      </c>
      <c r="B639" s="12" t="s">
        <v>951</v>
      </c>
      <c r="C639" s="13">
        <v>1179285</v>
      </c>
      <c r="D639" s="14" t="s">
        <v>952</v>
      </c>
      <c r="E639" s="15">
        <v>2140</v>
      </c>
      <c r="F639" s="15">
        <f t="shared" si="29"/>
        <v>21400</v>
      </c>
      <c r="G639" s="15">
        <v>9159.2000000000007</v>
      </c>
      <c r="H639" s="15">
        <f t="shared" si="30"/>
        <v>91592</v>
      </c>
      <c r="I639" s="16" t="str">
        <f>IFERROR(VLOOKUP($C639,[1]dados_2023!$C$3:$H$357,4,0),"-")</f>
        <v>-</v>
      </c>
      <c r="J639" s="16" t="str">
        <f>IFERROR(VLOOKUP($C639,[1]dados_2023!$C$3:$H$357,6,0),"-")</f>
        <v>-</v>
      </c>
    </row>
    <row r="640" spans="1:10" ht="18" customHeight="1" x14ac:dyDescent="0.3">
      <c r="A640" s="11">
        <v>20</v>
      </c>
      <c r="B640" s="12" t="s">
        <v>951</v>
      </c>
      <c r="C640" s="13">
        <v>1125429</v>
      </c>
      <c r="D640" s="14" t="s">
        <v>953</v>
      </c>
      <c r="E640" s="15">
        <v>13150</v>
      </c>
      <c r="F640" s="15">
        <f t="shared" si="29"/>
        <v>131500</v>
      </c>
      <c r="G640" s="15">
        <v>56282.000000000007</v>
      </c>
      <c r="H640" s="15">
        <f t="shared" si="30"/>
        <v>562820.00000000012</v>
      </c>
      <c r="I640" s="16" t="str">
        <f>IFERROR(VLOOKUP($C640,[1]dados_2023!$C$3:$H$357,4,0),"-")</f>
        <v>-</v>
      </c>
      <c r="J640" s="16" t="str">
        <f>IFERROR(VLOOKUP($C640,[1]dados_2023!$C$3:$H$357,6,0),"-")</f>
        <v>-</v>
      </c>
    </row>
    <row r="641" spans="1:10" ht="18" customHeight="1" x14ac:dyDescent="0.3">
      <c r="A641" s="11">
        <v>20</v>
      </c>
      <c r="B641" s="12" t="s">
        <v>951</v>
      </c>
      <c r="C641" s="13">
        <v>1125224</v>
      </c>
      <c r="D641" s="14" t="s">
        <v>954</v>
      </c>
      <c r="E641" s="15">
        <v>2205.7999999999997</v>
      </c>
      <c r="F641" s="15">
        <f t="shared" si="29"/>
        <v>22057.999999999996</v>
      </c>
      <c r="G641" s="15">
        <v>11728.400000000001</v>
      </c>
      <c r="H641" s="15">
        <f t="shared" si="30"/>
        <v>117284.00000000001</v>
      </c>
      <c r="I641" s="16" t="str">
        <f>IFERROR(VLOOKUP($C641,[1]dados_2023!$C$3:$H$357,4,0),"-")</f>
        <v>-</v>
      </c>
      <c r="J641" s="16" t="str">
        <f>IFERROR(VLOOKUP($C641,[1]dados_2023!$C$3:$H$357,6,0),"-")</f>
        <v>-</v>
      </c>
    </row>
    <row r="642" spans="1:10" ht="18" customHeight="1" x14ac:dyDescent="0.3">
      <c r="A642" s="11">
        <v>20</v>
      </c>
      <c r="B642" s="12" t="s">
        <v>951</v>
      </c>
      <c r="C642" s="13">
        <v>1125640</v>
      </c>
      <c r="D642" s="14" t="s">
        <v>955</v>
      </c>
      <c r="E642" s="15">
        <v>10480</v>
      </c>
      <c r="F642" s="15">
        <f t="shared" si="29"/>
        <v>104800</v>
      </c>
      <c r="G642" s="15">
        <v>44854.400000000009</v>
      </c>
      <c r="H642" s="15">
        <f t="shared" si="30"/>
        <v>448544.00000000012</v>
      </c>
      <c r="I642" s="16" t="str">
        <f>IFERROR(VLOOKUP($C642,[1]dados_2023!$C$3:$H$357,4,0),"-")</f>
        <v>-</v>
      </c>
      <c r="J642" s="16" t="str">
        <f>IFERROR(VLOOKUP($C642,[1]dados_2023!$C$3:$H$357,6,0),"-")</f>
        <v>-</v>
      </c>
    </row>
    <row r="643" spans="1:10" ht="18" customHeight="1" x14ac:dyDescent="0.3">
      <c r="A643" s="11">
        <v>20</v>
      </c>
      <c r="B643" s="12" t="s">
        <v>951</v>
      </c>
      <c r="C643" s="13">
        <v>1179246</v>
      </c>
      <c r="D643" s="14" t="s">
        <v>956</v>
      </c>
      <c r="E643" s="15">
        <v>3044</v>
      </c>
      <c r="F643" s="15">
        <f t="shared" si="29"/>
        <v>30440</v>
      </c>
      <c r="G643" s="15">
        <v>11623.2</v>
      </c>
      <c r="H643" s="15">
        <f t="shared" si="30"/>
        <v>116232</v>
      </c>
      <c r="I643" s="16" t="str">
        <f>IFERROR(VLOOKUP($C643,[1]dados_2023!$C$3:$H$357,4,0),"-")</f>
        <v>-</v>
      </c>
      <c r="J643" s="16" t="str">
        <f>IFERROR(VLOOKUP($C643,[1]dados_2023!$C$3:$H$357,6,0),"-")</f>
        <v>-</v>
      </c>
    </row>
    <row r="644" spans="1:10" ht="18" customHeight="1" x14ac:dyDescent="0.3">
      <c r="A644" s="11">
        <v>20</v>
      </c>
      <c r="B644" s="12" t="s">
        <v>951</v>
      </c>
      <c r="C644" s="13">
        <v>1125232</v>
      </c>
      <c r="D644" s="14" t="s">
        <v>957</v>
      </c>
      <c r="E644" s="15">
        <v>4615.6000000000004</v>
      </c>
      <c r="F644" s="15">
        <f t="shared" si="29"/>
        <v>46156</v>
      </c>
      <c r="G644" s="15">
        <v>21948.800000000003</v>
      </c>
      <c r="H644" s="15">
        <f t="shared" si="30"/>
        <v>219488.00000000003</v>
      </c>
      <c r="I644" s="16" t="str">
        <f>IFERROR(VLOOKUP($C644,[1]dados_2023!$C$3:$H$357,4,0),"-")</f>
        <v>-</v>
      </c>
      <c r="J644" s="16" t="str">
        <f>IFERROR(VLOOKUP($C644,[1]dados_2023!$C$3:$H$357,6,0),"-")</f>
        <v>-</v>
      </c>
    </row>
    <row r="645" spans="1:10" ht="18" customHeight="1" x14ac:dyDescent="0.3">
      <c r="A645" s="11">
        <v>20</v>
      </c>
      <c r="B645" s="12" t="s">
        <v>951</v>
      </c>
      <c r="C645" s="13">
        <v>1125461</v>
      </c>
      <c r="D645" s="14" t="s">
        <v>958</v>
      </c>
      <c r="E645" s="15">
        <v>11198</v>
      </c>
      <c r="F645" s="15">
        <f t="shared" si="29"/>
        <v>111980</v>
      </c>
      <c r="G645" s="15">
        <v>43609.8</v>
      </c>
      <c r="H645" s="15">
        <f t="shared" si="30"/>
        <v>436098</v>
      </c>
      <c r="I645" s="16" t="str">
        <f>IFERROR(VLOOKUP($C645,[1]dados_2023!$C$3:$H$357,4,0),"-")</f>
        <v>-</v>
      </c>
      <c r="J645" s="16" t="str">
        <f>IFERROR(VLOOKUP($C645,[1]dados_2023!$C$3:$H$357,6,0),"-")</f>
        <v>-</v>
      </c>
    </row>
    <row r="646" spans="1:10" ht="18" customHeight="1" x14ac:dyDescent="0.3">
      <c r="A646" s="11">
        <v>20</v>
      </c>
      <c r="B646" s="12" t="s">
        <v>951</v>
      </c>
      <c r="C646" s="13">
        <v>1125496</v>
      </c>
      <c r="D646" s="14" t="s">
        <v>609</v>
      </c>
      <c r="E646" s="15">
        <v>5688</v>
      </c>
      <c r="F646" s="15">
        <f t="shared" si="29"/>
        <v>56880</v>
      </c>
      <c r="G646" s="15">
        <v>24684.799999999999</v>
      </c>
      <c r="H646" s="15">
        <f t="shared" si="30"/>
        <v>246848</v>
      </c>
      <c r="I646" s="16" t="str">
        <f>IFERROR(VLOOKUP($C646,[1]dados_2023!$C$3:$H$357,4,0),"-")</f>
        <v>-</v>
      </c>
      <c r="J646" s="16" t="str">
        <f>IFERROR(VLOOKUP($C646,[1]dados_2023!$C$3:$H$357,6,0),"-")</f>
        <v>-</v>
      </c>
    </row>
    <row r="647" spans="1:10" ht="18" customHeight="1" x14ac:dyDescent="0.3">
      <c r="A647" s="11">
        <v>20</v>
      </c>
      <c r="B647" s="12" t="s">
        <v>951</v>
      </c>
      <c r="C647" s="13">
        <v>1179223</v>
      </c>
      <c r="D647" s="14" t="s">
        <v>959</v>
      </c>
      <c r="E647" s="15">
        <v>14096.400000000001</v>
      </c>
      <c r="F647" s="15">
        <f t="shared" si="29"/>
        <v>140964</v>
      </c>
      <c r="G647" s="15">
        <v>53298.600000000006</v>
      </c>
      <c r="H647" s="15">
        <f t="shared" si="30"/>
        <v>532986</v>
      </c>
      <c r="I647" s="16" t="str">
        <f>IFERROR(VLOOKUP($C647,[1]dados_2023!$C$3:$H$357,4,0),"-")</f>
        <v>-</v>
      </c>
      <c r="J647" s="16" t="str">
        <f>IFERROR(VLOOKUP($C647,[1]dados_2023!$C$3:$H$357,6,0),"-")</f>
        <v>-</v>
      </c>
    </row>
    <row r="648" spans="1:10" ht="18" customHeight="1" x14ac:dyDescent="0.3">
      <c r="A648" s="11">
        <v>20</v>
      </c>
      <c r="B648" s="12" t="s">
        <v>951</v>
      </c>
      <c r="C648" s="13">
        <v>1179224</v>
      </c>
      <c r="D648" s="14" t="s">
        <v>960</v>
      </c>
      <c r="E648" s="15">
        <v>6721.4000000000015</v>
      </c>
      <c r="F648" s="15">
        <f t="shared" si="29"/>
        <v>67214.000000000015</v>
      </c>
      <c r="G648" s="15">
        <v>21851</v>
      </c>
      <c r="H648" s="15">
        <f t="shared" si="30"/>
        <v>218510</v>
      </c>
      <c r="I648" s="16" t="str">
        <f>IFERROR(VLOOKUP($C648,[1]dados_2023!$C$3:$H$357,4,0),"-")</f>
        <v>-</v>
      </c>
      <c r="J648" s="16" t="str">
        <f>IFERROR(VLOOKUP($C648,[1]dados_2023!$C$3:$H$357,6,0),"-")</f>
        <v>-</v>
      </c>
    </row>
    <row r="649" spans="1:10" ht="18" customHeight="1" x14ac:dyDescent="0.3">
      <c r="A649" s="11">
        <v>20</v>
      </c>
      <c r="B649" s="12" t="s">
        <v>951</v>
      </c>
      <c r="C649" s="13">
        <v>1178119</v>
      </c>
      <c r="D649" s="14" t="s">
        <v>961</v>
      </c>
      <c r="E649" s="15">
        <v>13819.6</v>
      </c>
      <c r="F649" s="15">
        <f t="shared" si="29"/>
        <v>138196</v>
      </c>
      <c r="G649" s="15">
        <v>46108</v>
      </c>
      <c r="H649" s="15">
        <f t="shared" si="30"/>
        <v>461080</v>
      </c>
      <c r="I649" s="16" t="str">
        <f>IFERROR(VLOOKUP($C649,[1]dados_2023!$C$3:$H$357,4,0),"-")</f>
        <v>-</v>
      </c>
      <c r="J649" s="16" t="str">
        <f>IFERROR(VLOOKUP($C649,[1]dados_2023!$C$3:$H$357,6,0),"-")</f>
        <v>-</v>
      </c>
    </row>
    <row r="650" spans="1:10" ht="18" customHeight="1" x14ac:dyDescent="0.3">
      <c r="A650" s="11">
        <v>20</v>
      </c>
      <c r="B650" s="12" t="s">
        <v>951</v>
      </c>
      <c r="C650" s="13">
        <v>1125160</v>
      </c>
      <c r="D650" s="14" t="s">
        <v>962</v>
      </c>
      <c r="E650" s="15">
        <v>16125.2</v>
      </c>
      <c r="F650" s="15">
        <f t="shared" si="29"/>
        <v>161252</v>
      </c>
      <c r="G650" s="15">
        <v>64593.400000000009</v>
      </c>
      <c r="H650" s="15">
        <f t="shared" si="30"/>
        <v>645934.00000000012</v>
      </c>
      <c r="I650" s="16" t="str">
        <f>IFERROR(VLOOKUP($C650,[1]dados_2023!$C$3:$H$357,4,0),"-")</f>
        <v>-</v>
      </c>
      <c r="J650" s="16" t="str">
        <f>IFERROR(VLOOKUP($C650,[1]dados_2023!$C$3:$H$357,6,0),"-")</f>
        <v>-</v>
      </c>
    </row>
    <row r="651" spans="1:10" ht="18" customHeight="1" x14ac:dyDescent="0.3">
      <c r="A651" s="11">
        <v>20</v>
      </c>
      <c r="B651" s="12" t="s">
        <v>951</v>
      </c>
      <c r="C651" s="13">
        <v>1165358</v>
      </c>
      <c r="D651" s="14" t="s">
        <v>963</v>
      </c>
      <c r="E651" s="15">
        <v>19886.400000000001</v>
      </c>
      <c r="F651" s="15">
        <f t="shared" si="29"/>
        <v>198864</v>
      </c>
      <c r="G651" s="15">
        <v>74406</v>
      </c>
      <c r="H651" s="15">
        <f t="shared" si="30"/>
        <v>744060</v>
      </c>
      <c r="I651" s="16" t="str">
        <f>IFERROR(VLOOKUP($C651,[1]dados_2023!$C$3:$H$357,4,0),"-")</f>
        <v>-</v>
      </c>
      <c r="J651" s="16" t="str">
        <f>IFERROR(VLOOKUP($C651,[1]dados_2023!$C$3:$H$357,6,0),"-")</f>
        <v>-</v>
      </c>
    </row>
    <row r="652" spans="1:10" ht="18" customHeight="1" x14ac:dyDescent="0.3">
      <c r="A652" s="11">
        <v>20</v>
      </c>
      <c r="B652" s="12" t="s">
        <v>951</v>
      </c>
      <c r="C652" s="13">
        <v>1176435</v>
      </c>
      <c r="D652" s="14" t="s">
        <v>964</v>
      </c>
      <c r="E652" s="15">
        <v>18741.600000000002</v>
      </c>
      <c r="F652" s="15">
        <f t="shared" si="29"/>
        <v>187416.00000000003</v>
      </c>
      <c r="G652" s="15">
        <v>53762.399999999994</v>
      </c>
      <c r="H652" s="15">
        <f t="shared" si="30"/>
        <v>537624</v>
      </c>
      <c r="I652" s="16" t="str">
        <f>IFERROR(VLOOKUP($C652,[1]dados_2023!$C$3:$H$357,4,0),"-")</f>
        <v>-</v>
      </c>
      <c r="J652" s="16" t="str">
        <f>IFERROR(VLOOKUP($C652,[1]dados_2023!$C$3:$H$357,6,0),"-")</f>
        <v>-</v>
      </c>
    </row>
    <row r="653" spans="1:10" ht="18" customHeight="1" x14ac:dyDescent="0.3">
      <c r="A653" s="11">
        <v>20</v>
      </c>
      <c r="B653" s="12" t="s">
        <v>951</v>
      </c>
      <c r="C653" s="13">
        <v>1125305</v>
      </c>
      <c r="D653" s="14" t="s">
        <v>965</v>
      </c>
      <c r="E653" s="15">
        <v>43300</v>
      </c>
      <c r="F653" s="15">
        <f t="shared" si="29"/>
        <v>433000</v>
      </c>
      <c r="G653" s="15">
        <v>143072.40000000002</v>
      </c>
      <c r="H653" s="15">
        <f t="shared" si="30"/>
        <v>1430724.0000000002</v>
      </c>
      <c r="I653" s="16" t="str">
        <f>IFERROR(VLOOKUP($C653,[1]dados_2023!$C$3:$H$357,4,0),"-")</f>
        <v>-</v>
      </c>
      <c r="J653" s="16" t="str">
        <f>IFERROR(VLOOKUP($C653,[1]dados_2023!$C$3:$H$357,6,0),"-")</f>
        <v>-</v>
      </c>
    </row>
    <row r="654" spans="1:10" ht="18" customHeight="1" x14ac:dyDescent="0.3">
      <c r="A654" s="11">
        <v>20</v>
      </c>
      <c r="B654" s="12" t="s">
        <v>951</v>
      </c>
      <c r="C654" s="13">
        <v>1125992</v>
      </c>
      <c r="D654" s="14" t="s">
        <v>966</v>
      </c>
      <c r="E654" s="15">
        <v>16566.2</v>
      </c>
      <c r="F654" s="15">
        <f t="shared" si="29"/>
        <v>165662</v>
      </c>
      <c r="G654" s="15">
        <v>63580.400000000009</v>
      </c>
      <c r="H654" s="15">
        <f t="shared" si="30"/>
        <v>635804.00000000012</v>
      </c>
      <c r="I654" s="16" t="str">
        <f>IFERROR(VLOOKUP($C654,[1]dados_2023!$C$3:$H$357,4,0),"-")</f>
        <v>-</v>
      </c>
      <c r="J654" s="16" t="str">
        <f>IFERROR(VLOOKUP($C654,[1]dados_2023!$C$3:$H$357,6,0),"-")</f>
        <v>-</v>
      </c>
    </row>
    <row r="655" spans="1:10" ht="18" customHeight="1" x14ac:dyDescent="0.3">
      <c r="A655" s="11">
        <v>20</v>
      </c>
      <c r="B655" s="12" t="s">
        <v>951</v>
      </c>
      <c r="C655" s="13">
        <v>1125399</v>
      </c>
      <c r="D655" s="14" t="s">
        <v>967</v>
      </c>
      <c r="E655" s="15">
        <v>2266.1999999999998</v>
      </c>
      <c r="F655" s="15">
        <f t="shared" si="29"/>
        <v>22662</v>
      </c>
      <c r="G655" s="15">
        <v>10898.400000000001</v>
      </c>
      <c r="H655" s="15">
        <f t="shared" si="30"/>
        <v>108984.00000000001</v>
      </c>
      <c r="I655" s="16" t="str">
        <f>IFERROR(VLOOKUP($C655,[1]dados_2023!$C$3:$H$357,4,0),"-")</f>
        <v>-</v>
      </c>
      <c r="J655" s="16" t="str">
        <f>IFERROR(VLOOKUP($C655,[1]dados_2023!$C$3:$H$357,6,0),"-")</f>
        <v>-</v>
      </c>
    </row>
    <row r="656" spans="1:10" ht="18" customHeight="1" x14ac:dyDescent="0.3">
      <c r="A656" s="11">
        <v>21</v>
      </c>
      <c r="B656" s="12" t="s">
        <v>968</v>
      </c>
      <c r="C656" s="13">
        <v>1178152</v>
      </c>
      <c r="D656" s="14" t="s">
        <v>969</v>
      </c>
      <c r="E656" s="15">
        <v>8573.2000000000007</v>
      </c>
      <c r="F656" s="15">
        <f t="shared" si="29"/>
        <v>85732</v>
      </c>
      <c r="G656" s="15">
        <v>38615.200000000004</v>
      </c>
      <c r="H656" s="15">
        <f t="shared" si="30"/>
        <v>386152.00000000006</v>
      </c>
      <c r="I656" s="16" t="str">
        <f>IFERROR(VLOOKUP($C656,[1]dados_2023!$C$3:$H$357,4,0),"-")</f>
        <v>-</v>
      </c>
      <c r="J656" s="16" t="str">
        <f>IFERROR(VLOOKUP($C656,[1]dados_2023!$C$3:$H$357,6,0),"-")</f>
        <v>-</v>
      </c>
    </row>
    <row r="657" spans="1:10" ht="18" customHeight="1" x14ac:dyDescent="0.3">
      <c r="A657" s="11">
        <v>21</v>
      </c>
      <c r="B657" s="12" t="s">
        <v>970</v>
      </c>
      <c r="C657" s="13">
        <v>1133715</v>
      </c>
      <c r="D657" s="14" t="s">
        <v>971</v>
      </c>
      <c r="E657" s="15">
        <v>10292.400000000001</v>
      </c>
      <c r="F657" s="15">
        <f t="shared" si="29"/>
        <v>102924.00000000001</v>
      </c>
      <c r="G657" s="15">
        <v>40586</v>
      </c>
      <c r="H657" s="15">
        <f t="shared" si="30"/>
        <v>405860</v>
      </c>
      <c r="I657" s="16" t="str">
        <f>IFERROR(VLOOKUP($C657,[1]dados_2023!$C$3:$H$357,4,0),"-")</f>
        <v>-</v>
      </c>
      <c r="J657" s="16" t="str">
        <f>IFERROR(VLOOKUP($C657,[1]dados_2023!$C$3:$H$357,6,0),"-")</f>
        <v>-</v>
      </c>
    </row>
    <row r="658" spans="1:10" ht="18" customHeight="1" x14ac:dyDescent="0.3">
      <c r="A658" s="11">
        <v>21</v>
      </c>
      <c r="B658" s="12" t="s">
        <v>972</v>
      </c>
      <c r="C658" s="13">
        <v>1109059</v>
      </c>
      <c r="D658" s="14" t="s">
        <v>973</v>
      </c>
      <c r="E658" s="15">
        <v>14547.8</v>
      </c>
      <c r="F658" s="15">
        <f t="shared" ref="F658:F721" si="33">E658*10</f>
        <v>145478</v>
      </c>
      <c r="G658" s="15">
        <v>53921.4</v>
      </c>
      <c r="H658" s="15">
        <f t="shared" ref="H658:H721" si="34">G658*10</f>
        <v>539214</v>
      </c>
      <c r="I658" s="16" t="str">
        <f>IFERROR(VLOOKUP($C658,[1]dados_2023!$C$3:$H$357,4,0),"-")</f>
        <v>-</v>
      </c>
      <c r="J658" s="16" t="str">
        <f>IFERROR(VLOOKUP($C658,[1]dados_2023!$C$3:$H$357,6,0),"-")</f>
        <v>-</v>
      </c>
    </row>
    <row r="659" spans="1:10" ht="18" customHeight="1" x14ac:dyDescent="0.3">
      <c r="A659" s="11">
        <v>21</v>
      </c>
      <c r="B659" s="12" t="s">
        <v>974</v>
      </c>
      <c r="C659" s="13">
        <v>1108893</v>
      </c>
      <c r="D659" s="14" t="s">
        <v>975</v>
      </c>
      <c r="E659" s="15">
        <v>9654.2000000000007</v>
      </c>
      <c r="F659" s="15">
        <f t="shared" si="33"/>
        <v>96542</v>
      </c>
      <c r="G659" s="15">
        <v>33193.199999999997</v>
      </c>
      <c r="H659" s="15">
        <f t="shared" si="34"/>
        <v>331932</v>
      </c>
      <c r="I659" s="16" t="str">
        <f>IFERROR(VLOOKUP($C659,[1]dados_2023!$C$3:$H$357,4,0),"-")</f>
        <v>-</v>
      </c>
      <c r="J659" s="16" t="str">
        <f>IFERROR(VLOOKUP($C659,[1]dados_2023!$C$3:$H$357,6,0),"-")</f>
        <v>-</v>
      </c>
    </row>
    <row r="660" spans="1:10" ht="18" customHeight="1" x14ac:dyDescent="0.3">
      <c r="A660" s="11">
        <v>21</v>
      </c>
      <c r="B660" s="12" t="s">
        <v>976</v>
      </c>
      <c r="C660" s="13">
        <v>1133618</v>
      </c>
      <c r="D660" s="14" t="s">
        <v>977</v>
      </c>
      <c r="E660" s="15">
        <v>16610</v>
      </c>
      <c r="F660" s="15">
        <f t="shared" si="33"/>
        <v>166100</v>
      </c>
      <c r="G660" s="15">
        <v>71090.8</v>
      </c>
      <c r="H660" s="15">
        <f t="shared" si="34"/>
        <v>710908</v>
      </c>
      <c r="I660" s="16" t="str">
        <f>IFERROR(VLOOKUP($C660,[1]dados_2023!$C$3:$H$357,4,0),"-")</f>
        <v>-</v>
      </c>
      <c r="J660" s="16" t="str">
        <f>IFERROR(VLOOKUP($C660,[1]dados_2023!$C$3:$H$357,6,0),"-")</f>
        <v>-</v>
      </c>
    </row>
    <row r="661" spans="1:10" ht="18" customHeight="1" x14ac:dyDescent="0.3">
      <c r="A661" s="11">
        <v>21</v>
      </c>
      <c r="B661" s="12" t="s">
        <v>976</v>
      </c>
      <c r="C661" s="13">
        <v>1133405</v>
      </c>
      <c r="D661" s="14" t="s">
        <v>978</v>
      </c>
      <c r="E661" s="15">
        <v>5370.7999999999993</v>
      </c>
      <c r="F661" s="15">
        <f t="shared" si="33"/>
        <v>53707.999999999993</v>
      </c>
      <c r="G661" s="15">
        <v>24636.800000000003</v>
      </c>
      <c r="H661" s="15">
        <f t="shared" si="34"/>
        <v>246368.00000000003</v>
      </c>
      <c r="I661" s="16" t="str">
        <f>IFERROR(VLOOKUP($C661,[1]dados_2023!$C$3:$H$357,4,0),"-")</f>
        <v>-</v>
      </c>
      <c r="J661" s="16" t="str">
        <f>IFERROR(VLOOKUP($C661,[1]dados_2023!$C$3:$H$357,6,0),"-")</f>
        <v>-</v>
      </c>
    </row>
    <row r="662" spans="1:10" ht="18" customHeight="1" x14ac:dyDescent="0.3">
      <c r="A662" s="11">
        <v>21</v>
      </c>
      <c r="B662" s="12" t="s">
        <v>976</v>
      </c>
      <c r="C662" s="13">
        <v>1133502</v>
      </c>
      <c r="D662" s="14" t="s">
        <v>979</v>
      </c>
      <c r="E662" s="15">
        <v>7745.2000000000007</v>
      </c>
      <c r="F662" s="15">
        <f t="shared" si="33"/>
        <v>77452</v>
      </c>
      <c r="G662" s="15">
        <v>33156.000000000007</v>
      </c>
      <c r="H662" s="15">
        <f t="shared" si="34"/>
        <v>331560.00000000006</v>
      </c>
      <c r="I662" s="16" t="str">
        <f>IFERROR(VLOOKUP($C662,[1]dados_2023!$C$3:$H$357,4,0),"-")</f>
        <v>-</v>
      </c>
      <c r="J662" s="16" t="str">
        <f>IFERROR(VLOOKUP($C662,[1]dados_2023!$C$3:$H$357,6,0),"-")</f>
        <v>-</v>
      </c>
    </row>
    <row r="663" spans="1:10" ht="18" customHeight="1" x14ac:dyDescent="0.3">
      <c r="A663" s="11">
        <v>21</v>
      </c>
      <c r="B663" s="12" t="s">
        <v>976</v>
      </c>
      <c r="C663" s="13">
        <v>1176464</v>
      </c>
      <c r="D663" s="14" t="s">
        <v>980</v>
      </c>
      <c r="E663" s="15">
        <v>7090</v>
      </c>
      <c r="F663" s="15">
        <f t="shared" si="33"/>
        <v>70900</v>
      </c>
      <c r="G663" s="15">
        <v>30345.200000000001</v>
      </c>
      <c r="H663" s="15">
        <f t="shared" si="34"/>
        <v>303452</v>
      </c>
      <c r="I663" s="16" t="str">
        <f>IFERROR(VLOOKUP($C663,[1]dados_2023!$C$3:$H$357,4,0),"-")</f>
        <v>-</v>
      </c>
      <c r="J663" s="16" t="str">
        <f>IFERROR(VLOOKUP($C663,[1]dados_2023!$C$3:$H$357,6,0),"-")</f>
        <v>-</v>
      </c>
    </row>
    <row r="664" spans="1:10" ht="18" customHeight="1" x14ac:dyDescent="0.3">
      <c r="A664" s="11">
        <v>21</v>
      </c>
      <c r="B664" s="12" t="s">
        <v>981</v>
      </c>
      <c r="C664" s="13">
        <v>1109164</v>
      </c>
      <c r="D664" s="14" t="s">
        <v>982</v>
      </c>
      <c r="E664" s="15">
        <v>2776.2</v>
      </c>
      <c r="F664" s="15">
        <f t="shared" si="33"/>
        <v>27762</v>
      </c>
      <c r="G664" s="15">
        <v>10527.000000000002</v>
      </c>
      <c r="H664" s="15">
        <f t="shared" si="34"/>
        <v>105270.00000000001</v>
      </c>
      <c r="I664" s="16" t="str">
        <f>IFERROR(VLOOKUP($C664,[1]dados_2023!$C$3:$H$357,4,0),"-")</f>
        <v>-</v>
      </c>
      <c r="J664" s="16" t="str">
        <f>IFERROR(VLOOKUP($C664,[1]dados_2023!$C$3:$H$357,6,0),"-")</f>
        <v>-</v>
      </c>
    </row>
    <row r="665" spans="1:10" ht="18" customHeight="1" x14ac:dyDescent="0.3">
      <c r="A665" s="11">
        <v>21</v>
      </c>
      <c r="B665" s="12" t="s">
        <v>983</v>
      </c>
      <c r="C665" s="13">
        <v>1134029</v>
      </c>
      <c r="D665" s="14" t="s">
        <v>984</v>
      </c>
      <c r="E665" s="15">
        <v>9701</v>
      </c>
      <c r="F665" s="15">
        <f t="shared" si="33"/>
        <v>97010</v>
      </c>
      <c r="G665" s="15">
        <v>42182.400000000001</v>
      </c>
      <c r="H665" s="15">
        <f t="shared" si="34"/>
        <v>421824</v>
      </c>
      <c r="I665" s="16" t="str">
        <f>IFERROR(VLOOKUP($C665,[1]dados_2023!$C$3:$H$357,4,0),"-")</f>
        <v>-</v>
      </c>
      <c r="J665" s="16" t="str">
        <f>IFERROR(VLOOKUP($C665,[1]dados_2023!$C$3:$H$357,6,0),"-")</f>
        <v>-</v>
      </c>
    </row>
    <row r="666" spans="1:10" ht="18" customHeight="1" x14ac:dyDescent="0.3">
      <c r="A666" s="11">
        <v>21</v>
      </c>
      <c r="B666" s="12" t="s">
        <v>985</v>
      </c>
      <c r="C666" s="13">
        <v>1166222</v>
      </c>
      <c r="D666" s="14" t="s">
        <v>986</v>
      </c>
      <c r="E666" s="15">
        <v>2102</v>
      </c>
      <c r="F666" s="15">
        <f t="shared" si="33"/>
        <v>21020</v>
      </c>
      <c r="G666" s="15">
        <v>9506.7999999999993</v>
      </c>
      <c r="H666" s="15">
        <f t="shared" si="34"/>
        <v>95068</v>
      </c>
      <c r="I666" s="16" t="str">
        <f>IFERROR(VLOOKUP($C666,[1]dados_2023!$C$3:$H$357,4,0),"-")</f>
        <v>-</v>
      </c>
      <c r="J666" s="16" t="str">
        <f>IFERROR(VLOOKUP($C666,[1]dados_2023!$C$3:$H$357,6,0),"-")</f>
        <v>-</v>
      </c>
    </row>
    <row r="667" spans="1:10" ht="18" customHeight="1" x14ac:dyDescent="0.3">
      <c r="A667" s="11">
        <v>21</v>
      </c>
      <c r="B667" s="12" t="s">
        <v>985</v>
      </c>
      <c r="C667" s="13">
        <v>1178153</v>
      </c>
      <c r="D667" s="14" t="s">
        <v>987</v>
      </c>
      <c r="E667" s="15">
        <v>5791.0000000000009</v>
      </c>
      <c r="F667" s="15">
        <f t="shared" si="33"/>
        <v>57910.000000000007</v>
      </c>
      <c r="G667" s="15">
        <v>17977.400000000001</v>
      </c>
      <c r="H667" s="15">
        <f t="shared" si="34"/>
        <v>179774</v>
      </c>
      <c r="I667" s="16" t="str">
        <f>IFERROR(VLOOKUP($C667,[1]dados_2023!$C$3:$H$357,4,0),"-")</f>
        <v>-</v>
      </c>
      <c r="J667" s="16" t="str">
        <f>IFERROR(VLOOKUP($C667,[1]dados_2023!$C$3:$H$357,6,0),"-")</f>
        <v>-</v>
      </c>
    </row>
    <row r="668" spans="1:10" ht="18" customHeight="1" x14ac:dyDescent="0.3">
      <c r="A668" s="11">
        <v>21</v>
      </c>
      <c r="B668" s="12" t="s">
        <v>985</v>
      </c>
      <c r="C668" s="13">
        <v>1133863</v>
      </c>
      <c r="D668" s="14" t="s">
        <v>988</v>
      </c>
      <c r="E668" s="15">
        <v>7488.8</v>
      </c>
      <c r="F668" s="15">
        <f t="shared" si="33"/>
        <v>74888</v>
      </c>
      <c r="G668" s="15">
        <v>32766.400000000001</v>
      </c>
      <c r="H668" s="15">
        <f t="shared" si="34"/>
        <v>327664</v>
      </c>
      <c r="I668" s="16" t="str">
        <f>IFERROR(VLOOKUP($C668,[1]dados_2023!$C$3:$H$357,4,0),"-")</f>
        <v>-</v>
      </c>
      <c r="J668" s="16" t="str">
        <f>IFERROR(VLOOKUP($C668,[1]dados_2023!$C$3:$H$357,6,0),"-")</f>
        <v>-</v>
      </c>
    </row>
    <row r="669" spans="1:10" ht="18" customHeight="1" x14ac:dyDescent="0.3">
      <c r="A669" s="11">
        <v>21</v>
      </c>
      <c r="B669" s="12" t="s">
        <v>989</v>
      </c>
      <c r="C669" s="13">
        <v>1178143</v>
      </c>
      <c r="D669" s="14" t="s">
        <v>647</v>
      </c>
      <c r="E669" s="15">
        <v>2967</v>
      </c>
      <c r="F669" s="15">
        <f t="shared" si="33"/>
        <v>29670</v>
      </c>
      <c r="G669" s="15">
        <v>12996.4</v>
      </c>
      <c r="H669" s="15">
        <f t="shared" si="34"/>
        <v>129964</v>
      </c>
      <c r="I669" s="16" t="str">
        <f>IFERROR(VLOOKUP($C669,[1]dados_2023!$C$3:$H$357,4,0),"-")</f>
        <v>-</v>
      </c>
      <c r="J669" s="16" t="str">
        <f>IFERROR(VLOOKUP($C669,[1]dados_2023!$C$3:$H$357,6,0),"-")</f>
        <v>-</v>
      </c>
    </row>
    <row r="670" spans="1:10" ht="18" customHeight="1" x14ac:dyDescent="0.3">
      <c r="A670" s="11">
        <v>21</v>
      </c>
      <c r="B670" s="12" t="s">
        <v>990</v>
      </c>
      <c r="C670" s="13">
        <v>1135610</v>
      </c>
      <c r="D670" s="14" t="s">
        <v>991</v>
      </c>
      <c r="E670" s="15">
        <v>4525.8</v>
      </c>
      <c r="F670" s="15">
        <f t="shared" si="33"/>
        <v>45258</v>
      </c>
      <c r="G670" s="15">
        <v>20382.400000000001</v>
      </c>
      <c r="H670" s="15">
        <f t="shared" si="34"/>
        <v>203824</v>
      </c>
      <c r="I670" s="16" t="str">
        <f>IFERROR(VLOOKUP($C670,[1]dados_2023!$C$3:$H$357,4,0),"-")</f>
        <v>-</v>
      </c>
      <c r="J670" s="16" t="str">
        <f>IFERROR(VLOOKUP($C670,[1]dados_2023!$C$3:$H$357,6,0),"-")</f>
        <v>-</v>
      </c>
    </row>
    <row r="671" spans="1:10" ht="18" customHeight="1" x14ac:dyDescent="0.3">
      <c r="A671" s="11">
        <v>21</v>
      </c>
      <c r="B671" s="12" t="s">
        <v>990</v>
      </c>
      <c r="C671" s="13">
        <v>1178001</v>
      </c>
      <c r="D671" s="14" t="s">
        <v>992</v>
      </c>
      <c r="E671" s="15">
        <v>4481.3999999999996</v>
      </c>
      <c r="F671" s="15">
        <f t="shared" si="33"/>
        <v>44814</v>
      </c>
      <c r="G671" s="15">
        <v>20260.400000000001</v>
      </c>
      <c r="H671" s="15">
        <f t="shared" si="34"/>
        <v>202604</v>
      </c>
      <c r="I671" s="16" t="str">
        <f>IFERROR(VLOOKUP($C671,[1]dados_2023!$C$3:$H$357,4,0),"-")</f>
        <v>-</v>
      </c>
      <c r="J671" s="16" t="str">
        <f>IFERROR(VLOOKUP($C671,[1]dados_2023!$C$3:$H$357,6,0),"-")</f>
        <v>-</v>
      </c>
    </row>
    <row r="672" spans="1:10" ht="18" customHeight="1" x14ac:dyDescent="0.3">
      <c r="A672" s="11">
        <v>21</v>
      </c>
      <c r="B672" s="12" t="s">
        <v>993</v>
      </c>
      <c r="C672" s="13">
        <v>1145691</v>
      </c>
      <c r="D672" s="14" t="s">
        <v>994</v>
      </c>
      <c r="E672" s="15">
        <v>10196.4</v>
      </c>
      <c r="F672" s="15">
        <f t="shared" si="33"/>
        <v>101964</v>
      </c>
      <c r="G672" s="15">
        <v>44508</v>
      </c>
      <c r="H672" s="15">
        <f t="shared" si="34"/>
        <v>445080</v>
      </c>
      <c r="I672" s="16" t="str">
        <f>IFERROR(VLOOKUP($C672,[1]dados_2023!$C$3:$H$357,4,0),"-")</f>
        <v>-</v>
      </c>
      <c r="J672" s="16" t="str">
        <f>IFERROR(VLOOKUP($C672,[1]dados_2023!$C$3:$H$357,6,0),"-")</f>
        <v>-</v>
      </c>
    </row>
    <row r="673" spans="1:10" ht="18" customHeight="1" x14ac:dyDescent="0.3">
      <c r="A673" s="11">
        <v>21</v>
      </c>
      <c r="B673" s="12" t="s">
        <v>993</v>
      </c>
      <c r="C673" s="13">
        <v>1109326</v>
      </c>
      <c r="D673" s="14" t="s">
        <v>557</v>
      </c>
      <c r="E673" s="15">
        <v>7408.4000000000005</v>
      </c>
      <c r="F673" s="15">
        <f t="shared" si="33"/>
        <v>74084</v>
      </c>
      <c r="G673" s="15">
        <v>31807.000000000007</v>
      </c>
      <c r="H673" s="15">
        <f t="shared" si="34"/>
        <v>318070.00000000006</v>
      </c>
      <c r="I673" s="16" t="str">
        <f>IFERROR(VLOOKUP($C673,[1]dados_2023!$C$3:$H$357,4,0),"-")</f>
        <v>-</v>
      </c>
      <c r="J673" s="16" t="str">
        <f>IFERROR(VLOOKUP($C673,[1]dados_2023!$C$3:$H$357,6,0),"-")</f>
        <v>-</v>
      </c>
    </row>
    <row r="674" spans="1:10" ht="18" customHeight="1" x14ac:dyDescent="0.3">
      <c r="A674" s="11">
        <v>21</v>
      </c>
      <c r="B674" s="12" t="s">
        <v>995</v>
      </c>
      <c r="C674" s="13">
        <v>1176467</v>
      </c>
      <c r="D674" s="14" t="s">
        <v>996</v>
      </c>
      <c r="E674" s="15">
        <v>12798.599999999999</v>
      </c>
      <c r="F674" s="15">
        <f t="shared" si="33"/>
        <v>127985.99999999999</v>
      </c>
      <c r="G674" s="15">
        <v>46909.200000000004</v>
      </c>
      <c r="H674" s="15">
        <f t="shared" si="34"/>
        <v>469092.00000000006</v>
      </c>
      <c r="I674" s="16" t="str">
        <f>IFERROR(VLOOKUP($C674,[1]dados_2023!$C$3:$H$357,4,0),"-")</f>
        <v>-</v>
      </c>
      <c r="J674" s="16" t="str">
        <f>IFERROR(VLOOKUP($C674,[1]dados_2023!$C$3:$H$357,6,0),"-")</f>
        <v>-</v>
      </c>
    </row>
    <row r="675" spans="1:10" ht="18" customHeight="1" x14ac:dyDescent="0.3">
      <c r="A675" s="11">
        <v>21</v>
      </c>
      <c r="B675" s="12" t="s">
        <v>997</v>
      </c>
      <c r="C675" s="13">
        <v>1134568</v>
      </c>
      <c r="D675" s="14" t="s">
        <v>998</v>
      </c>
      <c r="E675" s="15">
        <v>21221.600000000002</v>
      </c>
      <c r="F675" s="15">
        <f t="shared" si="33"/>
        <v>212216.00000000003</v>
      </c>
      <c r="G675" s="15">
        <v>65161.4</v>
      </c>
      <c r="H675" s="15">
        <f t="shared" si="34"/>
        <v>651614</v>
      </c>
      <c r="I675" s="16" t="str">
        <f>IFERROR(VLOOKUP($C675,[1]dados_2023!$C$3:$H$357,4,0),"-")</f>
        <v>-</v>
      </c>
      <c r="J675" s="16" t="str">
        <f>IFERROR(VLOOKUP($C675,[1]dados_2023!$C$3:$H$357,6,0),"-")</f>
        <v>-</v>
      </c>
    </row>
    <row r="676" spans="1:10" ht="18" customHeight="1" x14ac:dyDescent="0.3">
      <c r="A676" s="11">
        <v>21</v>
      </c>
      <c r="B676" s="12" t="s">
        <v>997</v>
      </c>
      <c r="C676" s="13">
        <v>1134665</v>
      </c>
      <c r="D676" s="14" t="s">
        <v>999</v>
      </c>
      <c r="E676" s="15">
        <v>7330</v>
      </c>
      <c r="F676" s="15">
        <f t="shared" si="33"/>
        <v>73300</v>
      </c>
      <c r="G676" s="15">
        <v>31372.400000000001</v>
      </c>
      <c r="H676" s="15">
        <f t="shared" si="34"/>
        <v>313724</v>
      </c>
      <c r="I676" s="16" t="str">
        <f>IFERROR(VLOOKUP($C676,[1]dados_2023!$C$3:$H$357,4,0),"-")</f>
        <v>-</v>
      </c>
      <c r="J676" s="16" t="str">
        <f>IFERROR(VLOOKUP($C676,[1]dados_2023!$C$3:$H$357,6,0),"-")</f>
        <v>-</v>
      </c>
    </row>
    <row r="677" spans="1:10" ht="18" customHeight="1" x14ac:dyDescent="0.3">
      <c r="A677" s="11">
        <v>21</v>
      </c>
      <c r="B677" s="12" t="s">
        <v>997</v>
      </c>
      <c r="C677" s="13">
        <v>1178262</v>
      </c>
      <c r="D677" s="14" t="s">
        <v>1000</v>
      </c>
      <c r="E677" s="15">
        <v>1590.4</v>
      </c>
      <c r="F677" s="15">
        <f t="shared" si="33"/>
        <v>15904</v>
      </c>
      <c r="G677" s="15">
        <v>7419.2000000000007</v>
      </c>
      <c r="H677" s="15">
        <f t="shared" si="34"/>
        <v>74192</v>
      </c>
      <c r="I677" s="16" t="str">
        <f>IFERROR(VLOOKUP($C677,[1]dados_2023!$C$3:$H$357,4,0),"-")</f>
        <v>-</v>
      </c>
      <c r="J677" s="16" t="str">
        <f>IFERROR(VLOOKUP($C677,[1]dados_2023!$C$3:$H$357,6,0),"-")</f>
        <v>-</v>
      </c>
    </row>
    <row r="678" spans="1:10" ht="18" customHeight="1" x14ac:dyDescent="0.3">
      <c r="A678" s="11">
        <v>21</v>
      </c>
      <c r="B678" s="12" t="s">
        <v>997</v>
      </c>
      <c r="C678" s="13">
        <v>1178052</v>
      </c>
      <c r="D678" s="14" t="s">
        <v>144</v>
      </c>
      <c r="E678" s="15">
        <v>2852.2</v>
      </c>
      <c r="F678" s="15">
        <f t="shared" si="33"/>
        <v>28522</v>
      </c>
      <c r="G678" s="15">
        <v>13236.400000000001</v>
      </c>
      <c r="H678" s="15">
        <f t="shared" si="34"/>
        <v>132364</v>
      </c>
      <c r="I678" s="16" t="str">
        <f>IFERROR(VLOOKUP($C678,[1]dados_2023!$C$3:$H$357,4,0),"-")</f>
        <v>-</v>
      </c>
      <c r="J678" s="16" t="str">
        <f>IFERROR(VLOOKUP($C678,[1]dados_2023!$C$3:$H$357,6,0),"-")</f>
        <v>-</v>
      </c>
    </row>
    <row r="679" spans="1:10" ht="18" customHeight="1" x14ac:dyDescent="0.3">
      <c r="A679" s="11">
        <v>21</v>
      </c>
      <c r="B679" s="12" t="s">
        <v>1001</v>
      </c>
      <c r="C679" s="13">
        <v>1178087</v>
      </c>
      <c r="D679" s="14" t="s">
        <v>1002</v>
      </c>
      <c r="E679" s="15">
        <v>15080</v>
      </c>
      <c r="F679" s="15">
        <f t="shared" si="33"/>
        <v>150800</v>
      </c>
      <c r="G679" s="15">
        <v>64542.400000000009</v>
      </c>
      <c r="H679" s="15">
        <f t="shared" si="34"/>
        <v>645424.00000000012</v>
      </c>
      <c r="I679" s="16" t="str">
        <f>IFERROR(VLOOKUP($C679,[1]dados_2023!$C$3:$H$357,4,0),"-")</f>
        <v>-</v>
      </c>
      <c r="J679" s="16" t="str">
        <f>IFERROR(VLOOKUP($C679,[1]dados_2023!$C$3:$H$357,6,0),"-")</f>
        <v>-</v>
      </c>
    </row>
    <row r="680" spans="1:10" ht="18" customHeight="1" x14ac:dyDescent="0.3">
      <c r="A680" s="11">
        <v>21</v>
      </c>
      <c r="B680" s="12" t="s">
        <v>1001</v>
      </c>
      <c r="C680" s="13">
        <v>1164564</v>
      </c>
      <c r="D680" s="14" t="s">
        <v>1003</v>
      </c>
      <c r="E680" s="15">
        <v>10514.8</v>
      </c>
      <c r="F680" s="15">
        <f t="shared" si="33"/>
        <v>105148</v>
      </c>
      <c r="G680" s="15">
        <v>46398.000000000007</v>
      </c>
      <c r="H680" s="15">
        <f t="shared" si="34"/>
        <v>463980.00000000006</v>
      </c>
      <c r="I680" s="16" t="str">
        <f>IFERROR(VLOOKUP($C680,[1]dados_2023!$C$3:$H$357,4,0),"-")</f>
        <v>-</v>
      </c>
      <c r="J680" s="16" t="str">
        <f>IFERROR(VLOOKUP($C680,[1]dados_2023!$C$3:$H$357,6,0),"-")</f>
        <v>-</v>
      </c>
    </row>
    <row r="681" spans="1:10" ht="18" customHeight="1" x14ac:dyDescent="0.3">
      <c r="A681" s="11">
        <v>21</v>
      </c>
      <c r="B681" s="12" t="s">
        <v>1001</v>
      </c>
      <c r="C681" s="13">
        <v>1109652</v>
      </c>
      <c r="D681" s="14" t="s">
        <v>1004</v>
      </c>
      <c r="E681" s="15">
        <v>18203.8</v>
      </c>
      <c r="F681" s="15">
        <f t="shared" si="33"/>
        <v>182038</v>
      </c>
      <c r="G681" s="15">
        <v>81390.399999999994</v>
      </c>
      <c r="H681" s="15">
        <f t="shared" si="34"/>
        <v>813904</v>
      </c>
      <c r="I681" s="16" t="str">
        <f>IFERROR(VLOOKUP($C681,[1]dados_2023!$C$3:$H$357,4,0),"-")</f>
        <v>-</v>
      </c>
      <c r="J681" s="16" t="str">
        <f>IFERROR(VLOOKUP($C681,[1]dados_2023!$C$3:$H$357,6,0),"-")</f>
        <v>-</v>
      </c>
    </row>
    <row r="682" spans="1:10" ht="18" customHeight="1" x14ac:dyDescent="0.3">
      <c r="A682" s="11">
        <v>21</v>
      </c>
      <c r="B682" s="12" t="s">
        <v>1005</v>
      </c>
      <c r="C682" s="13">
        <v>1134509</v>
      </c>
      <c r="D682" s="14" t="s">
        <v>1006</v>
      </c>
      <c r="E682" s="15">
        <v>10695.8</v>
      </c>
      <c r="F682" s="15">
        <f t="shared" si="33"/>
        <v>106958</v>
      </c>
      <c r="G682" s="15">
        <v>47215.200000000004</v>
      </c>
      <c r="H682" s="15">
        <f t="shared" si="34"/>
        <v>472152.00000000006</v>
      </c>
      <c r="I682" s="16" t="str">
        <f>IFERROR(VLOOKUP($C682,[1]dados_2023!$C$3:$H$357,4,0),"-")</f>
        <v>-</v>
      </c>
      <c r="J682" s="16" t="str">
        <f>IFERROR(VLOOKUP($C682,[1]dados_2023!$C$3:$H$357,6,0),"-")</f>
        <v>-</v>
      </c>
    </row>
    <row r="683" spans="1:10" ht="18" customHeight="1" x14ac:dyDescent="0.3">
      <c r="A683" s="11">
        <v>21</v>
      </c>
      <c r="B683" s="12" t="s">
        <v>1007</v>
      </c>
      <c r="C683" s="13">
        <v>1134657</v>
      </c>
      <c r="D683" s="14" t="s">
        <v>225</v>
      </c>
      <c r="E683" s="15">
        <v>6234.2000000000007</v>
      </c>
      <c r="F683" s="15">
        <f t="shared" si="33"/>
        <v>62342.000000000007</v>
      </c>
      <c r="G683" s="15">
        <v>21964.200000000004</v>
      </c>
      <c r="H683" s="15">
        <f t="shared" si="34"/>
        <v>219642.00000000006</v>
      </c>
      <c r="I683" s="16" t="str">
        <f>IFERROR(VLOOKUP($C683,[1]dados_2023!$C$3:$H$357,4,0),"-")</f>
        <v>-</v>
      </c>
      <c r="J683" s="16" t="str">
        <f>IFERROR(VLOOKUP($C683,[1]dados_2023!$C$3:$H$357,6,0),"-")</f>
        <v>-</v>
      </c>
    </row>
    <row r="684" spans="1:10" ht="18" customHeight="1" x14ac:dyDescent="0.3">
      <c r="A684" s="11">
        <v>21</v>
      </c>
      <c r="B684" s="12" t="s">
        <v>1008</v>
      </c>
      <c r="C684" s="13">
        <v>1134932</v>
      </c>
      <c r="D684" s="14" t="s">
        <v>1009</v>
      </c>
      <c r="E684" s="15">
        <v>4520</v>
      </c>
      <c r="F684" s="15">
        <f t="shared" si="33"/>
        <v>45200</v>
      </c>
      <c r="G684" s="15">
        <v>19345.600000000002</v>
      </c>
      <c r="H684" s="15">
        <f t="shared" si="34"/>
        <v>193456.00000000003</v>
      </c>
      <c r="I684" s="16" t="str">
        <f>IFERROR(VLOOKUP($C684,[1]dados_2023!$C$3:$H$357,4,0),"-")</f>
        <v>-</v>
      </c>
      <c r="J684" s="16" t="str">
        <f>IFERROR(VLOOKUP($C684,[1]dados_2023!$C$3:$H$357,6,0),"-")</f>
        <v>-</v>
      </c>
    </row>
    <row r="685" spans="1:10" ht="18" customHeight="1" x14ac:dyDescent="0.3">
      <c r="A685" s="11">
        <v>21</v>
      </c>
      <c r="B685" s="12" t="s">
        <v>1008</v>
      </c>
      <c r="C685" s="13">
        <v>1178265</v>
      </c>
      <c r="D685" s="14" t="s">
        <v>1010</v>
      </c>
      <c r="E685" s="15">
        <v>1280</v>
      </c>
      <c r="F685" s="15">
        <f t="shared" si="33"/>
        <v>12800</v>
      </c>
      <c r="G685" s="15">
        <v>5478.4000000000005</v>
      </c>
      <c r="H685" s="15">
        <f t="shared" si="34"/>
        <v>54784.000000000007</v>
      </c>
      <c r="I685" s="16" t="str">
        <f>IFERROR(VLOOKUP($C685,[1]dados_2023!$C$3:$H$357,4,0),"-")</f>
        <v>-</v>
      </c>
      <c r="J685" s="16" t="str">
        <f>IFERROR(VLOOKUP($C685,[1]dados_2023!$C$3:$H$357,6,0),"-")</f>
        <v>-</v>
      </c>
    </row>
    <row r="686" spans="1:10" ht="18" customHeight="1" x14ac:dyDescent="0.3">
      <c r="A686" s="11">
        <v>21</v>
      </c>
      <c r="B686" s="12" t="s">
        <v>1008</v>
      </c>
      <c r="C686" s="13">
        <v>1138954</v>
      </c>
      <c r="D686" s="14" t="s">
        <v>1011</v>
      </c>
      <c r="E686" s="15">
        <v>7598.4000000000005</v>
      </c>
      <c r="F686" s="15">
        <f t="shared" si="33"/>
        <v>75984</v>
      </c>
      <c r="G686" s="15">
        <v>31506.600000000006</v>
      </c>
      <c r="H686" s="15">
        <f t="shared" si="34"/>
        <v>315066.00000000006</v>
      </c>
      <c r="I686" s="16" t="str">
        <f>IFERROR(VLOOKUP($C686,[1]dados_2023!$C$3:$H$357,4,0),"-")</f>
        <v>-</v>
      </c>
      <c r="J686" s="16" t="str">
        <f>IFERROR(VLOOKUP($C686,[1]dados_2023!$C$3:$H$357,6,0),"-")</f>
        <v>-</v>
      </c>
    </row>
    <row r="687" spans="1:10" ht="18" customHeight="1" x14ac:dyDescent="0.3">
      <c r="A687" s="11">
        <v>21</v>
      </c>
      <c r="B687" s="12" t="s">
        <v>1012</v>
      </c>
      <c r="C687" s="13">
        <v>1178053</v>
      </c>
      <c r="D687" s="14" t="s">
        <v>1013</v>
      </c>
      <c r="E687" s="15">
        <v>8500.4000000000015</v>
      </c>
      <c r="F687" s="15">
        <f t="shared" si="33"/>
        <v>85004.000000000015</v>
      </c>
      <c r="G687" s="15">
        <v>28996.400000000001</v>
      </c>
      <c r="H687" s="15">
        <f t="shared" si="34"/>
        <v>289964</v>
      </c>
      <c r="I687" s="16" t="str">
        <f>IFERROR(VLOOKUP($C687,[1]dados_2023!$C$3:$H$357,4,0),"-")</f>
        <v>-</v>
      </c>
      <c r="J687" s="16" t="str">
        <f>IFERROR(VLOOKUP($C687,[1]dados_2023!$C$3:$H$357,6,0),"-")</f>
        <v>-</v>
      </c>
    </row>
    <row r="688" spans="1:10" ht="18" customHeight="1" x14ac:dyDescent="0.3">
      <c r="A688" s="11">
        <v>21</v>
      </c>
      <c r="B688" s="12" t="s">
        <v>1014</v>
      </c>
      <c r="C688" s="13">
        <v>1178030</v>
      </c>
      <c r="D688" s="14" t="s">
        <v>665</v>
      </c>
      <c r="E688" s="15">
        <v>4806.6000000000004</v>
      </c>
      <c r="F688" s="15">
        <f t="shared" si="33"/>
        <v>48066</v>
      </c>
      <c r="G688" s="15">
        <v>21108</v>
      </c>
      <c r="H688" s="15">
        <f t="shared" si="34"/>
        <v>211080</v>
      </c>
      <c r="I688" s="16" t="str">
        <f>IFERROR(VLOOKUP($C688,[1]dados_2023!$C$3:$H$357,4,0),"-")</f>
        <v>-</v>
      </c>
      <c r="J688" s="16" t="str">
        <f>IFERROR(VLOOKUP($C688,[1]dados_2023!$C$3:$H$357,6,0),"-")</f>
        <v>-</v>
      </c>
    </row>
    <row r="689" spans="1:10" ht="18" customHeight="1" x14ac:dyDescent="0.3">
      <c r="A689" s="11">
        <v>21</v>
      </c>
      <c r="B689" s="12" t="s">
        <v>970</v>
      </c>
      <c r="C689" s="13">
        <v>1135394</v>
      </c>
      <c r="D689" s="14" t="s">
        <v>1015</v>
      </c>
      <c r="E689" s="15">
        <v>4331.7999999999993</v>
      </c>
      <c r="F689" s="15">
        <f t="shared" si="33"/>
        <v>43317.999999999993</v>
      </c>
      <c r="G689" s="15">
        <v>10896.600000000002</v>
      </c>
      <c r="H689" s="15">
        <f t="shared" si="34"/>
        <v>108966.00000000003</v>
      </c>
      <c r="I689" s="16" t="str">
        <f>IFERROR(VLOOKUP($C689,[1]dados_2023!$C$3:$H$357,4,0),"-")</f>
        <v>-</v>
      </c>
      <c r="J689" s="16" t="str">
        <f>IFERROR(VLOOKUP($C689,[1]dados_2023!$C$3:$H$357,6,0),"-")</f>
        <v>-</v>
      </c>
    </row>
    <row r="690" spans="1:10" ht="18" customHeight="1" x14ac:dyDescent="0.3">
      <c r="A690" s="11">
        <v>21</v>
      </c>
      <c r="B690" s="12" t="s">
        <v>985</v>
      </c>
      <c r="C690" s="13">
        <v>1176201</v>
      </c>
      <c r="D690" s="14" t="s">
        <v>1016</v>
      </c>
      <c r="E690" s="15">
        <v>8342</v>
      </c>
      <c r="F690" s="15">
        <f t="shared" si="33"/>
        <v>83420</v>
      </c>
      <c r="G690" s="15">
        <v>18042</v>
      </c>
      <c r="H690" s="15">
        <f t="shared" si="34"/>
        <v>180420</v>
      </c>
      <c r="I690" s="16" t="str">
        <f>IFERROR(VLOOKUP($C690,[1]dados_2023!$C$3:$H$357,4,0),"-")</f>
        <v>-</v>
      </c>
      <c r="J690" s="16" t="str">
        <f>IFERROR(VLOOKUP($C690,[1]dados_2023!$C$3:$H$357,6,0),"-")</f>
        <v>-</v>
      </c>
    </row>
    <row r="691" spans="1:10" ht="18" customHeight="1" x14ac:dyDescent="0.3">
      <c r="A691" s="11">
        <v>21</v>
      </c>
      <c r="B691" s="12" t="s">
        <v>1001</v>
      </c>
      <c r="C691" s="13">
        <v>1176152</v>
      </c>
      <c r="D691" s="14" t="s">
        <v>1017</v>
      </c>
      <c r="E691" s="23">
        <v>3277.6000000000004</v>
      </c>
      <c r="F691" s="15">
        <f t="shared" si="33"/>
        <v>32776</v>
      </c>
      <c r="G691" s="23">
        <v>9495.4</v>
      </c>
      <c r="H691" s="15">
        <f t="shared" si="34"/>
        <v>94954</v>
      </c>
      <c r="I691" s="16" t="str">
        <f>IFERROR(VLOOKUP($C691,[1]dados_2023!$C$3:$H$357,4,0),"-")</f>
        <v>-</v>
      </c>
      <c r="J691" s="16" t="str">
        <f>IFERROR(VLOOKUP($C691,[1]dados_2023!$C$3:$H$357,6,0),"-")</f>
        <v>-</v>
      </c>
    </row>
    <row r="692" spans="1:10" ht="18" customHeight="1" x14ac:dyDescent="0.3">
      <c r="A692" s="11">
        <v>22</v>
      </c>
      <c r="B692" s="12" t="s">
        <v>1018</v>
      </c>
      <c r="C692" s="13">
        <v>1178051</v>
      </c>
      <c r="D692" s="14" t="s">
        <v>1019</v>
      </c>
      <c r="E692" s="15">
        <v>3877.6000000000004</v>
      </c>
      <c r="F692" s="15">
        <f t="shared" si="33"/>
        <v>38776</v>
      </c>
      <c r="G692" s="15">
        <v>12226</v>
      </c>
      <c r="H692" s="15">
        <f t="shared" si="34"/>
        <v>122260</v>
      </c>
      <c r="I692" s="16" t="str">
        <f>IFERROR(VLOOKUP($C692,[1]dados_2023!$C$3:$H$357,4,0),"-")</f>
        <v>-</v>
      </c>
      <c r="J692" s="16" t="str">
        <f>IFERROR(VLOOKUP($C692,[1]dados_2023!$C$3:$H$357,6,0),"-")</f>
        <v>-</v>
      </c>
    </row>
    <row r="693" spans="1:10" ht="18" customHeight="1" x14ac:dyDescent="0.3">
      <c r="A693" s="11">
        <v>22</v>
      </c>
      <c r="B693" s="12" t="s">
        <v>1020</v>
      </c>
      <c r="C693" s="13">
        <v>1110758</v>
      </c>
      <c r="D693" s="14" t="s">
        <v>1021</v>
      </c>
      <c r="E693" s="15">
        <v>5149.3999999999996</v>
      </c>
      <c r="F693" s="15">
        <f t="shared" si="33"/>
        <v>51494</v>
      </c>
      <c r="G693" s="15">
        <v>17299.400000000001</v>
      </c>
      <c r="H693" s="15">
        <f t="shared" si="34"/>
        <v>172994</v>
      </c>
      <c r="I693" s="16" t="str">
        <f>IFERROR(VLOOKUP($C693,[1]dados_2023!$C$3:$H$357,4,0),"-")</f>
        <v>-</v>
      </c>
      <c r="J693" s="16" t="str">
        <f>IFERROR(VLOOKUP($C693,[1]dados_2023!$C$3:$H$357,6,0),"-")</f>
        <v>-</v>
      </c>
    </row>
    <row r="694" spans="1:10" ht="18" customHeight="1" x14ac:dyDescent="0.3">
      <c r="A694" s="11">
        <v>22</v>
      </c>
      <c r="B694" s="12" t="s">
        <v>1022</v>
      </c>
      <c r="C694" s="13">
        <v>1117310</v>
      </c>
      <c r="D694" s="14" t="s">
        <v>1023</v>
      </c>
      <c r="E694" s="15">
        <v>5289.8</v>
      </c>
      <c r="F694" s="15">
        <f t="shared" si="33"/>
        <v>52898</v>
      </c>
      <c r="G694" s="15">
        <v>17792.8</v>
      </c>
      <c r="H694" s="15">
        <f t="shared" si="34"/>
        <v>177928</v>
      </c>
      <c r="I694" s="16" t="str">
        <f>IFERROR(VLOOKUP($C694,[1]dados_2023!$C$3:$H$357,4,0),"-")</f>
        <v>-</v>
      </c>
      <c r="J694" s="16" t="str">
        <f>IFERROR(VLOOKUP($C694,[1]dados_2023!$C$3:$H$357,6,0),"-")</f>
        <v>-</v>
      </c>
    </row>
    <row r="695" spans="1:10" ht="18" customHeight="1" x14ac:dyDescent="0.3">
      <c r="A695" s="11">
        <v>22</v>
      </c>
      <c r="B695" s="12" t="s">
        <v>1024</v>
      </c>
      <c r="C695" s="13">
        <v>1117221</v>
      </c>
      <c r="D695" s="14" t="s">
        <v>1025</v>
      </c>
      <c r="E695" s="15">
        <v>6349.2</v>
      </c>
      <c r="F695" s="15">
        <f t="shared" si="33"/>
        <v>63492</v>
      </c>
      <c r="G695" s="15">
        <v>24372.800000000003</v>
      </c>
      <c r="H695" s="15">
        <f t="shared" si="34"/>
        <v>243728.00000000003</v>
      </c>
      <c r="I695" s="16" t="str">
        <f>IFERROR(VLOOKUP($C695,[1]dados_2023!$C$3:$H$357,4,0),"-")</f>
        <v>-</v>
      </c>
      <c r="J695" s="16" t="str">
        <f>IFERROR(VLOOKUP($C695,[1]dados_2023!$C$3:$H$357,6,0),"-")</f>
        <v>-</v>
      </c>
    </row>
    <row r="696" spans="1:10" ht="18" customHeight="1" x14ac:dyDescent="0.3">
      <c r="A696" s="11">
        <v>22</v>
      </c>
      <c r="B696" s="12" t="s">
        <v>1026</v>
      </c>
      <c r="C696" s="13">
        <v>1116950</v>
      </c>
      <c r="D696" s="14" t="s">
        <v>1027</v>
      </c>
      <c r="E696" s="15">
        <v>5158.3999999999996</v>
      </c>
      <c r="F696" s="15">
        <f t="shared" si="33"/>
        <v>51584</v>
      </c>
      <c r="G696" s="15">
        <v>20376</v>
      </c>
      <c r="H696" s="15">
        <f t="shared" si="34"/>
        <v>203760</v>
      </c>
      <c r="I696" s="16" t="str">
        <f>IFERROR(VLOOKUP($C696,[1]dados_2023!$C$3:$H$357,4,0),"-")</f>
        <v>-</v>
      </c>
      <c r="J696" s="16" t="str">
        <f>IFERROR(VLOOKUP($C696,[1]dados_2023!$C$3:$H$357,6,0),"-")</f>
        <v>-</v>
      </c>
    </row>
    <row r="697" spans="1:10" ht="18" customHeight="1" x14ac:dyDescent="0.3">
      <c r="A697" s="11">
        <v>22</v>
      </c>
      <c r="B697" s="12" t="s">
        <v>1028</v>
      </c>
      <c r="C697" s="13">
        <v>1158882</v>
      </c>
      <c r="D697" s="14" t="s">
        <v>1029</v>
      </c>
      <c r="E697" s="15">
        <v>4176.2000000000007</v>
      </c>
      <c r="F697" s="15">
        <f t="shared" si="33"/>
        <v>41762.000000000007</v>
      </c>
      <c r="G697" s="15">
        <v>14715</v>
      </c>
      <c r="H697" s="15">
        <f t="shared" si="34"/>
        <v>147150</v>
      </c>
      <c r="I697" s="16" t="str">
        <f>IFERROR(VLOOKUP($C697,[1]dados_2023!$C$3:$H$357,4,0),"-")</f>
        <v>-</v>
      </c>
      <c r="J697" s="16" t="str">
        <f>IFERROR(VLOOKUP($C697,[1]dados_2023!$C$3:$H$357,6,0),"-")</f>
        <v>-</v>
      </c>
    </row>
    <row r="698" spans="1:10" ht="18" customHeight="1" x14ac:dyDescent="0.3">
      <c r="A698" s="11">
        <v>22</v>
      </c>
      <c r="B698" s="12" t="s">
        <v>1030</v>
      </c>
      <c r="C698" s="13">
        <v>1117108</v>
      </c>
      <c r="D698" s="14" t="s">
        <v>1031</v>
      </c>
      <c r="E698" s="15">
        <v>13111.6</v>
      </c>
      <c r="F698" s="15">
        <f t="shared" si="33"/>
        <v>131116</v>
      </c>
      <c r="G698" s="15">
        <v>40577.199999999997</v>
      </c>
      <c r="H698" s="15">
        <f t="shared" si="34"/>
        <v>405772</v>
      </c>
      <c r="I698" s="16" t="str">
        <f>IFERROR(VLOOKUP($C698,[1]dados_2023!$C$3:$H$357,4,0),"-")</f>
        <v>-</v>
      </c>
      <c r="J698" s="16" t="str">
        <f>IFERROR(VLOOKUP($C698,[1]dados_2023!$C$3:$H$357,6,0),"-")</f>
        <v>-</v>
      </c>
    </row>
    <row r="699" spans="1:10" ht="18" customHeight="1" x14ac:dyDescent="0.3">
      <c r="A699" s="11">
        <v>22</v>
      </c>
      <c r="B699" s="12" t="s">
        <v>1030</v>
      </c>
      <c r="C699" s="13">
        <v>1178097</v>
      </c>
      <c r="D699" s="14" t="s">
        <v>1032</v>
      </c>
      <c r="E699" s="15">
        <v>1664.6000000000001</v>
      </c>
      <c r="F699" s="15">
        <f t="shared" si="33"/>
        <v>16646</v>
      </c>
      <c r="G699" s="15">
        <v>6428.2000000000007</v>
      </c>
      <c r="H699" s="15">
        <f t="shared" si="34"/>
        <v>64282.000000000007</v>
      </c>
      <c r="I699" s="16" t="str">
        <f>IFERROR(VLOOKUP($C699,[1]dados_2023!$C$3:$H$357,4,0),"-")</f>
        <v>-</v>
      </c>
      <c r="J699" s="16" t="str">
        <f>IFERROR(VLOOKUP($C699,[1]dados_2023!$C$3:$H$357,6,0),"-")</f>
        <v>-</v>
      </c>
    </row>
    <row r="700" spans="1:10" ht="18" customHeight="1" x14ac:dyDescent="0.3">
      <c r="A700" s="11">
        <v>22</v>
      </c>
      <c r="B700" s="12" t="s">
        <v>1033</v>
      </c>
      <c r="C700" s="13">
        <v>1166621</v>
      </c>
      <c r="D700" s="14" t="s">
        <v>1034</v>
      </c>
      <c r="E700" s="15">
        <v>7704</v>
      </c>
      <c r="F700" s="15">
        <f t="shared" si="33"/>
        <v>77040</v>
      </c>
      <c r="G700" s="15">
        <v>32586.400000000001</v>
      </c>
      <c r="H700" s="15">
        <f t="shared" si="34"/>
        <v>325864</v>
      </c>
      <c r="I700" s="16" t="str">
        <f>IFERROR(VLOOKUP($C700,[1]dados_2023!$C$3:$H$357,4,0),"-")</f>
        <v>-</v>
      </c>
      <c r="J700" s="16" t="str">
        <f>IFERROR(VLOOKUP($C700,[1]dados_2023!$C$3:$H$357,6,0),"-")</f>
        <v>-</v>
      </c>
    </row>
    <row r="701" spans="1:10" ht="18" customHeight="1" x14ac:dyDescent="0.3">
      <c r="A701" s="11">
        <v>22</v>
      </c>
      <c r="B701" s="12" t="s">
        <v>1033</v>
      </c>
      <c r="C701" s="13">
        <v>1117035</v>
      </c>
      <c r="D701" s="14" t="s">
        <v>1035</v>
      </c>
      <c r="E701" s="15">
        <v>8422</v>
      </c>
      <c r="F701" s="15">
        <f t="shared" si="33"/>
        <v>84220</v>
      </c>
      <c r="G701" s="15">
        <v>39532.800000000003</v>
      </c>
      <c r="H701" s="15">
        <f t="shared" si="34"/>
        <v>395328</v>
      </c>
      <c r="I701" s="16" t="str">
        <f>IFERROR(VLOOKUP($C701,[1]dados_2023!$C$3:$H$357,4,0),"-")</f>
        <v>-</v>
      </c>
      <c r="J701" s="16" t="str">
        <f>IFERROR(VLOOKUP($C701,[1]dados_2023!$C$3:$H$357,6,0),"-")</f>
        <v>-</v>
      </c>
    </row>
    <row r="702" spans="1:10" ht="18" customHeight="1" x14ac:dyDescent="0.3">
      <c r="A702" s="11">
        <v>22</v>
      </c>
      <c r="B702" s="12" t="s">
        <v>1033</v>
      </c>
      <c r="C702" s="13">
        <v>1176433</v>
      </c>
      <c r="D702" s="14" t="s">
        <v>1036</v>
      </c>
      <c r="E702" s="15">
        <v>17411.800000000003</v>
      </c>
      <c r="F702" s="15">
        <f t="shared" si="33"/>
        <v>174118.00000000003</v>
      </c>
      <c r="G702" s="15">
        <v>52982.200000000004</v>
      </c>
      <c r="H702" s="15">
        <f t="shared" si="34"/>
        <v>529822</v>
      </c>
      <c r="I702" s="16" t="str">
        <f>IFERROR(VLOOKUP($C702,[1]dados_2023!$C$3:$H$357,4,0),"-")</f>
        <v>-</v>
      </c>
      <c r="J702" s="16" t="str">
        <f>IFERROR(VLOOKUP($C702,[1]dados_2023!$C$3:$H$357,6,0),"-")</f>
        <v>-</v>
      </c>
    </row>
    <row r="703" spans="1:10" ht="18" customHeight="1" x14ac:dyDescent="0.3">
      <c r="A703" s="11">
        <v>22</v>
      </c>
      <c r="B703" s="12" t="s">
        <v>1037</v>
      </c>
      <c r="C703" s="13">
        <v>1178015</v>
      </c>
      <c r="D703" s="14" t="s">
        <v>1038</v>
      </c>
      <c r="E703" s="15">
        <v>6884</v>
      </c>
      <c r="F703" s="15">
        <f t="shared" si="33"/>
        <v>68840</v>
      </c>
      <c r="G703" s="15">
        <v>28221.4</v>
      </c>
      <c r="H703" s="15">
        <f t="shared" si="34"/>
        <v>282214</v>
      </c>
      <c r="I703" s="16" t="str">
        <f>IFERROR(VLOOKUP($C703,[1]dados_2023!$C$3:$H$357,4,0),"-")</f>
        <v>-</v>
      </c>
      <c r="J703" s="16" t="str">
        <f>IFERROR(VLOOKUP($C703,[1]dados_2023!$C$3:$H$357,6,0),"-")</f>
        <v>-</v>
      </c>
    </row>
    <row r="704" spans="1:10" ht="18" customHeight="1" x14ac:dyDescent="0.3">
      <c r="A704" s="11">
        <v>22</v>
      </c>
      <c r="B704" s="12" t="s">
        <v>1039</v>
      </c>
      <c r="C704" s="13">
        <v>1117434</v>
      </c>
      <c r="D704" s="14" t="s">
        <v>1040</v>
      </c>
      <c r="E704" s="15">
        <v>9088.2000000000007</v>
      </c>
      <c r="F704" s="15">
        <f t="shared" si="33"/>
        <v>90882</v>
      </c>
      <c r="G704" s="15">
        <v>30021.599999999999</v>
      </c>
      <c r="H704" s="15">
        <f t="shared" si="34"/>
        <v>300216</v>
      </c>
      <c r="I704" s="16" t="str">
        <f>IFERROR(VLOOKUP($C704,[1]dados_2023!$C$3:$H$357,4,0),"-")</f>
        <v>-</v>
      </c>
      <c r="J704" s="16" t="str">
        <f>IFERROR(VLOOKUP($C704,[1]dados_2023!$C$3:$H$357,6,0),"-")</f>
        <v>-</v>
      </c>
    </row>
    <row r="705" spans="1:10" ht="18" customHeight="1" x14ac:dyDescent="0.3">
      <c r="A705" s="11">
        <v>22</v>
      </c>
      <c r="B705" s="12" t="s">
        <v>1041</v>
      </c>
      <c r="C705" s="13">
        <v>1110294</v>
      </c>
      <c r="D705" s="14" t="s">
        <v>1042</v>
      </c>
      <c r="E705" s="15">
        <v>4459.8</v>
      </c>
      <c r="F705" s="15">
        <f t="shared" si="33"/>
        <v>44598</v>
      </c>
      <c r="G705" s="15">
        <v>17353.400000000001</v>
      </c>
      <c r="H705" s="15">
        <f t="shared" si="34"/>
        <v>173534</v>
      </c>
      <c r="I705" s="16" t="str">
        <f>IFERROR(VLOOKUP($C705,[1]dados_2023!$C$3:$H$357,4,0),"-")</f>
        <v>-</v>
      </c>
      <c r="J705" s="16" t="str">
        <f>IFERROR(VLOOKUP($C705,[1]dados_2023!$C$3:$H$357,6,0),"-")</f>
        <v>-</v>
      </c>
    </row>
    <row r="706" spans="1:10" ht="18" customHeight="1" x14ac:dyDescent="0.3">
      <c r="A706" s="11">
        <v>22</v>
      </c>
      <c r="B706" s="12" t="s">
        <v>1043</v>
      </c>
      <c r="C706" s="13">
        <v>1117892</v>
      </c>
      <c r="D706" s="14" t="s">
        <v>1044</v>
      </c>
      <c r="E706" s="15">
        <v>15440</v>
      </c>
      <c r="F706" s="15">
        <f t="shared" si="33"/>
        <v>154400</v>
      </c>
      <c r="G706" s="15">
        <v>66083.200000000012</v>
      </c>
      <c r="H706" s="15">
        <f t="shared" si="34"/>
        <v>660832.00000000012</v>
      </c>
      <c r="I706" s="16" t="str">
        <f>IFERROR(VLOOKUP($C706,[1]dados_2023!$C$3:$H$357,4,0),"-")</f>
        <v>-</v>
      </c>
      <c r="J706" s="16" t="str">
        <f>IFERROR(VLOOKUP($C706,[1]dados_2023!$C$3:$H$357,6,0),"-")</f>
        <v>-</v>
      </c>
    </row>
    <row r="707" spans="1:10" ht="18" customHeight="1" x14ac:dyDescent="0.3">
      <c r="A707" s="11">
        <v>22</v>
      </c>
      <c r="B707" s="12" t="s">
        <v>1043</v>
      </c>
      <c r="C707" s="13">
        <v>1179277</v>
      </c>
      <c r="D707" s="14" t="s">
        <v>1045</v>
      </c>
      <c r="E707" s="15">
        <v>3860</v>
      </c>
      <c r="F707" s="15">
        <f t="shared" si="33"/>
        <v>38600</v>
      </c>
      <c r="G707" s="15">
        <v>16520.800000000003</v>
      </c>
      <c r="H707" s="15">
        <f t="shared" si="34"/>
        <v>165208.00000000003</v>
      </c>
      <c r="I707" s="16" t="str">
        <f>IFERROR(VLOOKUP($C707,[1]dados_2023!$C$3:$H$357,4,0),"-")</f>
        <v>-</v>
      </c>
      <c r="J707" s="16" t="str">
        <f>IFERROR(VLOOKUP($C707,[1]dados_2023!$C$3:$H$357,6,0),"-")</f>
        <v>-</v>
      </c>
    </row>
    <row r="708" spans="1:10" ht="18" customHeight="1" x14ac:dyDescent="0.3">
      <c r="A708" s="11">
        <v>22</v>
      </c>
      <c r="B708" s="12" t="s">
        <v>1043</v>
      </c>
      <c r="C708" s="13">
        <v>1176093</v>
      </c>
      <c r="D708" s="14" t="s">
        <v>1046</v>
      </c>
      <c r="E708" s="15">
        <v>12060</v>
      </c>
      <c r="F708" s="15">
        <f t="shared" si="33"/>
        <v>120600</v>
      </c>
      <c r="G708" s="15">
        <v>51616.800000000003</v>
      </c>
      <c r="H708" s="15">
        <f t="shared" si="34"/>
        <v>516168</v>
      </c>
      <c r="I708" s="16" t="str">
        <f>IFERROR(VLOOKUP($C708,[1]dados_2023!$C$3:$H$357,4,0),"-")</f>
        <v>-</v>
      </c>
      <c r="J708" s="16" t="str">
        <f>IFERROR(VLOOKUP($C708,[1]dados_2023!$C$3:$H$357,6,0),"-")</f>
        <v>-</v>
      </c>
    </row>
    <row r="709" spans="1:10" ht="18" customHeight="1" x14ac:dyDescent="0.3">
      <c r="A709" s="11">
        <v>22</v>
      </c>
      <c r="B709" s="12" t="s">
        <v>1043</v>
      </c>
      <c r="C709" s="13">
        <v>1117698</v>
      </c>
      <c r="D709" s="14" t="s">
        <v>1047</v>
      </c>
      <c r="E709" s="15">
        <v>17162.400000000001</v>
      </c>
      <c r="F709" s="15">
        <f t="shared" si="33"/>
        <v>171624</v>
      </c>
      <c r="G709" s="15">
        <v>74084.600000000006</v>
      </c>
      <c r="H709" s="15">
        <f t="shared" si="34"/>
        <v>740846</v>
      </c>
      <c r="I709" s="16" t="str">
        <f>IFERROR(VLOOKUP($C709,[1]dados_2023!$C$3:$H$357,4,0),"-")</f>
        <v>-</v>
      </c>
      <c r="J709" s="16" t="str">
        <f>IFERROR(VLOOKUP($C709,[1]dados_2023!$C$3:$H$357,6,0),"-")</f>
        <v>-</v>
      </c>
    </row>
    <row r="710" spans="1:10" ht="18" customHeight="1" x14ac:dyDescent="0.3">
      <c r="A710" s="11">
        <v>22</v>
      </c>
      <c r="B710" s="12" t="s">
        <v>1043</v>
      </c>
      <c r="C710" s="13">
        <v>1176664</v>
      </c>
      <c r="D710" s="14" t="s">
        <v>1048</v>
      </c>
      <c r="E710" s="15">
        <v>8231</v>
      </c>
      <c r="F710" s="15">
        <f t="shared" si="33"/>
        <v>82310</v>
      </c>
      <c r="G710" s="15">
        <v>28320.400000000001</v>
      </c>
      <c r="H710" s="15">
        <f t="shared" si="34"/>
        <v>283204</v>
      </c>
      <c r="I710" s="16" t="str">
        <f>IFERROR(VLOOKUP($C710,[1]dados_2023!$C$3:$H$357,4,0),"-")</f>
        <v>-</v>
      </c>
      <c r="J710" s="16" t="str">
        <f>IFERROR(VLOOKUP($C710,[1]dados_2023!$C$3:$H$357,6,0),"-")</f>
        <v>-</v>
      </c>
    </row>
    <row r="711" spans="1:10" ht="18" customHeight="1" x14ac:dyDescent="0.3">
      <c r="A711" s="11">
        <v>22</v>
      </c>
      <c r="B711" s="12" t="s">
        <v>1043</v>
      </c>
      <c r="C711" s="13">
        <v>1117850</v>
      </c>
      <c r="D711" s="14" t="s">
        <v>772</v>
      </c>
      <c r="E711" s="15">
        <v>10250.4</v>
      </c>
      <c r="F711" s="15">
        <f t="shared" si="33"/>
        <v>102504</v>
      </c>
      <c r="G711" s="15">
        <v>41856</v>
      </c>
      <c r="H711" s="15">
        <f t="shared" si="34"/>
        <v>418560</v>
      </c>
      <c r="I711" s="16" t="str">
        <f>IFERROR(VLOOKUP($C711,[1]dados_2023!$C$3:$H$357,4,0),"-")</f>
        <v>-</v>
      </c>
      <c r="J711" s="16" t="str">
        <f>IFERROR(VLOOKUP($C711,[1]dados_2023!$C$3:$H$357,6,0),"-")</f>
        <v>-</v>
      </c>
    </row>
    <row r="712" spans="1:10" ht="18" customHeight="1" x14ac:dyDescent="0.3">
      <c r="A712" s="11">
        <v>22</v>
      </c>
      <c r="B712" s="12" t="s">
        <v>1043</v>
      </c>
      <c r="C712" s="13">
        <v>1177092</v>
      </c>
      <c r="D712" s="14" t="s">
        <v>1049</v>
      </c>
      <c r="E712" s="15">
        <v>9330</v>
      </c>
      <c r="F712" s="15">
        <f t="shared" si="33"/>
        <v>93300</v>
      </c>
      <c r="G712" s="15">
        <v>39932.400000000001</v>
      </c>
      <c r="H712" s="15">
        <f t="shared" si="34"/>
        <v>399324</v>
      </c>
      <c r="I712" s="16" t="str">
        <f>IFERROR(VLOOKUP($C712,[1]dados_2023!$C$3:$H$357,4,0),"-")</f>
        <v>-</v>
      </c>
      <c r="J712" s="16" t="str">
        <f>IFERROR(VLOOKUP($C712,[1]dados_2023!$C$3:$H$357,6,0),"-")</f>
        <v>-</v>
      </c>
    </row>
    <row r="713" spans="1:10" ht="18" customHeight="1" x14ac:dyDescent="0.3">
      <c r="A713" s="11">
        <v>22</v>
      </c>
      <c r="B713" s="12" t="s">
        <v>1043</v>
      </c>
      <c r="C713" s="13">
        <v>1117736</v>
      </c>
      <c r="D713" s="14" t="s">
        <v>1050</v>
      </c>
      <c r="E713" s="15">
        <v>8140.2000000000007</v>
      </c>
      <c r="F713" s="15">
        <f t="shared" si="33"/>
        <v>81402</v>
      </c>
      <c r="G713" s="15">
        <v>29096.400000000001</v>
      </c>
      <c r="H713" s="15">
        <f t="shared" si="34"/>
        <v>290964</v>
      </c>
      <c r="I713" s="16" t="str">
        <f>IFERROR(VLOOKUP($C713,[1]dados_2023!$C$3:$H$357,4,0),"-")</f>
        <v>-</v>
      </c>
      <c r="J713" s="16" t="str">
        <f>IFERROR(VLOOKUP($C713,[1]dados_2023!$C$3:$H$357,6,0),"-")</f>
        <v>-</v>
      </c>
    </row>
    <row r="714" spans="1:10" ht="18" customHeight="1" x14ac:dyDescent="0.3">
      <c r="A714" s="11">
        <v>22</v>
      </c>
      <c r="B714" s="12" t="s">
        <v>1043</v>
      </c>
      <c r="C714" s="13">
        <v>1117701</v>
      </c>
      <c r="D714" s="14" t="s">
        <v>1051</v>
      </c>
      <c r="E714" s="15">
        <v>3228.4</v>
      </c>
      <c r="F714" s="15">
        <f t="shared" si="33"/>
        <v>32284</v>
      </c>
      <c r="G714" s="15">
        <v>11265.2</v>
      </c>
      <c r="H714" s="15">
        <f t="shared" si="34"/>
        <v>112652</v>
      </c>
      <c r="I714" s="16" t="str">
        <f>IFERROR(VLOOKUP($C714,[1]dados_2023!$C$3:$H$357,4,0),"-")</f>
        <v>-</v>
      </c>
      <c r="J714" s="16" t="str">
        <f>IFERROR(VLOOKUP($C714,[1]dados_2023!$C$3:$H$357,6,0),"-")</f>
        <v>-</v>
      </c>
    </row>
    <row r="715" spans="1:10" ht="18" customHeight="1" x14ac:dyDescent="0.3">
      <c r="A715" s="11">
        <v>22</v>
      </c>
      <c r="B715" s="12" t="s">
        <v>1043</v>
      </c>
      <c r="C715" s="13">
        <v>1117868</v>
      </c>
      <c r="D715" s="14" t="s">
        <v>1052</v>
      </c>
      <c r="E715" s="15">
        <v>9686.6</v>
      </c>
      <c r="F715" s="15">
        <f t="shared" si="33"/>
        <v>96866</v>
      </c>
      <c r="G715" s="15">
        <v>29409.800000000003</v>
      </c>
      <c r="H715" s="15">
        <f t="shared" si="34"/>
        <v>294098</v>
      </c>
      <c r="I715" s="16" t="str">
        <f>IFERROR(VLOOKUP($C715,[1]dados_2023!$C$3:$H$357,4,0),"-")</f>
        <v>-</v>
      </c>
      <c r="J715" s="16" t="str">
        <f>IFERROR(VLOOKUP($C715,[1]dados_2023!$C$3:$H$357,6,0),"-")</f>
        <v>-</v>
      </c>
    </row>
    <row r="716" spans="1:10" ht="18" customHeight="1" x14ac:dyDescent="0.3">
      <c r="A716" s="11">
        <v>22</v>
      </c>
      <c r="B716" s="12" t="s">
        <v>1053</v>
      </c>
      <c r="C716" s="13">
        <v>1178260</v>
      </c>
      <c r="D716" s="14" t="s">
        <v>1054</v>
      </c>
      <c r="E716" s="15">
        <v>11735.6</v>
      </c>
      <c r="F716" s="15">
        <f t="shared" si="33"/>
        <v>117356</v>
      </c>
      <c r="G716" s="15">
        <v>40166.800000000003</v>
      </c>
      <c r="H716" s="15">
        <f t="shared" si="34"/>
        <v>401668</v>
      </c>
      <c r="I716" s="16" t="str">
        <f>IFERROR(VLOOKUP($C716,[1]dados_2023!$C$3:$H$357,4,0),"-")</f>
        <v>-</v>
      </c>
      <c r="J716" s="16" t="str">
        <f>IFERROR(VLOOKUP($C716,[1]dados_2023!$C$3:$H$357,6,0),"-")</f>
        <v>-</v>
      </c>
    </row>
    <row r="717" spans="1:10" ht="18" customHeight="1" x14ac:dyDescent="0.3">
      <c r="A717" s="11">
        <v>22</v>
      </c>
      <c r="B717" s="12" t="s">
        <v>1055</v>
      </c>
      <c r="C717" s="13">
        <v>1118147</v>
      </c>
      <c r="D717" s="14" t="s">
        <v>1056</v>
      </c>
      <c r="E717" s="15">
        <v>7316.8</v>
      </c>
      <c r="F717" s="15">
        <f t="shared" si="33"/>
        <v>73168</v>
      </c>
      <c r="G717" s="15">
        <v>22735.8</v>
      </c>
      <c r="H717" s="15">
        <f t="shared" si="34"/>
        <v>227358</v>
      </c>
      <c r="I717" s="16" t="str">
        <f>IFERROR(VLOOKUP($C717,[1]dados_2023!$C$3:$H$357,4,0),"-")</f>
        <v>-</v>
      </c>
      <c r="J717" s="16" t="str">
        <f>IFERROR(VLOOKUP($C717,[1]dados_2023!$C$3:$H$357,6,0),"-")</f>
        <v>-</v>
      </c>
    </row>
    <row r="718" spans="1:10" ht="18" customHeight="1" x14ac:dyDescent="0.3">
      <c r="A718" s="11">
        <v>22</v>
      </c>
      <c r="B718" s="12" t="s">
        <v>1057</v>
      </c>
      <c r="C718" s="13">
        <v>1178083</v>
      </c>
      <c r="D718" s="14" t="s">
        <v>1058</v>
      </c>
      <c r="E718" s="15">
        <v>4491.2000000000007</v>
      </c>
      <c r="F718" s="15">
        <f t="shared" si="33"/>
        <v>44912.000000000007</v>
      </c>
      <c r="G718" s="15">
        <v>16047</v>
      </c>
      <c r="H718" s="15">
        <f t="shared" si="34"/>
        <v>160470</v>
      </c>
      <c r="I718" s="16" t="str">
        <f>IFERROR(VLOOKUP($C718,[1]dados_2023!$C$3:$H$357,4,0),"-")</f>
        <v>-</v>
      </c>
      <c r="J718" s="16" t="str">
        <f>IFERROR(VLOOKUP($C718,[1]dados_2023!$C$3:$H$357,6,0),"-")</f>
        <v>-</v>
      </c>
    </row>
    <row r="719" spans="1:10" ht="18" customHeight="1" x14ac:dyDescent="0.3">
      <c r="A719" s="11">
        <v>22</v>
      </c>
      <c r="B719" s="12" t="s">
        <v>1059</v>
      </c>
      <c r="C719" s="13">
        <v>1118406</v>
      </c>
      <c r="D719" s="14" t="s">
        <v>1060</v>
      </c>
      <c r="E719" s="15">
        <v>12288.400000000001</v>
      </c>
      <c r="F719" s="15">
        <f t="shared" si="33"/>
        <v>122884.00000000001</v>
      </c>
      <c r="G719" s="15">
        <v>39977.200000000004</v>
      </c>
      <c r="H719" s="15">
        <f t="shared" si="34"/>
        <v>399772.00000000006</v>
      </c>
      <c r="I719" s="16" t="str">
        <f>IFERROR(VLOOKUP($C719,[1]dados_2023!$C$3:$H$357,4,0),"-")</f>
        <v>-</v>
      </c>
      <c r="J719" s="16" t="str">
        <f>IFERROR(VLOOKUP($C719,[1]dados_2023!$C$3:$H$357,6,0),"-")</f>
        <v>-</v>
      </c>
    </row>
    <row r="720" spans="1:10" ht="18" customHeight="1" x14ac:dyDescent="0.3">
      <c r="A720" s="11">
        <v>22</v>
      </c>
      <c r="B720" s="12" t="s">
        <v>1043</v>
      </c>
      <c r="C720" s="13">
        <v>1117663</v>
      </c>
      <c r="D720" s="14" t="s">
        <v>1061</v>
      </c>
      <c r="E720" s="15">
        <v>12366.8</v>
      </c>
      <c r="F720" s="15">
        <f t="shared" si="33"/>
        <v>123668</v>
      </c>
      <c r="G720" s="15">
        <v>26746.799999999999</v>
      </c>
      <c r="H720" s="15">
        <f t="shared" si="34"/>
        <v>267468</v>
      </c>
      <c r="I720" s="16" t="str">
        <f>IFERROR(VLOOKUP($C720,[1]dados_2023!$C$3:$H$357,4,0),"-")</f>
        <v>-</v>
      </c>
      <c r="J720" s="16" t="str">
        <f>IFERROR(VLOOKUP($C720,[1]dados_2023!$C$3:$H$357,6,0),"-")</f>
        <v>-</v>
      </c>
    </row>
    <row r="721" spans="1:10" ht="18" customHeight="1" x14ac:dyDescent="0.3">
      <c r="A721" s="11">
        <v>22</v>
      </c>
      <c r="B721" s="12" t="s">
        <v>1033</v>
      </c>
      <c r="C721" s="13">
        <v>1178377</v>
      </c>
      <c r="D721" s="14" t="s">
        <v>1062</v>
      </c>
      <c r="E721" s="23">
        <v>3114.4</v>
      </c>
      <c r="F721" s="15">
        <f t="shared" si="33"/>
        <v>31144</v>
      </c>
      <c r="G721" s="23">
        <v>9022.6</v>
      </c>
      <c r="H721" s="15">
        <f t="shared" si="34"/>
        <v>90226</v>
      </c>
      <c r="I721" s="16" t="str">
        <f>IFERROR(VLOOKUP($C721,[1]dados_2023!$C$3:$H$357,4,0),"-")</f>
        <v>-</v>
      </c>
      <c r="J721" s="16" t="str">
        <f>IFERROR(VLOOKUP($C721,[1]dados_2023!$C$3:$H$357,6,0),"-")</f>
        <v>-</v>
      </c>
    </row>
    <row r="722" spans="1:10" ht="18" customHeight="1" x14ac:dyDescent="0.3">
      <c r="A722" s="11">
        <v>22</v>
      </c>
      <c r="B722" s="12" t="s">
        <v>1043</v>
      </c>
      <c r="C722" s="13">
        <v>1178421</v>
      </c>
      <c r="D722" s="14" t="s">
        <v>1063</v>
      </c>
      <c r="E722" s="23">
        <v>3794.4000000000005</v>
      </c>
      <c r="F722" s="15">
        <f t="shared" ref="F722:F774" si="35">E722*10</f>
        <v>37944.000000000007</v>
      </c>
      <c r="G722" s="23">
        <v>10992.6</v>
      </c>
      <c r="H722" s="15">
        <f t="shared" ref="H722:H774" si="36">G722*10</f>
        <v>109926</v>
      </c>
      <c r="I722" s="16" t="str">
        <f>IFERROR(VLOOKUP($C722,[1]dados_2023!$C$3:$H$357,4,0),"-")</f>
        <v>-</v>
      </c>
      <c r="J722" s="16" t="str">
        <f>IFERROR(VLOOKUP($C722,[1]dados_2023!$C$3:$H$357,6,0),"-")</f>
        <v>-</v>
      </c>
    </row>
    <row r="723" spans="1:10" ht="18" customHeight="1" x14ac:dyDescent="0.3">
      <c r="A723" s="11">
        <v>23</v>
      </c>
      <c r="B723" s="12" t="s">
        <v>1064</v>
      </c>
      <c r="C723" s="13">
        <v>1178048</v>
      </c>
      <c r="D723" s="14" t="s">
        <v>647</v>
      </c>
      <c r="E723" s="15">
        <v>3401.8</v>
      </c>
      <c r="F723" s="15">
        <f t="shared" si="35"/>
        <v>34018</v>
      </c>
      <c r="G723" s="15">
        <v>14976.4</v>
      </c>
      <c r="H723" s="15">
        <f t="shared" si="36"/>
        <v>149764</v>
      </c>
      <c r="I723" s="16" t="str">
        <f>IFERROR(VLOOKUP($C723,[1]dados_2023!$C$3:$H$357,4,0),"-")</f>
        <v>-</v>
      </c>
      <c r="J723" s="16" t="str">
        <f>IFERROR(VLOOKUP($C723,[1]dados_2023!$C$3:$H$357,6,0),"-")</f>
        <v>-</v>
      </c>
    </row>
    <row r="724" spans="1:10" ht="18" customHeight="1" x14ac:dyDescent="0.3">
      <c r="A724" s="11">
        <v>23</v>
      </c>
      <c r="B724" s="12" t="s">
        <v>1065</v>
      </c>
      <c r="C724" s="13">
        <v>1131674</v>
      </c>
      <c r="D724" s="14" t="s">
        <v>1066</v>
      </c>
      <c r="E724" s="15">
        <v>4596.8</v>
      </c>
      <c r="F724" s="15">
        <f t="shared" si="35"/>
        <v>45968</v>
      </c>
      <c r="G724" s="15">
        <v>19878.400000000001</v>
      </c>
      <c r="H724" s="15">
        <f t="shared" si="36"/>
        <v>198784</v>
      </c>
      <c r="I724" s="16" t="str">
        <f>IFERROR(VLOOKUP($C724,[1]dados_2023!$C$3:$H$357,4,0),"-")</f>
        <v>-</v>
      </c>
      <c r="J724" s="16" t="str">
        <f>IFERROR(VLOOKUP($C724,[1]dados_2023!$C$3:$H$357,6,0),"-")</f>
        <v>-</v>
      </c>
    </row>
    <row r="725" spans="1:10" ht="18" customHeight="1" x14ac:dyDescent="0.3">
      <c r="A725" s="11">
        <v>23</v>
      </c>
      <c r="B725" s="12" t="s">
        <v>1067</v>
      </c>
      <c r="C725" s="13">
        <v>1131607</v>
      </c>
      <c r="D725" s="14" t="s">
        <v>1068</v>
      </c>
      <c r="E725" s="15">
        <v>8872</v>
      </c>
      <c r="F725" s="15">
        <f t="shared" si="35"/>
        <v>88720</v>
      </c>
      <c r="G725" s="15">
        <v>35598.199999999997</v>
      </c>
      <c r="H725" s="15">
        <f t="shared" si="36"/>
        <v>355982</v>
      </c>
      <c r="I725" s="16" t="str">
        <f>IFERROR(VLOOKUP($C725,[1]dados_2023!$C$3:$H$357,4,0),"-")</f>
        <v>-</v>
      </c>
      <c r="J725" s="16" t="str">
        <f>IFERROR(VLOOKUP($C725,[1]dados_2023!$C$3:$H$357,6,0),"-")</f>
        <v>-</v>
      </c>
    </row>
    <row r="726" spans="1:10" ht="18" customHeight="1" x14ac:dyDescent="0.3">
      <c r="A726" s="11">
        <v>23</v>
      </c>
      <c r="B726" s="12" t="s">
        <v>1069</v>
      </c>
      <c r="C726" s="13">
        <v>1131534</v>
      </c>
      <c r="D726" s="14" t="s">
        <v>1070</v>
      </c>
      <c r="E726" s="15">
        <v>6460.4</v>
      </c>
      <c r="F726" s="15">
        <f t="shared" si="35"/>
        <v>64604</v>
      </c>
      <c r="G726" s="15">
        <v>27345.599999999999</v>
      </c>
      <c r="H726" s="15">
        <f t="shared" si="36"/>
        <v>273456</v>
      </c>
      <c r="I726" s="16" t="str">
        <f>IFERROR(VLOOKUP($C726,[1]dados_2023!$C$3:$H$357,4,0),"-")</f>
        <v>-</v>
      </c>
      <c r="J726" s="16" t="str">
        <f>IFERROR(VLOOKUP($C726,[1]dados_2023!$C$3:$H$357,6,0),"-")</f>
        <v>-</v>
      </c>
    </row>
    <row r="727" spans="1:10" ht="18" customHeight="1" x14ac:dyDescent="0.3">
      <c r="A727" s="11">
        <v>23</v>
      </c>
      <c r="B727" s="12" t="s">
        <v>1071</v>
      </c>
      <c r="C727" s="13">
        <v>1131550</v>
      </c>
      <c r="D727" s="14" t="s">
        <v>1072</v>
      </c>
      <c r="E727" s="15">
        <v>2488.4</v>
      </c>
      <c r="F727" s="15">
        <f t="shared" si="35"/>
        <v>24884</v>
      </c>
      <c r="G727" s="15">
        <v>10031.6</v>
      </c>
      <c r="H727" s="15">
        <f t="shared" si="36"/>
        <v>100316</v>
      </c>
      <c r="I727" s="16" t="str">
        <f>IFERROR(VLOOKUP($C727,[1]dados_2023!$C$3:$H$357,4,0),"-")</f>
        <v>-</v>
      </c>
      <c r="J727" s="16" t="str">
        <f>IFERROR(VLOOKUP($C727,[1]dados_2023!$C$3:$H$357,6,0),"-")</f>
        <v>-</v>
      </c>
    </row>
    <row r="728" spans="1:10" ht="18" customHeight="1" x14ac:dyDescent="0.3">
      <c r="A728" s="11">
        <v>23</v>
      </c>
      <c r="B728" s="12" t="s">
        <v>1071</v>
      </c>
      <c r="C728" s="13">
        <v>1131453</v>
      </c>
      <c r="D728" s="14" t="s">
        <v>408</v>
      </c>
      <c r="E728" s="15">
        <v>11042.199999999999</v>
      </c>
      <c r="F728" s="15">
        <f t="shared" si="35"/>
        <v>110421.99999999999</v>
      </c>
      <c r="G728" s="15">
        <v>48059.8</v>
      </c>
      <c r="H728" s="15">
        <f t="shared" si="36"/>
        <v>480598</v>
      </c>
      <c r="I728" s="16" t="str">
        <f>IFERROR(VLOOKUP($C728,[1]dados_2023!$C$3:$H$357,4,0),"-")</f>
        <v>-</v>
      </c>
      <c r="J728" s="16" t="str">
        <f>IFERROR(VLOOKUP($C728,[1]dados_2023!$C$3:$H$357,6,0),"-")</f>
        <v>-</v>
      </c>
    </row>
    <row r="729" spans="1:10" ht="18" customHeight="1" x14ac:dyDescent="0.3">
      <c r="A729" s="11">
        <v>23</v>
      </c>
      <c r="B729" s="12" t="s">
        <v>1073</v>
      </c>
      <c r="C729" s="13">
        <v>1141726</v>
      </c>
      <c r="D729" s="14" t="s">
        <v>1074</v>
      </c>
      <c r="E729" s="15">
        <v>4441.3999999999996</v>
      </c>
      <c r="F729" s="15">
        <f t="shared" si="35"/>
        <v>44414</v>
      </c>
      <c r="G729" s="15">
        <v>18190</v>
      </c>
      <c r="H729" s="15">
        <f t="shared" si="36"/>
        <v>181900</v>
      </c>
      <c r="I729" s="16" t="str">
        <f>IFERROR(VLOOKUP($C729,[1]dados_2023!$C$3:$H$357,4,0),"-")</f>
        <v>-</v>
      </c>
      <c r="J729" s="16" t="str">
        <f>IFERROR(VLOOKUP($C729,[1]dados_2023!$C$3:$H$357,6,0),"-")</f>
        <v>-</v>
      </c>
    </row>
    <row r="730" spans="1:10" ht="18" customHeight="1" x14ac:dyDescent="0.3">
      <c r="A730" s="11">
        <v>23</v>
      </c>
      <c r="B730" s="12" t="s">
        <v>1075</v>
      </c>
      <c r="C730" s="13">
        <v>1132000</v>
      </c>
      <c r="D730" s="14" t="s">
        <v>1076</v>
      </c>
      <c r="E730" s="15">
        <v>6933</v>
      </c>
      <c r="F730" s="15">
        <f t="shared" si="35"/>
        <v>69330</v>
      </c>
      <c r="G730" s="15">
        <v>30226.000000000004</v>
      </c>
      <c r="H730" s="15">
        <f t="shared" si="36"/>
        <v>302260.00000000006</v>
      </c>
      <c r="I730" s="16" t="str">
        <f>IFERROR(VLOOKUP($C730,[1]dados_2023!$C$3:$H$357,4,0),"-")</f>
        <v>-</v>
      </c>
      <c r="J730" s="16" t="str">
        <f>IFERROR(VLOOKUP($C730,[1]dados_2023!$C$3:$H$357,6,0),"-")</f>
        <v>-</v>
      </c>
    </row>
    <row r="731" spans="1:10" ht="18" customHeight="1" x14ac:dyDescent="0.3">
      <c r="A731" s="11">
        <v>23</v>
      </c>
      <c r="B731" s="12" t="s">
        <v>1075</v>
      </c>
      <c r="C731" s="13">
        <v>1131860</v>
      </c>
      <c r="D731" s="14" t="s">
        <v>1077</v>
      </c>
      <c r="E731" s="15">
        <v>12551</v>
      </c>
      <c r="F731" s="15">
        <f t="shared" si="35"/>
        <v>125510</v>
      </c>
      <c r="G731" s="15">
        <v>57162.400000000001</v>
      </c>
      <c r="H731" s="15">
        <f t="shared" si="36"/>
        <v>571624</v>
      </c>
      <c r="I731" s="16" t="str">
        <f>IFERROR(VLOOKUP($C731,[1]dados_2023!$C$3:$H$357,4,0),"-")</f>
        <v>-</v>
      </c>
      <c r="J731" s="16" t="str">
        <f>IFERROR(VLOOKUP($C731,[1]dados_2023!$C$3:$H$357,6,0),"-")</f>
        <v>-</v>
      </c>
    </row>
    <row r="732" spans="1:10" ht="18" customHeight="1" x14ac:dyDescent="0.3">
      <c r="A732" s="11">
        <v>23</v>
      </c>
      <c r="B732" s="12" t="s">
        <v>1078</v>
      </c>
      <c r="C732" s="13">
        <v>1132158</v>
      </c>
      <c r="D732" s="14" t="s">
        <v>932</v>
      </c>
      <c r="E732" s="15">
        <v>14662.8</v>
      </c>
      <c r="F732" s="15">
        <f t="shared" si="35"/>
        <v>146628</v>
      </c>
      <c r="G732" s="15">
        <v>57774.600000000006</v>
      </c>
      <c r="H732" s="15">
        <f t="shared" si="36"/>
        <v>577746</v>
      </c>
      <c r="I732" s="16" t="str">
        <f>IFERROR(VLOOKUP($C732,[1]dados_2023!$C$3:$H$357,4,0),"-")</f>
        <v>-</v>
      </c>
      <c r="J732" s="16" t="str">
        <f>IFERROR(VLOOKUP($C732,[1]dados_2023!$C$3:$H$357,6,0),"-")</f>
        <v>-</v>
      </c>
    </row>
    <row r="733" spans="1:10" ht="18" customHeight="1" x14ac:dyDescent="0.3">
      <c r="A733" s="11">
        <v>23</v>
      </c>
      <c r="B733" s="12" t="s">
        <v>1079</v>
      </c>
      <c r="C733" s="13">
        <v>1167741</v>
      </c>
      <c r="D733" s="14" t="s">
        <v>1080</v>
      </c>
      <c r="E733" s="15">
        <v>7413.8</v>
      </c>
      <c r="F733" s="15">
        <f t="shared" si="35"/>
        <v>74138</v>
      </c>
      <c r="G733" s="15">
        <v>31149.599999999999</v>
      </c>
      <c r="H733" s="15">
        <f t="shared" si="36"/>
        <v>311496</v>
      </c>
      <c r="I733" s="16" t="str">
        <f>IFERROR(VLOOKUP($C733,[1]dados_2023!$C$3:$H$357,4,0),"-")</f>
        <v>-</v>
      </c>
      <c r="J733" s="16" t="str">
        <f>IFERROR(VLOOKUP($C733,[1]dados_2023!$C$3:$H$357,6,0),"-")</f>
        <v>-</v>
      </c>
    </row>
    <row r="734" spans="1:10" ht="18" customHeight="1" x14ac:dyDescent="0.3">
      <c r="A734" s="11">
        <v>23</v>
      </c>
      <c r="B734" s="12" t="s">
        <v>1081</v>
      </c>
      <c r="C734" s="13">
        <v>1131798</v>
      </c>
      <c r="D734" s="14" t="s">
        <v>1082</v>
      </c>
      <c r="E734" s="15">
        <v>7076.8</v>
      </c>
      <c r="F734" s="15">
        <f t="shared" si="35"/>
        <v>70768</v>
      </c>
      <c r="G734" s="15">
        <v>30918.000000000004</v>
      </c>
      <c r="H734" s="15">
        <f t="shared" si="36"/>
        <v>309180.00000000006</v>
      </c>
      <c r="I734" s="16" t="str">
        <f>IFERROR(VLOOKUP($C734,[1]dados_2023!$C$3:$H$357,4,0),"-")</f>
        <v>-</v>
      </c>
      <c r="J734" s="16" t="str">
        <f>IFERROR(VLOOKUP($C734,[1]dados_2023!$C$3:$H$357,6,0),"-")</f>
        <v>-</v>
      </c>
    </row>
    <row r="735" spans="1:10" ht="18" customHeight="1" x14ac:dyDescent="0.3">
      <c r="A735" s="11">
        <v>23</v>
      </c>
      <c r="B735" s="12" t="s">
        <v>1083</v>
      </c>
      <c r="C735" s="13">
        <v>1131739</v>
      </c>
      <c r="D735" s="14" t="s">
        <v>1084</v>
      </c>
      <c r="E735" s="15">
        <v>6154.2</v>
      </c>
      <c r="F735" s="15">
        <f t="shared" si="35"/>
        <v>61542</v>
      </c>
      <c r="G735" s="15">
        <v>26603.600000000002</v>
      </c>
      <c r="H735" s="15">
        <f t="shared" si="36"/>
        <v>266036</v>
      </c>
      <c r="I735" s="16" t="str">
        <f>IFERROR(VLOOKUP($C735,[1]dados_2023!$C$3:$H$357,4,0),"-")</f>
        <v>-</v>
      </c>
      <c r="J735" s="16" t="str">
        <f>IFERROR(VLOOKUP($C735,[1]dados_2023!$C$3:$H$357,6,0),"-")</f>
        <v>-</v>
      </c>
    </row>
    <row r="736" spans="1:10" ht="18" customHeight="1" x14ac:dyDescent="0.3">
      <c r="A736" s="11">
        <v>24</v>
      </c>
      <c r="B736" s="12" t="s">
        <v>1085</v>
      </c>
      <c r="C736" s="13">
        <v>1113927</v>
      </c>
      <c r="D736" s="14" t="s">
        <v>1086</v>
      </c>
      <c r="E736" s="15">
        <v>2555.4</v>
      </c>
      <c r="F736" s="15">
        <f t="shared" si="35"/>
        <v>25554</v>
      </c>
      <c r="G736" s="15">
        <v>11336.800000000001</v>
      </c>
      <c r="H736" s="15">
        <f t="shared" si="36"/>
        <v>113368.00000000001</v>
      </c>
      <c r="I736" s="16" t="str">
        <f>IFERROR(VLOOKUP($C736,[1]dados_2023!$C$3:$H$357,4,0),"-")</f>
        <v>-</v>
      </c>
      <c r="J736" s="16" t="str">
        <f>IFERROR(VLOOKUP($C736,[1]dados_2023!$C$3:$H$357,6,0),"-")</f>
        <v>-</v>
      </c>
    </row>
    <row r="737" spans="1:10" ht="18" customHeight="1" x14ac:dyDescent="0.3">
      <c r="A737" s="11">
        <v>24</v>
      </c>
      <c r="B737" s="12" t="s">
        <v>1085</v>
      </c>
      <c r="C737" s="13">
        <v>1113960</v>
      </c>
      <c r="D737" s="14" t="s">
        <v>1087</v>
      </c>
      <c r="E737" s="15">
        <v>10506.400000000001</v>
      </c>
      <c r="F737" s="15">
        <f t="shared" si="35"/>
        <v>105064.00000000001</v>
      </c>
      <c r="G737" s="15">
        <v>35610</v>
      </c>
      <c r="H737" s="15">
        <f t="shared" si="36"/>
        <v>356100</v>
      </c>
      <c r="I737" s="16" t="str">
        <f>IFERROR(VLOOKUP($C737,[1]dados_2023!$C$3:$H$357,4,0),"-")</f>
        <v>-</v>
      </c>
      <c r="J737" s="16" t="str">
        <f>IFERROR(VLOOKUP($C737,[1]dados_2023!$C$3:$H$357,6,0),"-")</f>
        <v>-</v>
      </c>
    </row>
    <row r="738" spans="1:10" ht="18" customHeight="1" x14ac:dyDescent="0.3">
      <c r="A738" s="11">
        <v>24</v>
      </c>
      <c r="B738" s="12" t="s">
        <v>1088</v>
      </c>
      <c r="C738" s="13">
        <v>1113994</v>
      </c>
      <c r="D738" s="14" t="s">
        <v>1089</v>
      </c>
      <c r="E738" s="15">
        <v>1481.6</v>
      </c>
      <c r="F738" s="15">
        <f t="shared" si="35"/>
        <v>14816</v>
      </c>
      <c r="G738" s="15">
        <v>6664.4000000000005</v>
      </c>
      <c r="H738" s="15">
        <f t="shared" si="36"/>
        <v>66644</v>
      </c>
      <c r="I738" s="16" t="str">
        <f>IFERROR(VLOOKUP($C738,[1]dados_2023!$C$3:$H$357,4,0),"-")</f>
        <v>-</v>
      </c>
      <c r="J738" s="16" t="str">
        <f>IFERROR(VLOOKUP($C738,[1]dados_2023!$C$3:$H$357,6,0),"-")</f>
        <v>-</v>
      </c>
    </row>
    <row r="739" spans="1:10" ht="18" customHeight="1" x14ac:dyDescent="0.3">
      <c r="A739" s="11">
        <v>24</v>
      </c>
      <c r="B739" s="12" t="s">
        <v>1088</v>
      </c>
      <c r="C739" s="13">
        <v>1178070</v>
      </c>
      <c r="D739" s="14" t="s">
        <v>883</v>
      </c>
      <c r="E739" s="15">
        <v>4260.8</v>
      </c>
      <c r="F739" s="15">
        <f t="shared" si="35"/>
        <v>42608</v>
      </c>
      <c r="G739" s="15">
        <v>14678.400000000001</v>
      </c>
      <c r="H739" s="15">
        <f t="shared" si="36"/>
        <v>146784</v>
      </c>
      <c r="I739" s="16" t="str">
        <f>IFERROR(VLOOKUP($C739,[1]dados_2023!$C$3:$H$357,4,0),"-")</f>
        <v>-</v>
      </c>
      <c r="J739" s="16" t="str">
        <f>IFERROR(VLOOKUP($C739,[1]dados_2023!$C$3:$H$357,6,0),"-")</f>
        <v>-</v>
      </c>
    </row>
    <row r="740" spans="1:10" ht="18" customHeight="1" x14ac:dyDescent="0.3">
      <c r="A740" s="11">
        <v>24</v>
      </c>
      <c r="B740" s="12" t="s">
        <v>1090</v>
      </c>
      <c r="C740" s="13">
        <v>1138504</v>
      </c>
      <c r="D740" s="14" t="s">
        <v>1091</v>
      </c>
      <c r="E740" s="15">
        <v>8216.8000000000011</v>
      </c>
      <c r="F740" s="15">
        <f t="shared" si="35"/>
        <v>82168.000000000015</v>
      </c>
      <c r="G740" s="15">
        <v>32192.199999999997</v>
      </c>
      <c r="H740" s="15">
        <f t="shared" si="36"/>
        <v>321922</v>
      </c>
      <c r="I740" s="16" t="str">
        <f>IFERROR(VLOOKUP($C740,[1]dados_2023!$C$3:$H$357,4,0),"-")</f>
        <v>-</v>
      </c>
      <c r="J740" s="16" t="str">
        <f>IFERROR(VLOOKUP($C740,[1]dados_2023!$C$3:$H$357,6,0),"-")</f>
        <v>-</v>
      </c>
    </row>
    <row r="741" spans="1:10" ht="18" customHeight="1" x14ac:dyDescent="0.3">
      <c r="A741" s="11">
        <v>24</v>
      </c>
      <c r="B741" s="12" t="s">
        <v>1092</v>
      </c>
      <c r="C741" s="13">
        <v>1114265</v>
      </c>
      <c r="D741" s="14" t="s">
        <v>1093</v>
      </c>
      <c r="E741" s="15">
        <v>5060.2</v>
      </c>
      <c r="F741" s="15">
        <f t="shared" si="35"/>
        <v>50602</v>
      </c>
      <c r="G741" s="15">
        <v>18997.600000000002</v>
      </c>
      <c r="H741" s="15">
        <f t="shared" si="36"/>
        <v>189976.00000000003</v>
      </c>
      <c r="I741" s="16" t="str">
        <f>IFERROR(VLOOKUP($C741,[1]dados_2023!$C$3:$H$357,4,0),"-")</f>
        <v>-</v>
      </c>
      <c r="J741" s="16" t="str">
        <f>IFERROR(VLOOKUP($C741,[1]dados_2023!$C$3:$H$357,6,0),"-")</f>
        <v>-</v>
      </c>
    </row>
    <row r="742" spans="1:10" ht="18" customHeight="1" x14ac:dyDescent="0.3">
      <c r="A742" s="11">
        <v>24</v>
      </c>
      <c r="B742" s="12" t="s">
        <v>1094</v>
      </c>
      <c r="C742" s="13">
        <v>1114257</v>
      </c>
      <c r="D742" s="14" t="s">
        <v>1095</v>
      </c>
      <c r="E742" s="15">
        <v>8340</v>
      </c>
      <c r="F742" s="15">
        <f t="shared" si="35"/>
        <v>83400</v>
      </c>
      <c r="G742" s="15">
        <v>35695.199999999997</v>
      </c>
      <c r="H742" s="15">
        <f t="shared" si="36"/>
        <v>356952</v>
      </c>
      <c r="I742" s="16" t="str">
        <f>IFERROR(VLOOKUP($C742,[1]dados_2023!$C$3:$H$357,4,0),"-")</f>
        <v>-</v>
      </c>
      <c r="J742" s="16" t="str">
        <f>IFERROR(VLOOKUP($C742,[1]dados_2023!$C$3:$H$357,6,0),"-")</f>
        <v>-</v>
      </c>
    </row>
    <row r="743" spans="1:10" ht="18" customHeight="1" x14ac:dyDescent="0.3">
      <c r="A743" s="11">
        <v>24</v>
      </c>
      <c r="B743" s="12" t="s">
        <v>1094</v>
      </c>
      <c r="C743" s="13">
        <v>1176143</v>
      </c>
      <c r="D743" s="14" t="s">
        <v>1096</v>
      </c>
      <c r="E743" s="15">
        <v>10500</v>
      </c>
      <c r="F743" s="15">
        <f t="shared" si="35"/>
        <v>105000</v>
      </c>
      <c r="G743" s="15">
        <v>44940</v>
      </c>
      <c r="H743" s="15">
        <f t="shared" si="36"/>
        <v>449400</v>
      </c>
      <c r="I743" s="16" t="str">
        <f>IFERROR(VLOOKUP($C743,[1]dados_2023!$C$3:$H$357,4,0),"-")</f>
        <v>-</v>
      </c>
      <c r="J743" s="16" t="str">
        <f>IFERROR(VLOOKUP($C743,[1]dados_2023!$C$3:$H$357,6,0),"-")</f>
        <v>-</v>
      </c>
    </row>
    <row r="744" spans="1:10" ht="18" customHeight="1" x14ac:dyDescent="0.3">
      <c r="A744" s="11">
        <v>24</v>
      </c>
      <c r="B744" s="12" t="s">
        <v>1094</v>
      </c>
      <c r="C744" s="13">
        <v>1174292</v>
      </c>
      <c r="D744" s="14" t="s">
        <v>1097</v>
      </c>
      <c r="E744" s="15">
        <v>9913</v>
      </c>
      <c r="F744" s="15">
        <f t="shared" si="35"/>
        <v>99130</v>
      </c>
      <c r="G744" s="15">
        <v>43405.600000000006</v>
      </c>
      <c r="H744" s="15">
        <f t="shared" si="36"/>
        <v>434056.00000000006</v>
      </c>
      <c r="I744" s="16" t="str">
        <f>IFERROR(VLOOKUP($C744,[1]dados_2023!$C$3:$H$357,4,0),"-")</f>
        <v>-</v>
      </c>
      <c r="J744" s="16" t="str">
        <f>IFERROR(VLOOKUP($C744,[1]dados_2023!$C$3:$H$357,6,0),"-")</f>
        <v>-</v>
      </c>
    </row>
    <row r="745" spans="1:10" ht="18" customHeight="1" x14ac:dyDescent="0.3">
      <c r="A745" s="11">
        <v>24</v>
      </c>
      <c r="B745" s="12" t="s">
        <v>1094</v>
      </c>
      <c r="C745" s="13">
        <v>1118040</v>
      </c>
      <c r="D745" s="14" t="s">
        <v>1098</v>
      </c>
      <c r="E745" s="15">
        <v>9663.4000000000015</v>
      </c>
      <c r="F745" s="15">
        <f t="shared" si="35"/>
        <v>96634.000000000015</v>
      </c>
      <c r="G745" s="15">
        <v>34627</v>
      </c>
      <c r="H745" s="15">
        <f t="shared" si="36"/>
        <v>346270</v>
      </c>
      <c r="I745" s="16" t="str">
        <f>IFERROR(VLOOKUP($C745,[1]dados_2023!$C$3:$H$357,4,0),"-")</f>
        <v>-</v>
      </c>
      <c r="J745" s="16" t="str">
        <f>IFERROR(VLOOKUP($C745,[1]dados_2023!$C$3:$H$357,6,0),"-")</f>
        <v>-</v>
      </c>
    </row>
    <row r="746" spans="1:10" ht="18" customHeight="1" x14ac:dyDescent="0.3">
      <c r="A746" s="11">
        <v>24</v>
      </c>
      <c r="B746" s="12" t="s">
        <v>1094</v>
      </c>
      <c r="C746" s="13">
        <v>1117779</v>
      </c>
      <c r="D746" s="14" t="s">
        <v>1099</v>
      </c>
      <c r="E746" s="15">
        <v>9126.7999999999993</v>
      </c>
      <c r="F746" s="15">
        <f t="shared" si="35"/>
        <v>91268</v>
      </c>
      <c r="G746" s="15">
        <v>32710.800000000003</v>
      </c>
      <c r="H746" s="15">
        <f t="shared" si="36"/>
        <v>327108</v>
      </c>
      <c r="I746" s="16" t="str">
        <f>IFERROR(VLOOKUP($C746,[1]dados_2023!$C$3:$H$357,4,0),"-")</f>
        <v>-</v>
      </c>
      <c r="J746" s="16" t="str">
        <f>IFERROR(VLOOKUP($C746,[1]dados_2023!$C$3:$H$357,6,0),"-")</f>
        <v>-</v>
      </c>
    </row>
    <row r="747" spans="1:10" ht="18" customHeight="1" x14ac:dyDescent="0.3">
      <c r="A747" s="11">
        <v>24</v>
      </c>
      <c r="B747" s="12" t="s">
        <v>1094</v>
      </c>
      <c r="C747" s="13">
        <v>1176426</v>
      </c>
      <c r="D747" s="14" t="s">
        <v>1049</v>
      </c>
      <c r="E747" s="15">
        <v>9470</v>
      </c>
      <c r="F747" s="15">
        <f t="shared" si="35"/>
        <v>94700</v>
      </c>
      <c r="G747" s="15">
        <v>40531.600000000006</v>
      </c>
      <c r="H747" s="15">
        <f t="shared" si="36"/>
        <v>405316.00000000006</v>
      </c>
      <c r="I747" s="16" t="str">
        <f>IFERROR(VLOOKUP($C747,[1]dados_2023!$C$3:$H$357,4,0),"-")</f>
        <v>-</v>
      </c>
      <c r="J747" s="16" t="str">
        <f>IFERROR(VLOOKUP($C747,[1]dados_2023!$C$3:$H$357,6,0),"-")</f>
        <v>-</v>
      </c>
    </row>
    <row r="748" spans="1:10" ht="18" customHeight="1" x14ac:dyDescent="0.3">
      <c r="A748" s="11">
        <v>24</v>
      </c>
      <c r="B748" s="12" t="s">
        <v>1100</v>
      </c>
      <c r="C748" s="13">
        <v>1114133</v>
      </c>
      <c r="D748" s="14" t="s">
        <v>1101</v>
      </c>
      <c r="E748" s="15">
        <v>4008.8</v>
      </c>
      <c r="F748" s="15">
        <f t="shared" si="35"/>
        <v>40088</v>
      </c>
      <c r="G748" s="15">
        <v>17872</v>
      </c>
      <c r="H748" s="15">
        <f t="shared" si="36"/>
        <v>178720</v>
      </c>
      <c r="I748" s="16" t="str">
        <f>IFERROR(VLOOKUP($C748,[1]dados_2023!$C$3:$H$357,4,0),"-")</f>
        <v>-</v>
      </c>
      <c r="J748" s="16" t="str">
        <f>IFERROR(VLOOKUP($C748,[1]dados_2023!$C$3:$H$357,6,0),"-")</f>
        <v>-</v>
      </c>
    </row>
    <row r="749" spans="1:10" ht="18" customHeight="1" x14ac:dyDescent="0.3">
      <c r="A749" s="11">
        <v>24</v>
      </c>
      <c r="B749" s="12" t="s">
        <v>1085</v>
      </c>
      <c r="C749" s="13">
        <v>1179245</v>
      </c>
      <c r="D749" s="14" t="s">
        <v>1102</v>
      </c>
      <c r="E749" s="15">
        <v>1496.3999999999999</v>
      </c>
      <c r="F749" s="15">
        <f t="shared" si="35"/>
        <v>14963.999999999998</v>
      </c>
      <c r="G749" s="15">
        <v>3236.4000000000005</v>
      </c>
      <c r="H749" s="15">
        <f t="shared" si="36"/>
        <v>32364.000000000007</v>
      </c>
      <c r="I749" s="16" t="str">
        <f>IFERROR(VLOOKUP($C749,[1]dados_2023!$C$3:$H$357,4,0),"-")</f>
        <v>-</v>
      </c>
      <c r="J749" s="16" t="str">
        <f>IFERROR(VLOOKUP($C749,[1]dados_2023!$C$3:$H$357,6,0),"-")</f>
        <v>-</v>
      </c>
    </row>
    <row r="750" spans="1:10" ht="18" customHeight="1" x14ac:dyDescent="0.3">
      <c r="A750" s="11">
        <v>24</v>
      </c>
      <c r="B750" s="12" t="s">
        <v>1090</v>
      </c>
      <c r="C750" s="13">
        <v>1179123</v>
      </c>
      <c r="D750" s="14" t="s">
        <v>1103</v>
      </c>
      <c r="E750" s="15">
        <v>6484.4000000000005</v>
      </c>
      <c r="F750" s="15">
        <f t="shared" si="35"/>
        <v>64844.000000000007</v>
      </c>
      <c r="G750" s="15">
        <v>14024.400000000001</v>
      </c>
      <c r="H750" s="15">
        <f t="shared" si="36"/>
        <v>140244</v>
      </c>
      <c r="I750" s="16" t="str">
        <f>IFERROR(VLOOKUP($C750,[1]dados_2023!$C$3:$H$357,4,0),"-")</f>
        <v>-</v>
      </c>
      <c r="J750" s="16" t="str">
        <f>IFERROR(VLOOKUP($C750,[1]dados_2023!$C$3:$H$357,6,0),"-")</f>
        <v>-</v>
      </c>
    </row>
    <row r="751" spans="1:10" ht="18" customHeight="1" x14ac:dyDescent="0.3">
      <c r="A751" s="11">
        <v>24</v>
      </c>
      <c r="B751" s="12" t="s">
        <v>1090</v>
      </c>
      <c r="C751" s="13">
        <v>1179202</v>
      </c>
      <c r="D751" s="14" t="s">
        <v>1104</v>
      </c>
      <c r="E751" s="15">
        <v>1032</v>
      </c>
      <c r="F751" s="15">
        <f t="shared" si="35"/>
        <v>10320</v>
      </c>
      <c r="G751" s="15">
        <v>2232</v>
      </c>
      <c r="H751" s="15">
        <f t="shared" si="36"/>
        <v>22320</v>
      </c>
      <c r="I751" s="16" t="str">
        <f>IFERROR(VLOOKUP($C751,[1]dados_2023!$C$3:$H$357,4,0),"-")</f>
        <v>-</v>
      </c>
      <c r="J751" s="16" t="str">
        <f>IFERROR(VLOOKUP($C751,[1]dados_2023!$C$3:$H$357,6,0),"-")</f>
        <v>-</v>
      </c>
    </row>
    <row r="752" spans="1:10" ht="18" customHeight="1" x14ac:dyDescent="0.3">
      <c r="A752" s="11">
        <v>24</v>
      </c>
      <c r="B752" s="12" t="s">
        <v>1090</v>
      </c>
      <c r="C752" s="13">
        <v>1179204</v>
      </c>
      <c r="D752" s="14" t="s">
        <v>1105</v>
      </c>
      <c r="E752" s="15">
        <v>2390.7999999999997</v>
      </c>
      <c r="F752" s="15">
        <f t="shared" si="35"/>
        <v>23907.999999999996</v>
      </c>
      <c r="G752" s="15">
        <v>5170.8</v>
      </c>
      <c r="H752" s="15">
        <f t="shared" si="36"/>
        <v>51708</v>
      </c>
      <c r="I752" s="16" t="str">
        <f>IFERROR(VLOOKUP($C752,[1]dados_2023!$C$3:$H$357,4,0),"-")</f>
        <v>-</v>
      </c>
      <c r="J752" s="16" t="str">
        <f>IFERROR(VLOOKUP($C752,[1]dados_2023!$C$3:$H$357,6,0),"-")</f>
        <v>-</v>
      </c>
    </row>
    <row r="753" spans="1:10" ht="18" customHeight="1" x14ac:dyDescent="0.3">
      <c r="A753" s="11">
        <v>24</v>
      </c>
      <c r="B753" s="12" t="s">
        <v>1090</v>
      </c>
      <c r="C753" s="13">
        <v>1179479</v>
      </c>
      <c r="D753" s="14" t="s">
        <v>1106</v>
      </c>
      <c r="E753" s="15">
        <v>1341.6</v>
      </c>
      <c r="F753" s="15">
        <f t="shared" si="35"/>
        <v>13416</v>
      </c>
      <c r="G753" s="15">
        <v>2901.6000000000004</v>
      </c>
      <c r="H753" s="15">
        <f t="shared" si="36"/>
        <v>29016.000000000004</v>
      </c>
      <c r="I753" s="16" t="str">
        <f>IFERROR(VLOOKUP($C753,[1]dados_2023!$C$3:$H$357,4,0),"-")</f>
        <v>-</v>
      </c>
      <c r="J753" s="16" t="str">
        <f>IFERROR(VLOOKUP($C753,[1]dados_2023!$C$3:$H$357,6,0),"-")</f>
        <v>-</v>
      </c>
    </row>
    <row r="754" spans="1:10" ht="18" customHeight="1" x14ac:dyDescent="0.3">
      <c r="A754" s="11">
        <v>24</v>
      </c>
      <c r="B754" s="12" t="s">
        <v>1090</v>
      </c>
      <c r="C754" s="13">
        <v>1179203</v>
      </c>
      <c r="D754" s="14" t="s">
        <v>1107</v>
      </c>
      <c r="E754" s="15">
        <v>1290</v>
      </c>
      <c r="F754" s="15">
        <f t="shared" si="35"/>
        <v>12900</v>
      </c>
      <c r="G754" s="15">
        <v>2790</v>
      </c>
      <c r="H754" s="15">
        <f t="shared" si="36"/>
        <v>27900</v>
      </c>
      <c r="I754" s="16" t="str">
        <f>IFERROR(VLOOKUP($C754,[1]dados_2023!$C$3:$H$357,4,0),"-")</f>
        <v>-</v>
      </c>
      <c r="J754" s="16" t="str">
        <f>IFERROR(VLOOKUP($C754,[1]dados_2023!$C$3:$H$357,6,0),"-")</f>
        <v>-</v>
      </c>
    </row>
    <row r="755" spans="1:10" ht="18" customHeight="1" x14ac:dyDescent="0.3">
      <c r="A755" s="11">
        <v>24</v>
      </c>
      <c r="B755" s="12" t="s">
        <v>1100</v>
      </c>
      <c r="C755" s="13">
        <v>1178006</v>
      </c>
      <c r="D755" s="14" t="s">
        <v>1108</v>
      </c>
      <c r="E755" s="15">
        <v>5177.2</v>
      </c>
      <c r="F755" s="15">
        <f t="shared" si="35"/>
        <v>51772</v>
      </c>
      <c r="G755" s="15">
        <v>11197.2</v>
      </c>
      <c r="H755" s="15">
        <f t="shared" si="36"/>
        <v>111972</v>
      </c>
      <c r="I755" s="16" t="str">
        <f>IFERROR(VLOOKUP($C755,[1]dados_2023!$C$3:$H$357,4,0),"-")</f>
        <v>-</v>
      </c>
      <c r="J755" s="16" t="str">
        <f>IFERROR(VLOOKUP($C755,[1]dados_2023!$C$3:$H$357,6,0),"-")</f>
        <v>-</v>
      </c>
    </row>
    <row r="756" spans="1:10" ht="18" customHeight="1" x14ac:dyDescent="0.3">
      <c r="A756" s="11">
        <v>25</v>
      </c>
      <c r="B756" s="12" t="s">
        <v>1109</v>
      </c>
      <c r="C756" s="13">
        <v>1164998</v>
      </c>
      <c r="D756" s="14" t="s">
        <v>1110</v>
      </c>
      <c r="E756" s="15">
        <v>10251.200000000001</v>
      </c>
      <c r="F756" s="15">
        <f t="shared" si="35"/>
        <v>102512</v>
      </c>
      <c r="G756" s="15">
        <v>34865.600000000006</v>
      </c>
      <c r="H756" s="15">
        <f t="shared" si="36"/>
        <v>348656.00000000006</v>
      </c>
      <c r="I756" s="16" t="str">
        <f>IFERROR(VLOOKUP($C756,[1]dados_2023!$C$3:$H$357,4,0),"-")</f>
        <v>-</v>
      </c>
      <c r="J756" s="16" t="str">
        <f>IFERROR(VLOOKUP($C756,[1]dados_2023!$C$3:$H$357,6,0),"-")</f>
        <v>-</v>
      </c>
    </row>
    <row r="757" spans="1:10" ht="18" customHeight="1" x14ac:dyDescent="0.3">
      <c r="A757" s="11">
        <v>25</v>
      </c>
      <c r="B757" s="12" t="s">
        <v>1111</v>
      </c>
      <c r="C757" s="13">
        <v>1119577</v>
      </c>
      <c r="D757" s="14" t="s">
        <v>1112</v>
      </c>
      <c r="E757" s="15">
        <v>10224.6</v>
      </c>
      <c r="F757" s="15">
        <f t="shared" si="35"/>
        <v>102246</v>
      </c>
      <c r="G757" s="15">
        <v>30414.600000000002</v>
      </c>
      <c r="H757" s="15">
        <f t="shared" si="36"/>
        <v>304146</v>
      </c>
      <c r="I757" s="16" t="str">
        <f>IFERROR(VLOOKUP($C757,[1]dados_2023!$C$3:$H$357,4,0),"-")</f>
        <v>-</v>
      </c>
      <c r="J757" s="16" t="str">
        <f>IFERROR(VLOOKUP($C757,[1]dados_2023!$C$3:$H$357,6,0),"-")</f>
        <v>-</v>
      </c>
    </row>
    <row r="758" spans="1:10" ht="18" customHeight="1" x14ac:dyDescent="0.3">
      <c r="A758" s="11">
        <v>25</v>
      </c>
      <c r="B758" s="12" t="s">
        <v>1113</v>
      </c>
      <c r="C758" s="13">
        <v>1122020</v>
      </c>
      <c r="D758" s="14" t="s">
        <v>225</v>
      </c>
      <c r="E758" s="15">
        <v>7160.2</v>
      </c>
      <c r="F758" s="15">
        <f t="shared" si="35"/>
        <v>71602</v>
      </c>
      <c r="G758" s="15">
        <v>30410.199999999997</v>
      </c>
      <c r="H758" s="15">
        <f t="shared" si="36"/>
        <v>304102</v>
      </c>
      <c r="I758" s="16" t="str">
        <f>IFERROR(VLOOKUP($C758,[1]dados_2023!$C$3:$H$357,4,0),"-")</f>
        <v>-</v>
      </c>
      <c r="J758" s="16" t="str">
        <f>IFERROR(VLOOKUP($C758,[1]dados_2023!$C$3:$H$357,6,0),"-")</f>
        <v>-</v>
      </c>
    </row>
    <row r="759" spans="1:10" ht="18" customHeight="1" x14ac:dyDescent="0.3">
      <c r="A759" s="11">
        <v>25</v>
      </c>
      <c r="B759" s="12" t="s">
        <v>1114</v>
      </c>
      <c r="C759" s="13">
        <v>1119828</v>
      </c>
      <c r="D759" s="14" t="s">
        <v>1115</v>
      </c>
      <c r="E759" s="15">
        <v>21147.599999999999</v>
      </c>
      <c r="F759" s="15">
        <f t="shared" si="35"/>
        <v>211476</v>
      </c>
      <c r="G759" s="15">
        <v>85680</v>
      </c>
      <c r="H759" s="15">
        <f t="shared" si="36"/>
        <v>856800</v>
      </c>
      <c r="I759" s="16" t="str">
        <f>IFERROR(VLOOKUP($C759,[1]dados_2023!$C$3:$H$357,4,0),"-")</f>
        <v>-</v>
      </c>
      <c r="J759" s="16" t="str">
        <f>IFERROR(VLOOKUP($C759,[1]dados_2023!$C$3:$H$357,6,0),"-")</f>
        <v>-</v>
      </c>
    </row>
    <row r="760" spans="1:10" ht="18" customHeight="1" x14ac:dyDescent="0.3">
      <c r="A760" s="11">
        <v>25</v>
      </c>
      <c r="B760" s="12" t="s">
        <v>1116</v>
      </c>
      <c r="C760" s="13">
        <v>1121172</v>
      </c>
      <c r="D760" s="14" t="s">
        <v>1117</v>
      </c>
      <c r="E760" s="15">
        <v>9933.6</v>
      </c>
      <c r="F760" s="15">
        <f t="shared" si="35"/>
        <v>99336</v>
      </c>
      <c r="G760" s="15">
        <v>38171</v>
      </c>
      <c r="H760" s="15">
        <f t="shared" si="36"/>
        <v>381710</v>
      </c>
      <c r="I760" s="16" t="str">
        <f>IFERROR(VLOOKUP($C760,[1]dados_2023!$C$3:$H$357,4,0),"-")</f>
        <v>-</v>
      </c>
      <c r="J760" s="16" t="str">
        <f>IFERROR(VLOOKUP($C760,[1]dados_2023!$C$3:$H$357,6,0),"-")</f>
        <v>-</v>
      </c>
    </row>
    <row r="761" spans="1:10" ht="18" customHeight="1" x14ac:dyDescent="0.3">
      <c r="A761" s="11">
        <v>25</v>
      </c>
      <c r="B761" s="12" t="s">
        <v>1118</v>
      </c>
      <c r="C761" s="13">
        <v>1176700</v>
      </c>
      <c r="D761" s="14" t="s">
        <v>1119</v>
      </c>
      <c r="E761" s="15">
        <v>9561</v>
      </c>
      <c r="F761" s="15">
        <f t="shared" si="35"/>
        <v>95610</v>
      </c>
      <c r="G761" s="15">
        <v>40175</v>
      </c>
      <c r="H761" s="15">
        <f t="shared" si="36"/>
        <v>401750</v>
      </c>
      <c r="I761" s="16" t="str">
        <f>IFERROR(VLOOKUP($C761,[1]dados_2023!$C$3:$H$357,4,0),"-")</f>
        <v>-</v>
      </c>
      <c r="J761" s="16" t="str">
        <f>IFERROR(VLOOKUP($C761,[1]dados_2023!$C$3:$H$357,6,0),"-")</f>
        <v>-</v>
      </c>
    </row>
    <row r="762" spans="1:10" ht="18" customHeight="1" x14ac:dyDescent="0.3">
      <c r="A762" s="11">
        <v>25</v>
      </c>
      <c r="B762" s="12" t="s">
        <v>1118</v>
      </c>
      <c r="C762" s="13">
        <v>1120257</v>
      </c>
      <c r="D762" s="14" t="s">
        <v>1120</v>
      </c>
      <c r="E762" s="15">
        <v>8375.4000000000015</v>
      </c>
      <c r="F762" s="15">
        <f t="shared" si="35"/>
        <v>83754.000000000015</v>
      </c>
      <c r="G762" s="15">
        <v>25366.6</v>
      </c>
      <c r="H762" s="15">
        <f t="shared" si="36"/>
        <v>253666</v>
      </c>
      <c r="I762" s="16" t="str">
        <f>IFERROR(VLOOKUP($C762,[1]dados_2023!$C$3:$H$357,4,0),"-")</f>
        <v>-</v>
      </c>
      <c r="J762" s="16" t="str">
        <f>IFERROR(VLOOKUP($C762,[1]dados_2023!$C$3:$H$357,6,0),"-")</f>
        <v>-</v>
      </c>
    </row>
    <row r="763" spans="1:10" ht="18" customHeight="1" x14ac:dyDescent="0.3">
      <c r="A763" s="11">
        <v>25</v>
      </c>
      <c r="B763" s="12" t="s">
        <v>1121</v>
      </c>
      <c r="C763" s="13">
        <v>1144032</v>
      </c>
      <c r="D763" s="14" t="s">
        <v>1122</v>
      </c>
      <c r="E763" s="15">
        <v>5927.8</v>
      </c>
      <c r="F763" s="15">
        <f t="shared" si="35"/>
        <v>59278</v>
      </c>
      <c r="G763" s="15">
        <v>23060.400000000001</v>
      </c>
      <c r="H763" s="15">
        <f t="shared" si="36"/>
        <v>230604</v>
      </c>
      <c r="I763" s="16" t="str">
        <f>IFERROR(VLOOKUP($C763,[1]dados_2023!$C$3:$H$357,4,0),"-")</f>
        <v>-</v>
      </c>
      <c r="J763" s="16" t="str">
        <f>IFERROR(VLOOKUP($C763,[1]dados_2023!$C$3:$H$357,6,0),"-")</f>
        <v>-</v>
      </c>
    </row>
    <row r="764" spans="1:10" ht="18" customHeight="1" x14ac:dyDescent="0.3">
      <c r="A764" s="11">
        <v>25</v>
      </c>
      <c r="B764" s="12" t="s">
        <v>1121</v>
      </c>
      <c r="C764" s="13">
        <v>1140452</v>
      </c>
      <c r="D764" s="14" t="s">
        <v>1123</v>
      </c>
      <c r="E764" s="15">
        <v>4113.3999999999996</v>
      </c>
      <c r="F764" s="15">
        <f t="shared" si="35"/>
        <v>41134</v>
      </c>
      <c r="G764" s="15">
        <v>16837.800000000003</v>
      </c>
      <c r="H764" s="15">
        <f t="shared" si="36"/>
        <v>168378.00000000003</v>
      </c>
      <c r="I764" s="16" t="str">
        <f>IFERROR(VLOOKUP($C764,[1]dados_2023!$C$3:$H$357,4,0),"-")</f>
        <v>-</v>
      </c>
      <c r="J764" s="16" t="str">
        <f>IFERROR(VLOOKUP($C764,[1]dados_2023!$C$3:$H$357,6,0),"-")</f>
        <v>-</v>
      </c>
    </row>
    <row r="765" spans="1:10" ht="18" customHeight="1" x14ac:dyDescent="0.3">
      <c r="A765" s="11">
        <v>25</v>
      </c>
      <c r="B765" s="12" t="s">
        <v>1124</v>
      </c>
      <c r="C765" s="13">
        <v>1164947</v>
      </c>
      <c r="D765" s="14" t="s">
        <v>1125</v>
      </c>
      <c r="E765" s="15">
        <v>11536.4</v>
      </c>
      <c r="F765" s="15">
        <f t="shared" si="35"/>
        <v>115364</v>
      </c>
      <c r="G765" s="15">
        <v>41000.400000000001</v>
      </c>
      <c r="H765" s="15">
        <f t="shared" si="36"/>
        <v>410004</v>
      </c>
      <c r="I765" s="16" t="str">
        <f>IFERROR(VLOOKUP($C765,[1]dados_2023!$C$3:$H$357,4,0),"-")</f>
        <v>-</v>
      </c>
      <c r="J765" s="16" t="str">
        <f>IFERROR(VLOOKUP($C765,[1]dados_2023!$C$3:$H$357,6,0),"-")</f>
        <v>-</v>
      </c>
    </row>
    <row r="766" spans="1:10" ht="18" customHeight="1" x14ac:dyDescent="0.3">
      <c r="A766" s="11">
        <v>25</v>
      </c>
      <c r="B766" s="12" t="s">
        <v>1126</v>
      </c>
      <c r="C766" s="13">
        <v>1164602</v>
      </c>
      <c r="D766" s="14" t="s">
        <v>1127</v>
      </c>
      <c r="E766" s="15">
        <v>14660</v>
      </c>
      <c r="F766" s="15">
        <f t="shared" si="35"/>
        <v>146600</v>
      </c>
      <c r="G766" s="15">
        <v>62744.800000000003</v>
      </c>
      <c r="H766" s="15">
        <f t="shared" si="36"/>
        <v>627448</v>
      </c>
      <c r="I766" s="16" t="str">
        <f>IFERROR(VLOOKUP($C766,[1]dados_2023!$C$3:$H$357,4,0),"-")</f>
        <v>-</v>
      </c>
      <c r="J766" s="16" t="str">
        <f>IFERROR(VLOOKUP($C766,[1]dados_2023!$C$3:$H$357,6,0),"-")</f>
        <v>-</v>
      </c>
    </row>
    <row r="767" spans="1:10" ht="18" customHeight="1" x14ac:dyDescent="0.3">
      <c r="A767" s="11">
        <v>25</v>
      </c>
      <c r="B767" s="12" t="s">
        <v>1126</v>
      </c>
      <c r="C767" s="13">
        <v>1179286</v>
      </c>
      <c r="D767" s="14" t="s">
        <v>1128</v>
      </c>
      <c r="E767" s="15">
        <v>3010</v>
      </c>
      <c r="F767" s="15">
        <f t="shared" si="35"/>
        <v>30100</v>
      </c>
      <c r="G767" s="15">
        <v>12882.8</v>
      </c>
      <c r="H767" s="15">
        <f t="shared" si="36"/>
        <v>128828</v>
      </c>
      <c r="I767" s="16" t="str">
        <f>IFERROR(VLOOKUP($C767,[1]dados_2023!$C$3:$H$357,4,0),"-")</f>
        <v>-</v>
      </c>
      <c r="J767" s="16" t="str">
        <f>IFERROR(VLOOKUP($C767,[1]dados_2023!$C$3:$H$357,6,0),"-")</f>
        <v>-</v>
      </c>
    </row>
    <row r="768" spans="1:10" ht="18" customHeight="1" x14ac:dyDescent="0.3">
      <c r="A768" s="11">
        <v>25</v>
      </c>
      <c r="B768" s="12" t="s">
        <v>1126</v>
      </c>
      <c r="C768" s="13">
        <v>1121156</v>
      </c>
      <c r="D768" s="14" t="s">
        <v>1129</v>
      </c>
      <c r="E768" s="15">
        <v>3343.6000000000004</v>
      </c>
      <c r="F768" s="15">
        <f t="shared" si="35"/>
        <v>33436</v>
      </c>
      <c r="G768" s="15">
        <v>13014.000000000002</v>
      </c>
      <c r="H768" s="15">
        <f t="shared" si="36"/>
        <v>130140.00000000001</v>
      </c>
      <c r="I768" s="16" t="str">
        <f>IFERROR(VLOOKUP($C768,[1]dados_2023!$C$3:$H$357,4,0),"-")</f>
        <v>-</v>
      </c>
      <c r="J768" s="16" t="str">
        <f>IFERROR(VLOOKUP($C768,[1]dados_2023!$C$3:$H$357,6,0),"-")</f>
        <v>-</v>
      </c>
    </row>
    <row r="769" spans="1:10" ht="18" customHeight="1" x14ac:dyDescent="0.3">
      <c r="A769" s="11">
        <v>25</v>
      </c>
      <c r="B769" s="12" t="s">
        <v>1126</v>
      </c>
      <c r="C769" s="13">
        <v>1121261</v>
      </c>
      <c r="D769" s="14" t="s">
        <v>177</v>
      </c>
      <c r="E769" s="15">
        <v>12630.2</v>
      </c>
      <c r="F769" s="15">
        <f t="shared" si="35"/>
        <v>126302</v>
      </c>
      <c r="G769" s="15">
        <v>42119</v>
      </c>
      <c r="H769" s="15">
        <f t="shared" si="36"/>
        <v>421190</v>
      </c>
      <c r="I769" s="16" t="str">
        <f>IFERROR(VLOOKUP($C769,[1]dados_2023!$C$3:$H$357,4,0),"-")</f>
        <v>-</v>
      </c>
      <c r="J769" s="16" t="str">
        <f>IFERROR(VLOOKUP($C769,[1]dados_2023!$C$3:$H$357,6,0),"-")</f>
        <v>-</v>
      </c>
    </row>
    <row r="770" spans="1:10" ht="18" customHeight="1" x14ac:dyDescent="0.3">
      <c r="A770" s="11">
        <v>25</v>
      </c>
      <c r="B770" s="12" t="s">
        <v>1126</v>
      </c>
      <c r="C770" s="13">
        <v>1120923</v>
      </c>
      <c r="D770" s="14" t="s">
        <v>1130</v>
      </c>
      <c r="E770" s="15">
        <v>8885.4000000000015</v>
      </c>
      <c r="F770" s="15">
        <f t="shared" si="35"/>
        <v>88854.000000000015</v>
      </c>
      <c r="G770" s="15">
        <v>32133.4</v>
      </c>
      <c r="H770" s="15">
        <f t="shared" si="36"/>
        <v>321334</v>
      </c>
      <c r="I770" s="16" t="str">
        <f>IFERROR(VLOOKUP($C770,[1]dados_2023!$C$3:$H$357,4,0),"-")</f>
        <v>-</v>
      </c>
      <c r="J770" s="16" t="str">
        <f>IFERROR(VLOOKUP($C770,[1]dados_2023!$C$3:$H$357,6,0),"-")</f>
        <v>-</v>
      </c>
    </row>
    <row r="771" spans="1:10" ht="18" customHeight="1" x14ac:dyDescent="0.3">
      <c r="A771" s="11">
        <v>25</v>
      </c>
      <c r="B771" s="12" t="s">
        <v>1126</v>
      </c>
      <c r="C771" s="13">
        <v>1178104</v>
      </c>
      <c r="D771" s="14" t="s">
        <v>245</v>
      </c>
      <c r="E771" s="15">
        <v>14522</v>
      </c>
      <c r="F771" s="15">
        <f t="shared" si="35"/>
        <v>145220</v>
      </c>
      <c r="G771" s="15">
        <v>41658</v>
      </c>
      <c r="H771" s="15">
        <f t="shared" si="36"/>
        <v>416580</v>
      </c>
      <c r="I771" s="16" t="str">
        <f>IFERROR(VLOOKUP($C771,[1]dados_2023!$C$3:$H$357,4,0),"-")</f>
        <v>-</v>
      </c>
      <c r="J771" s="16" t="str">
        <f>IFERROR(VLOOKUP($C771,[1]dados_2023!$C$3:$H$357,6,0),"-")</f>
        <v>-</v>
      </c>
    </row>
    <row r="772" spans="1:10" ht="18" customHeight="1" x14ac:dyDescent="0.3">
      <c r="A772" s="11">
        <v>25</v>
      </c>
      <c r="B772" s="12" t="s">
        <v>1114</v>
      </c>
      <c r="C772" s="13">
        <v>1179314</v>
      </c>
      <c r="D772" s="14" t="s">
        <v>1131</v>
      </c>
      <c r="E772" s="15">
        <v>5736.7999999999993</v>
      </c>
      <c r="F772" s="15">
        <f t="shared" si="35"/>
        <v>57367.999999999993</v>
      </c>
      <c r="G772" s="15">
        <v>13142.400000000001</v>
      </c>
      <c r="H772" s="15">
        <f t="shared" si="36"/>
        <v>131424</v>
      </c>
      <c r="I772" s="16" t="str">
        <f>IFERROR(VLOOKUP($C772,[1]dados_2023!$C$3:$H$357,4,0),"-")</f>
        <v>-</v>
      </c>
      <c r="J772" s="16" t="str">
        <f>IFERROR(VLOOKUP($C772,[1]dados_2023!$C$3:$H$357,6,0),"-")</f>
        <v>-</v>
      </c>
    </row>
    <row r="773" spans="1:10" ht="18" customHeight="1" x14ac:dyDescent="0.3">
      <c r="A773" s="11">
        <v>25</v>
      </c>
      <c r="B773" s="12" t="s">
        <v>1114</v>
      </c>
      <c r="C773" s="13">
        <v>1179606</v>
      </c>
      <c r="D773" s="14" t="s">
        <v>1132</v>
      </c>
      <c r="E773" s="15">
        <v>13832.599999999999</v>
      </c>
      <c r="F773" s="15">
        <f t="shared" si="35"/>
        <v>138326</v>
      </c>
      <c r="G773" s="15">
        <v>31522.2</v>
      </c>
      <c r="H773" s="15">
        <f t="shared" si="36"/>
        <v>315222</v>
      </c>
      <c r="I773" s="16" t="str">
        <f>IFERROR(VLOOKUP($C773,[1]dados_2023!$C$3:$H$357,4,0),"-")</f>
        <v>-</v>
      </c>
      <c r="J773" s="16" t="str">
        <f>IFERROR(VLOOKUP($C773,[1]dados_2023!$C$3:$H$357,6,0),"-")</f>
        <v>-</v>
      </c>
    </row>
    <row r="774" spans="1:10" ht="18" customHeight="1" x14ac:dyDescent="0.3">
      <c r="A774" s="11">
        <v>25</v>
      </c>
      <c r="B774" s="12" t="s">
        <v>1126</v>
      </c>
      <c r="C774" s="13">
        <v>1144261</v>
      </c>
      <c r="D774" s="14" t="s">
        <v>1133</v>
      </c>
      <c r="E774" s="23">
        <v>2339.2000000000003</v>
      </c>
      <c r="F774" s="15">
        <f t="shared" si="35"/>
        <v>23392.000000000004</v>
      </c>
      <c r="G774" s="23">
        <v>6776.7999999999993</v>
      </c>
      <c r="H774" s="15">
        <f t="shared" si="36"/>
        <v>67768</v>
      </c>
      <c r="I774" s="16" t="str">
        <f>IFERROR(VLOOKUP($C774,[1]dados_2023!$C$3:$H$357,4,0),"-")</f>
        <v>-</v>
      </c>
      <c r="J774" s="16" t="str">
        <f>IFERROR(VLOOKUP($C774,[1]dados_2023!$C$3:$H$357,6,0),"-")</f>
        <v>-</v>
      </c>
    </row>
    <row r="775" spans="1:10" ht="18" customHeight="1" x14ac:dyDescent="0.3">
      <c r="A775" s="11">
        <v>26</v>
      </c>
      <c r="B775" s="12" t="s">
        <v>1134</v>
      </c>
      <c r="C775" s="13">
        <v>1176611</v>
      </c>
      <c r="D775" s="14" t="s">
        <v>1135</v>
      </c>
      <c r="E775" s="15">
        <v>13220</v>
      </c>
      <c r="F775" s="15">
        <f t="shared" ref="F775:F838" si="37">E775*10+I775</f>
        <v>178334</v>
      </c>
      <c r="G775" s="15">
        <v>56581.600000000006</v>
      </c>
      <c r="H775" s="15">
        <f t="shared" ref="H775:H838" si="38">G775*10+J775</f>
        <v>673462</v>
      </c>
      <c r="I775" s="16">
        <f>IFERROR(VLOOKUP($C775,[1]dados_2023!$C$3:$H$357,4,0),"-")</f>
        <v>46134</v>
      </c>
      <c r="J775" s="16">
        <f>IFERROR(VLOOKUP($C775,[1]dados_2023!$C$3:$H$357,6,0),"-")</f>
        <v>107646</v>
      </c>
    </row>
    <row r="776" spans="1:10" ht="18" customHeight="1" x14ac:dyDescent="0.3">
      <c r="A776" s="11">
        <v>26</v>
      </c>
      <c r="B776" s="12" t="s">
        <v>1134</v>
      </c>
      <c r="C776" s="13">
        <v>1179594</v>
      </c>
      <c r="D776" s="14" t="s">
        <v>1136</v>
      </c>
      <c r="E776" s="15">
        <v>2142</v>
      </c>
      <c r="F776" s="15">
        <f t="shared" si="37"/>
        <v>36366</v>
      </c>
      <c r="G776" s="15">
        <v>10953.6</v>
      </c>
      <c r="H776" s="15">
        <f t="shared" si="38"/>
        <v>144410</v>
      </c>
      <c r="I776" s="16">
        <f>IFERROR(VLOOKUP($C776,[1]dados_2023!$C$3:$H$357,4,0),"-")</f>
        <v>14946</v>
      </c>
      <c r="J776" s="16">
        <f>IFERROR(VLOOKUP($C776,[1]dados_2023!$C$3:$H$357,6,0),"-")</f>
        <v>34874</v>
      </c>
    </row>
    <row r="777" spans="1:10" ht="18" customHeight="1" x14ac:dyDescent="0.3">
      <c r="A777" s="11">
        <v>26</v>
      </c>
      <c r="B777" s="12" t="s">
        <v>1134</v>
      </c>
      <c r="C777" s="13">
        <v>1178445</v>
      </c>
      <c r="D777" s="14" t="s">
        <v>1137</v>
      </c>
      <c r="E777" s="15">
        <v>12217.400000000001</v>
      </c>
      <c r="F777" s="15">
        <f t="shared" si="37"/>
        <v>160457</v>
      </c>
      <c r="G777" s="15">
        <v>43433.200000000004</v>
      </c>
      <c r="H777" s="15">
        <f t="shared" si="38"/>
        <v>523659.00000000006</v>
      </c>
      <c r="I777" s="16">
        <f>IFERROR(VLOOKUP($C777,[1]dados_2023!$C$3:$H$357,4,0),"-")</f>
        <v>38283</v>
      </c>
      <c r="J777" s="16">
        <f>IFERROR(VLOOKUP($C777,[1]dados_2023!$C$3:$H$357,6,0),"-")</f>
        <v>89327</v>
      </c>
    </row>
    <row r="778" spans="1:10" ht="18" customHeight="1" x14ac:dyDescent="0.3">
      <c r="A778" s="11">
        <v>26</v>
      </c>
      <c r="B778" s="12" t="s">
        <v>1134</v>
      </c>
      <c r="C778" s="13">
        <v>1178399</v>
      </c>
      <c r="D778" s="14" t="s">
        <v>1138</v>
      </c>
      <c r="E778" s="15">
        <v>9678</v>
      </c>
      <c r="F778" s="15">
        <f t="shared" si="37"/>
        <v>137682</v>
      </c>
      <c r="G778" s="15">
        <v>43037.599999999999</v>
      </c>
      <c r="H778" s="15">
        <f t="shared" si="38"/>
        <v>525814</v>
      </c>
      <c r="I778" s="16">
        <f>IFERROR(VLOOKUP($C778,[1]dados_2023!$C$3:$H$357,4,0),"-")</f>
        <v>40902</v>
      </c>
      <c r="J778" s="16">
        <f>IFERROR(VLOOKUP($C778,[1]dados_2023!$C$3:$H$357,6,0),"-")</f>
        <v>95438</v>
      </c>
    </row>
    <row r="779" spans="1:10" ht="18" customHeight="1" x14ac:dyDescent="0.3">
      <c r="A779" s="11">
        <v>26</v>
      </c>
      <c r="B779" s="12" t="s">
        <v>1134</v>
      </c>
      <c r="C779" s="13">
        <v>1179484</v>
      </c>
      <c r="D779" s="14" t="s">
        <v>1139</v>
      </c>
      <c r="E779" s="15">
        <v>3136.4</v>
      </c>
      <c r="F779" s="15">
        <f t="shared" si="37"/>
        <v>46310</v>
      </c>
      <c r="G779" s="15">
        <v>14291.2</v>
      </c>
      <c r="H779" s="15">
        <f t="shared" si="38"/>
        <v>177786</v>
      </c>
      <c r="I779" s="16">
        <f>IFERROR(VLOOKUP($C779,[1]dados_2023!$C$3:$H$357,4,0),"-")</f>
        <v>14946</v>
      </c>
      <c r="J779" s="16">
        <f>IFERROR(VLOOKUP($C779,[1]dados_2023!$C$3:$H$357,6,0),"-")</f>
        <v>34874</v>
      </c>
    </row>
    <row r="780" spans="1:10" ht="18" customHeight="1" x14ac:dyDescent="0.3">
      <c r="A780" s="11">
        <v>26</v>
      </c>
      <c r="B780" s="12" t="s">
        <v>1134</v>
      </c>
      <c r="C780" s="13">
        <v>1101961</v>
      </c>
      <c r="D780" s="14" t="s">
        <v>1140</v>
      </c>
      <c r="E780" s="15">
        <v>9173.6</v>
      </c>
      <c r="F780" s="15">
        <f t="shared" si="37"/>
        <v>134336</v>
      </c>
      <c r="G780" s="15">
        <v>40946.800000000003</v>
      </c>
      <c r="H780" s="15">
        <f t="shared" si="38"/>
        <v>508868</v>
      </c>
      <c r="I780" s="16">
        <f>IFERROR(VLOOKUP($C780,[1]dados_2023!$C$3:$H$357,4,0),"-")</f>
        <v>42600</v>
      </c>
      <c r="J780" s="16">
        <f>IFERROR(VLOOKUP($C780,[1]dados_2023!$C$3:$H$357,6,0),"-")</f>
        <v>99400</v>
      </c>
    </row>
    <row r="781" spans="1:10" ht="18" customHeight="1" x14ac:dyDescent="0.3">
      <c r="A781" s="11">
        <v>26</v>
      </c>
      <c r="B781" s="12" t="s">
        <v>1134</v>
      </c>
      <c r="C781" s="13">
        <v>1102259</v>
      </c>
      <c r="D781" s="14" t="s">
        <v>1141</v>
      </c>
      <c r="E781" s="15">
        <v>30579.8</v>
      </c>
      <c r="F781" s="15">
        <f t="shared" si="37"/>
        <v>411251</v>
      </c>
      <c r="G781" s="15">
        <v>125604.80000000002</v>
      </c>
      <c r="H781" s="15">
        <f t="shared" si="38"/>
        <v>1502105.0000000002</v>
      </c>
      <c r="I781" s="16">
        <f>IFERROR(VLOOKUP($C781,[1]dados_2023!$C$3:$H$357,4,0),"-")</f>
        <v>105453</v>
      </c>
      <c r="J781" s="16">
        <f>IFERROR(VLOOKUP($C781,[1]dados_2023!$C$3:$H$357,6,0),"-")</f>
        <v>246057</v>
      </c>
    </row>
    <row r="782" spans="1:10" ht="18" customHeight="1" x14ac:dyDescent="0.3">
      <c r="A782" s="11">
        <v>26</v>
      </c>
      <c r="B782" s="12" t="s">
        <v>1134</v>
      </c>
      <c r="C782" s="13">
        <v>1104707</v>
      </c>
      <c r="D782" s="14" t="s">
        <v>1142</v>
      </c>
      <c r="E782" s="15">
        <v>16491.599999999999</v>
      </c>
      <c r="F782" s="15">
        <f t="shared" si="37"/>
        <v>241707</v>
      </c>
      <c r="G782" s="15">
        <v>71757.600000000006</v>
      </c>
      <c r="H782" s="15">
        <f t="shared" si="38"/>
        <v>896755</v>
      </c>
      <c r="I782" s="16">
        <f>IFERROR(VLOOKUP($C782,[1]dados_2023!$C$3:$H$357,4,0),"-")</f>
        <v>76791</v>
      </c>
      <c r="J782" s="16">
        <f>IFERROR(VLOOKUP($C782,[1]dados_2023!$C$3:$H$357,6,0),"-")</f>
        <v>179179</v>
      </c>
    </row>
    <row r="783" spans="1:10" ht="18" customHeight="1" x14ac:dyDescent="0.3">
      <c r="A783" s="11">
        <v>26</v>
      </c>
      <c r="B783" s="12" t="s">
        <v>1134</v>
      </c>
      <c r="C783" s="13">
        <v>1178420</v>
      </c>
      <c r="D783" s="14" t="s">
        <v>1143</v>
      </c>
      <c r="E783" s="15">
        <v>13044</v>
      </c>
      <c r="F783" s="15">
        <f t="shared" si="37"/>
        <v>176268</v>
      </c>
      <c r="G783" s="15">
        <v>53765.200000000012</v>
      </c>
      <c r="H783" s="15">
        <f t="shared" si="38"/>
        <v>644584.00000000012</v>
      </c>
      <c r="I783" s="16">
        <f>IFERROR(VLOOKUP($C783,[1]dados_2023!$C$3:$H$357,4,0),"-")</f>
        <v>45828</v>
      </c>
      <c r="J783" s="16">
        <f>IFERROR(VLOOKUP($C783,[1]dados_2023!$C$3:$H$357,6,0),"-")</f>
        <v>106932</v>
      </c>
    </row>
    <row r="784" spans="1:10" ht="18" customHeight="1" x14ac:dyDescent="0.3">
      <c r="A784" s="11">
        <v>26</v>
      </c>
      <c r="B784" s="12" t="s">
        <v>1134</v>
      </c>
      <c r="C784" s="13">
        <v>1177090</v>
      </c>
      <c r="D784" s="14" t="s">
        <v>245</v>
      </c>
      <c r="E784" s="15">
        <v>18104.400000000001</v>
      </c>
      <c r="F784" s="15">
        <f t="shared" si="37"/>
        <v>272553</v>
      </c>
      <c r="G784" s="15">
        <v>79970</v>
      </c>
      <c r="H784" s="15">
        <f t="shared" si="38"/>
        <v>1013221</v>
      </c>
      <c r="I784" s="16">
        <f>IFERROR(VLOOKUP($C784,[1]dados_2023!$C$3:$H$357,4,0),"-")</f>
        <v>91509</v>
      </c>
      <c r="J784" s="16">
        <f>IFERROR(VLOOKUP($C784,[1]dados_2023!$C$3:$H$357,6,0),"-")</f>
        <v>213521</v>
      </c>
    </row>
    <row r="785" spans="1:10" ht="18" customHeight="1" x14ac:dyDescent="0.3">
      <c r="A785" s="11">
        <v>26</v>
      </c>
      <c r="B785" s="12" t="s">
        <v>1144</v>
      </c>
      <c r="C785" s="13">
        <v>1176410</v>
      </c>
      <c r="D785" s="14" t="s">
        <v>1145</v>
      </c>
      <c r="E785" s="15">
        <v>8127</v>
      </c>
      <c r="F785" s="15">
        <f t="shared" si="37"/>
        <v>116415</v>
      </c>
      <c r="G785" s="15">
        <v>32656.600000000002</v>
      </c>
      <c r="H785" s="15">
        <f t="shared" si="38"/>
        <v>408571</v>
      </c>
      <c r="I785" s="16">
        <f>IFERROR(VLOOKUP($C785,[1]dados_2023!$C$3:$H$357,4,0),"-")</f>
        <v>35145</v>
      </c>
      <c r="J785" s="16">
        <f>IFERROR(VLOOKUP($C785,[1]dados_2023!$C$3:$H$357,6,0),"-")</f>
        <v>82005</v>
      </c>
    </row>
    <row r="786" spans="1:10" ht="18" customHeight="1" x14ac:dyDescent="0.3">
      <c r="A786" s="11">
        <v>26</v>
      </c>
      <c r="B786" s="12" t="s">
        <v>1144</v>
      </c>
      <c r="C786" s="13">
        <v>1177099</v>
      </c>
      <c r="D786" s="14" t="s">
        <v>1146</v>
      </c>
      <c r="E786" s="15">
        <v>7149.8</v>
      </c>
      <c r="F786" s="15">
        <f t="shared" si="37"/>
        <v>104471</v>
      </c>
      <c r="G786" s="15">
        <v>31783.200000000004</v>
      </c>
      <c r="H786" s="15">
        <f t="shared" si="38"/>
        <v>394769.00000000006</v>
      </c>
      <c r="I786" s="16">
        <f>IFERROR(VLOOKUP($C786,[1]dados_2023!$C$3:$H$357,4,0),"-")</f>
        <v>32973</v>
      </c>
      <c r="J786" s="16">
        <f>IFERROR(VLOOKUP($C786,[1]dados_2023!$C$3:$H$357,6,0),"-")</f>
        <v>76937</v>
      </c>
    </row>
    <row r="787" spans="1:10" ht="18" customHeight="1" x14ac:dyDescent="0.3">
      <c r="A787" s="11">
        <v>26</v>
      </c>
      <c r="B787" s="12" t="s">
        <v>1144</v>
      </c>
      <c r="C787" s="13">
        <v>1104863</v>
      </c>
      <c r="D787" s="14" t="s">
        <v>35</v>
      </c>
      <c r="E787" s="15">
        <v>8687.4</v>
      </c>
      <c r="F787" s="15">
        <f t="shared" si="37"/>
        <v>125277</v>
      </c>
      <c r="G787" s="15">
        <v>38517.200000000004</v>
      </c>
      <c r="H787" s="15">
        <f t="shared" si="38"/>
        <v>474779.00000000006</v>
      </c>
      <c r="I787" s="16">
        <f>IFERROR(VLOOKUP($C787,[1]dados_2023!$C$3:$H$357,4,0),"-")</f>
        <v>38403</v>
      </c>
      <c r="J787" s="16">
        <f>IFERROR(VLOOKUP($C787,[1]dados_2023!$C$3:$H$357,6,0),"-")</f>
        <v>89607</v>
      </c>
    </row>
    <row r="788" spans="1:10" ht="18" customHeight="1" x14ac:dyDescent="0.3">
      <c r="A788" s="11">
        <v>26</v>
      </c>
      <c r="B788" s="12" t="s">
        <v>1144</v>
      </c>
      <c r="C788" s="13">
        <v>1103719</v>
      </c>
      <c r="D788" s="14" t="s">
        <v>1147</v>
      </c>
      <c r="E788" s="15">
        <v>6240.8</v>
      </c>
      <c r="F788" s="15">
        <f t="shared" si="37"/>
        <v>98525</v>
      </c>
      <c r="G788" s="15">
        <v>27510.000000000004</v>
      </c>
      <c r="H788" s="15">
        <f t="shared" si="38"/>
        <v>359373.00000000006</v>
      </c>
      <c r="I788" s="16">
        <f>IFERROR(VLOOKUP($C788,[1]dados_2023!$C$3:$H$357,4,0),"-")</f>
        <v>36117</v>
      </c>
      <c r="J788" s="16">
        <f>IFERROR(VLOOKUP($C788,[1]dados_2023!$C$3:$H$357,6,0),"-")</f>
        <v>84273</v>
      </c>
    </row>
    <row r="789" spans="1:10" ht="18" customHeight="1" x14ac:dyDescent="0.3">
      <c r="A789" s="11">
        <v>26</v>
      </c>
      <c r="B789" s="12" t="s">
        <v>1144</v>
      </c>
      <c r="C789" s="13">
        <v>1104669</v>
      </c>
      <c r="D789" s="14" t="s">
        <v>1148</v>
      </c>
      <c r="E789" s="15">
        <v>7521.4000000000005</v>
      </c>
      <c r="F789" s="15">
        <f t="shared" si="37"/>
        <v>117574</v>
      </c>
      <c r="G789" s="15">
        <v>31011.000000000007</v>
      </c>
      <c r="H789" s="15">
        <f t="shared" si="38"/>
        <v>408950.00000000006</v>
      </c>
      <c r="I789" s="16">
        <f>IFERROR(VLOOKUP($C789,[1]dados_2023!$C$3:$H$357,4,0),"-")</f>
        <v>42360</v>
      </c>
      <c r="J789" s="16">
        <f>IFERROR(VLOOKUP($C789,[1]dados_2023!$C$3:$H$357,6,0),"-")</f>
        <v>98840</v>
      </c>
    </row>
    <row r="790" spans="1:10" ht="18" customHeight="1" x14ac:dyDescent="0.3">
      <c r="A790" s="11">
        <v>26</v>
      </c>
      <c r="B790" s="12" t="s">
        <v>1149</v>
      </c>
      <c r="C790" s="13">
        <v>1179670</v>
      </c>
      <c r="D790" s="14" t="s">
        <v>1150</v>
      </c>
      <c r="E790" s="15">
        <v>22961.200000000001</v>
      </c>
      <c r="F790" s="15">
        <f t="shared" si="37"/>
        <v>287002</v>
      </c>
      <c r="G790" s="15">
        <v>98244</v>
      </c>
      <c r="H790" s="15">
        <f t="shared" si="38"/>
        <v>1116350</v>
      </c>
      <c r="I790" s="16">
        <f>IFERROR(VLOOKUP($C790,[1]dados_2023!$C$3:$H$357,4,0),"-")</f>
        <v>57390</v>
      </c>
      <c r="J790" s="16">
        <f>IFERROR(VLOOKUP($C790,[1]dados_2023!$C$3:$H$357,6,0),"-")</f>
        <v>133910</v>
      </c>
    </row>
    <row r="791" spans="1:10" ht="18" customHeight="1" x14ac:dyDescent="0.3">
      <c r="A791" s="11">
        <v>26</v>
      </c>
      <c r="B791" s="12" t="s">
        <v>1149</v>
      </c>
      <c r="C791" s="13">
        <v>1178035</v>
      </c>
      <c r="D791" s="14" t="s">
        <v>1151</v>
      </c>
      <c r="E791" s="15">
        <v>11431.4</v>
      </c>
      <c r="F791" s="15">
        <f t="shared" si="37"/>
        <v>182954</v>
      </c>
      <c r="G791" s="15">
        <v>50431.600000000006</v>
      </c>
      <c r="H791" s="15">
        <f t="shared" si="38"/>
        <v>664476</v>
      </c>
      <c r="I791" s="16">
        <f>IFERROR(VLOOKUP($C791,[1]dados_2023!$C$3:$H$357,4,0),"-")</f>
        <v>68640</v>
      </c>
      <c r="J791" s="16">
        <f>IFERROR(VLOOKUP($C791,[1]dados_2023!$C$3:$H$357,6,0),"-")</f>
        <v>160160</v>
      </c>
    </row>
    <row r="792" spans="1:10" ht="18" customHeight="1" x14ac:dyDescent="0.3">
      <c r="A792" s="11">
        <v>26</v>
      </c>
      <c r="B792" s="12" t="s">
        <v>1152</v>
      </c>
      <c r="C792" s="13">
        <v>1102453</v>
      </c>
      <c r="D792" s="14" t="s">
        <v>1153</v>
      </c>
      <c r="E792" s="15">
        <v>16968.800000000003</v>
      </c>
      <c r="F792" s="15">
        <f t="shared" si="37"/>
        <v>214181.00000000003</v>
      </c>
      <c r="G792" s="15">
        <v>63342.8</v>
      </c>
      <c r="H792" s="15">
        <f t="shared" si="38"/>
        <v>737245</v>
      </c>
      <c r="I792" s="16">
        <f>IFERROR(VLOOKUP($C792,[1]dados_2023!$C$3:$H$357,4,0),"-")</f>
        <v>44493</v>
      </c>
      <c r="J792" s="16">
        <f>IFERROR(VLOOKUP($C792,[1]dados_2023!$C$3:$H$357,6,0),"-")</f>
        <v>103817</v>
      </c>
    </row>
    <row r="793" spans="1:10" ht="18" customHeight="1" x14ac:dyDescent="0.3">
      <c r="A793" s="11">
        <v>26</v>
      </c>
      <c r="B793" s="12" t="s">
        <v>1154</v>
      </c>
      <c r="C793" s="13">
        <v>1178431</v>
      </c>
      <c r="D793" s="14" t="s">
        <v>1155</v>
      </c>
      <c r="E793" s="15">
        <v>17960</v>
      </c>
      <c r="F793" s="15">
        <f t="shared" si="37"/>
        <v>210908</v>
      </c>
      <c r="G793" s="15">
        <v>76868.800000000003</v>
      </c>
      <c r="H793" s="15">
        <f t="shared" si="38"/>
        <v>841740</v>
      </c>
      <c r="I793" s="16">
        <f>IFERROR(VLOOKUP($C793,[1]dados_2023!$C$3:$H$357,4,0),"-")</f>
        <v>31308</v>
      </c>
      <c r="J793" s="16">
        <f>IFERROR(VLOOKUP($C793,[1]dados_2023!$C$3:$H$357,6,0),"-")</f>
        <v>73052</v>
      </c>
    </row>
    <row r="794" spans="1:10" ht="18" customHeight="1" x14ac:dyDescent="0.3">
      <c r="A794" s="11">
        <v>26</v>
      </c>
      <c r="B794" s="12" t="s">
        <v>1154</v>
      </c>
      <c r="C794" s="13">
        <v>1100256</v>
      </c>
      <c r="D794" s="14" t="s">
        <v>1156</v>
      </c>
      <c r="E794" s="15">
        <v>15713.599999999999</v>
      </c>
      <c r="F794" s="15">
        <f t="shared" si="37"/>
        <v>242663</v>
      </c>
      <c r="G794" s="15">
        <v>70213.600000000006</v>
      </c>
      <c r="H794" s="15">
        <f t="shared" si="38"/>
        <v>901699</v>
      </c>
      <c r="I794" s="16">
        <f>IFERROR(VLOOKUP($C794,[1]dados_2023!$C$3:$H$357,4,0),"-")</f>
        <v>85527</v>
      </c>
      <c r="J794" s="16">
        <f>IFERROR(VLOOKUP($C794,[1]dados_2023!$C$3:$H$357,6,0),"-")</f>
        <v>199563</v>
      </c>
    </row>
    <row r="795" spans="1:10" ht="18" customHeight="1" x14ac:dyDescent="0.3">
      <c r="A795" s="11">
        <v>26</v>
      </c>
      <c r="B795" s="12" t="s">
        <v>1154</v>
      </c>
      <c r="C795" s="13">
        <v>1100477</v>
      </c>
      <c r="D795" s="14" t="s">
        <v>1157</v>
      </c>
      <c r="E795" s="15">
        <v>9108</v>
      </c>
      <c r="F795" s="15">
        <f t="shared" si="37"/>
        <v>162114</v>
      </c>
      <c r="G795" s="15">
        <v>41023.199999999997</v>
      </c>
      <c r="H795" s="15">
        <f t="shared" si="38"/>
        <v>575978</v>
      </c>
      <c r="I795" s="16">
        <f>IFERROR(VLOOKUP($C795,[1]dados_2023!$C$3:$H$357,4,0),"-")</f>
        <v>71034</v>
      </c>
      <c r="J795" s="16">
        <f>IFERROR(VLOOKUP($C795,[1]dados_2023!$C$3:$H$357,6,0),"-")</f>
        <v>165746</v>
      </c>
    </row>
    <row r="796" spans="1:10" ht="18" customHeight="1" x14ac:dyDescent="0.3">
      <c r="A796" s="11">
        <v>26</v>
      </c>
      <c r="B796" s="12" t="s">
        <v>1154</v>
      </c>
      <c r="C796" s="13">
        <v>1100809</v>
      </c>
      <c r="D796" s="14" t="s">
        <v>1158</v>
      </c>
      <c r="E796" s="15">
        <v>9121</v>
      </c>
      <c r="F796" s="15">
        <f t="shared" si="37"/>
        <v>153787</v>
      </c>
      <c r="G796" s="15">
        <v>40356</v>
      </c>
      <c r="H796" s="15">
        <f t="shared" si="38"/>
        <v>549573</v>
      </c>
      <c r="I796" s="16">
        <f>IFERROR(VLOOKUP($C796,[1]dados_2023!$C$3:$H$357,4,0),"-")</f>
        <v>62577</v>
      </c>
      <c r="J796" s="16">
        <f>IFERROR(VLOOKUP($C796,[1]dados_2023!$C$3:$H$357,6,0),"-")</f>
        <v>146013</v>
      </c>
    </row>
    <row r="797" spans="1:10" ht="18" customHeight="1" x14ac:dyDescent="0.3">
      <c r="A797" s="11">
        <v>26</v>
      </c>
      <c r="B797" s="12" t="s">
        <v>1154</v>
      </c>
      <c r="C797" s="13">
        <v>1110081</v>
      </c>
      <c r="D797" s="14" t="s">
        <v>1159</v>
      </c>
      <c r="E797" s="15">
        <v>7984.6</v>
      </c>
      <c r="F797" s="15">
        <f t="shared" si="37"/>
        <v>114715</v>
      </c>
      <c r="G797" s="15">
        <v>36750.800000000003</v>
      </c>
      <c r="H797" s="15">
        <f t="shared" si="38"/>
        <v>448869</v>
      </c>
      <c r="I797" s="16">
        <f>IFERROR(VLOOKUP($C797,[1]dados_2023!$C$3:$H$357,4,0),"-")</f>
        <v>34869</v>
      </c>
      <c r="J797" s="16">
        <f>IFERROR(VLOOKUP($C797,[1]dados_2023!$C$3:$H$357,6,0),"-")</f>
        <v>81361</v>
      </c>
    </row>
    <row r="798" spans="1:10" ht="18" customHeight="1" x14ac:dyDescent="0.3">
      <c r="A798" s="11">
        <v>26</v>
      </c>
      <c r="B798" s="12" t="s">
        <v>1154</v>
      </c>
      <c r="C798" s="13">
        <v>1176364</v>
      </c>
      <c r="D798" s="14" t="s">
        <v>1160</v>
      </c>
      <c r="E798" s="15">
        <v>14015.8</v>
      </c>
      <c r="F798" s="15">
        <f t="shared" si="37"/>
        <v>222706</v>
      </c>
      <c r="G798" s="15">
        <v>63550.80000000001</v>
      </c>
      <c r="H798" s="15">
        <f t="shared" si="38"/>
        <v>828120.00000000012</v>
      </c>
      <c r="I798" s="16">
        <f>IFERROR(VLOOKUP($C798,[1]dados_2023!$C$3:$H$357,4,0),"-")</f>
        <v>82548</v>
      </c>
      <c r="J798" s="16">
        <f>IFERROR(VLOOKUP($C798,[1]dados_2023!$C$3:$H$357,6,0),"-")</f>
        <v>192612</v>
      </c>
    </row>
    <row r="799" spans="1:10" ht="18" customHeight="1" x14ac:dyDescent="0.3">
      <c r="A799" s="11">
        <v>26</v>
      </c>
      <c r="B799" s="12" t="s">
        <v>1161</v>
      </c>
      <c r="C799" s="13">
        <v>1101147</v>
      </c>
      <c r="D799" s="14" t="s">
        <v>1162</v>
      </c>
      <c r="E799" s="15">
        <v>9113</v>
      </c>
      <c r="F799" s="15">
        <f t="shared" si="37"/>
        <v>140909</v>
      </c>
      <c r="G799" s="15">
        <v>36703.599999999999</v>
      </c>
      <c r="H799" s="15">
        <f t="shared" si="38"/>
        <v>483187</v>
      </c>
      <c r="I799" s="16">
        <f>IFERROR(VLOOKUP($C799,[1]dados_2023!$C$3:$H$357,4,0),"-")</f>
        <v>49779</v>
      </c>
      <c r="J799" s="16">
        <f>IFERROR(VLOOKUP($C799,[1]dados_2023!$C$3:$H$357,6,0),"-")</f>
        <v>116151</v>
      </c>
    </row>
    <row r="800" spans="1:10" ht="18" customHeight="1" x14ac:dyDescent="0.3">
      <c r="A800" s="11">
        <v>26</v>
      </c>
      <c r="B800" s="12" t="s">
        <v>1163</v>
      </c>
      <c r="C800" s="13">
        <v>1176073</v>
      </c>
      <c r="D800" s="14" t="s">
        <v>1164</v>
      </c>
      <c r="E800" s="15">
        <v>13985.4</v>
      </c>
      <c r="F800" s="15">
        <f t="shared" si="37"/>
        <v>184521</v>
      </c>
      <c r="G800" s="15">
        <v>49440.2</v>
      </c>
      <c r="H800" s="15">
        <f t="shared" si="38"/>
        <v>598625</v>
      </c>
      <c r="I800" s="16">
        <f>IFERROR(VLOOKUP($C800,[1]dados_2023!$C$3:$H$357,4,0),"-")</f>
        <v>44667</v>
      </c>
      <c r="J800" s="16">
        <f>IFERROR(VLOOKUP($C800,[1]dados_2023!$C$3:$H$357,6,0),"-")</f>
        <v>104223</v>
      </c>
    </row>
    <row r="801" spans="1:10" ht="18" customHeight="1" x14ac:dyDescent="0.3">
      <c r="A801" s="11">
        <v>26</v>
      </c>
      <c r="B801" s="12" t="s">
        <v>1163</v>
      </c>
      <c r="C801" s="13">
        <v>1134134</v>
      </c>
      <c r="D801" s="14" t="s">
        <v>1165</v>
      </c>
      <c r="E801" s="15">
        <v>6932</v>
      </c>
      <c r="F801" s="15">
        <f t="shared" si="37"/>
        <v>107831</v>
      </c>
      <c r="G801" s="15">
        <v>30604.400000000001</v>
      </c>
      <c r="H801" s="15">
        <f t="shared" si="38"/>
        <v>395903</v>
      </c>
      <c r="I801" s="16">
        <f>IFERROR(VLOOKUP($C801,[1]dados_2023!$C$3:$H$357,4,0),"-")</f>
        <v>38511</v>
      </c>
      <c r="J801" s="16">
        <f>IFERROR(VLOOKUP($C801,[1]dados_2023!$C$3:$H$357,6,0),"-")</f>
        <v>89859</v>
      </c>
    </row>
    <row r="802" spans="1:10" ht="18" customHeight="1" x14ac:dyDescent="0.3">
      <c r="A802" s="11">
        <v>26</v>
      </c>
      <c r="B802" s="12" t="s">
        <v>1163</v>
      </c>
      <c r="C802" s="13">
        <v>1134177</v>
      </c>
      <c r="D802" s="14" t="s">
        <v>109</v>
      </c>
      <c r="E802" s="15">
        <v>5969</v>
      </c>
      <c r="F802" s="15">
        <f t="shared" si="37"/>
        <v>90797</v>
      </c>
      <c r="G802" s="15">
        <v>26355.200000000001</v>
      </c>
      <c r="H802" s="15">
        <f t="shared" si="38"/>
        <v>336135</v>
      </c>
      <c r="I802" s="16">
        <f>IFERROR(VLOOKUP($C802,[1]dados_2023!$C$3:$H$357,4,0),"-")</f>
        <v>31107</v>
      </c>
      <c r="J802" s="16">
        <f>IFERROR(VLOOKUP($C802,[1]dados_2023!$C$3:$H$357,6,0),"-")</f>
        <v>72583</v>
      </c>
    </row>
    <row r="803" spans="1:10" ht="18" customHeight="1" x14ac:dyDescent="0.3">
      <c r="A803" s="11">
        <v>26</v>
      </c>
      <c r="B803" s="12" t="s">
        <v>1166</v>
      </c>
      <c r="C803" s="13">
        <v>1176461</v>
      </c>
      <c r="D803" s="14" t="s">
        <v>647</v>
      </c>
      <c r="E803" s="15">
        <v>10091</v>
      </c>
      <c r="F803" s="15">
        <f t="shared" si="37"/>
        <v>131492</v>
      </c>
      <c r="G803" s="15">
        <v>32807.800000000003</v>
      </c>
      <c r="H803" s="15">
        <f t="shared" si="38"/>
        <v>399436</v>
      </c>
      <c r="I803" s="16">
        <f>IFERROR(VLOOKUP($C803,[1]dados_2023!$C$3:$H$357,4,0),"-")</f>
        <v>30582</v>
      </c>
      <c r="J803" s="16">
        <f>IFERROR(VLOOKUP($C803,[1]dados_2023!$C$3:$H$357,6,0),"-")</f>
        <v>71358</v>
      </c>
    </row>
    <row r="804" spans="1:10" ht="18" customHeight="1" x14ac:dyDescent="0.3">
      <c r="A804" s="11">
        <v>26</v>
      </c>
      <c r="B804" s="12" t="s">
        <v>1166</v>
      </c>
      <c r="C804" s="13">
        <v>1166354</v>
      </c>
      <c r="D804" s="14" t="s">
        <v>1167</v>
      </c>
      <c r="E804" s="15">
        <v>8782</v>
      </c>
      <c r="F804" s="15">
        <f t="shared" si="37"/>
        <v>134116</v>
      </c>
      <c r="G804" s="15">
        <v>39798.000000000007</v>
      </c>
      <c r="H804" s="15">
        <f t="shared" si="38"/>
        <v>506004.00000000006</v>
      </c>
      <c r="I804" s="16">
        <f>IFERROR(VLOOKUP($C804,[1]dados_2023!$C$3:$H$357,4,0),"-")</f>
        <v>46296</v>
      </c>
      <c r="J804" s="16">
        <f>IFERROR(VLOOKUP($C804,[1]dados_2023!$C$3:$H$357,6,0),"-")</f>
        <v>108024</v>
      </c>
    </row>
    <row r="805" spans="1:10" ht="18" customHeight="1" x14ac:dyDescent="0.3">
      <c r="A805" s="11">
        <v>26</v>
      </c>
      <c r="B805" s="12" t="s">
        <v>1168</v>
      </c>
      <c r="C805" s="13">
        <v>1104367</v>
      </c>
      <c r="D805" s="14" t="s">
        <v>1169</v>
      </c>
      <c r="E805" s="15">
        <v>690.2</v>
      </c>
      <c r="F805" s="15">
        <f t="shared" si="37"/>
        <v>11864</v>
      </c>
      <c r="G805" s="15">
        <v>3047.6</v>
      </c>
      <c r="H805" s="15">
        <f t="shared" si="38"/>
        <v>42054</v>
      </c>
      <c r="I805" s="16">
        <f>IFERROR(VLOOKUP($C805,[1]dados_2023!$C$3:$H$357,4,0),"-")</f>
        <v>4962</v>
      </c>
      <c r="J805" s="16">
        <f>IFERROR(VLOOKUP($C805,[1]dados_2023!$C$3:$H$357,6,0),"-")</f>
        <v>11578</v>
      </c>
    </row>
    <row r="806" spans="1:10" ht="18" customHeight="1" x14ac:dyDescent="0.3">
      <c r="A806" s="11">
        <v>26</v>
      </c>
      <c r="B806" s="12" t="s">
        <v>1168</v>
      </c>
      <c r="C806" s="13">
        <v>1101309</v>
      </c>
      <c r="D806" s="14" t="s">
        <v>1170</v>
      </c>
      <c r="E806" s="15">
        <v>5138.2</v>
      </c>
      <c r="F806" s="15">
        <f t="shared" si="37"/>
        <v>84133</v>
      </c>
      <c r="G806" s="15">
        <v>23700.800000000003</v>
      </c>
      <c r="H806" s="15">
        <f t="shared" si="38"/>
        <v>313427</v>
      </c>
      <c r="I806" s="16">
        <f>IFERROR(VLOOKUP($C806,[1]dados_2023!$C$3:$H$357,4,0),"-")</f>
        <v>32751</v>
      </c>
      <c r="J806" s="16">
        <f>IFERROR(VLOOKUP($C806,[1]dados_2023!$C$3:$H$357,6,0),"-")</f>
        <v>76419</v>
      </c>
    </row>
    <row r="807" spans="1:10" ht="18" customHeight="1" x14ac:dyDescent="0.3">
      <c r="A807" s="11">
        <v>26</v>
      </c>
      <c r="B807" s="12" t="s">
        <v>1168</v>
      </c>
      <c r="C807" s="13">
        <v>1101368</v>
      </c>
      <c r="D807" s="14" t="s">
        <v>1171</v>
      </c>
      <c r="E807" s="15">
        <v>5860</v>
      </c>
      <c r="F807" s="15">
        <f t="shared" si="37"/>
        <v>83116</v>
      </c>
      <c r="G807" s="15">
        <v>25080.799999999999</v>
      </c>
      <c r="H807" s="15">
        <f t="shared" si="38"/>
        <v>308012</v>
      </c>
      <c r="I807" s="16">
        <f>IFERROR(VLOOKUP($C807,[1]dados_2023!$C$3:$H$357,4,0),"-")</f>
        <v>24516</v>
      </c>
      <c r="J807" s="16">
        <f>IFERROR(VLOOKUP($C807,[1]dados_2023!$C$3:$H$357,6,0),"-")</f>
        <v>57204</v>
      </c>
    </row>
    <row r="808" spans="1:10" ht="18" customHeight="1" x14ac:dyDescent="0.3">
      <c r="A808" s="11">
        <v>26</v>
      </c>
      <c r="B808" s="12" t="s">
        <v>1168</v>
      </c>
      <c r="C808" s="13">
        <v>1101430</v>
      </c>
      <c r="D808" s="14" t="s">
        <v>1172</v>
      </c>
      <c r="E808" s="15">
        <v>6626.6</v>
      </c>
      <c r="F808" s="15">
        <f t="shared" si="37"/>
        <v>104024</v>
      </c>
      <c r="G808" s="15">
        <v>30598.400000000001</v>
      </c>
      <c r="H808" s="15">
        <f t="shared" si="38"/>
        <v>394086</v>
      </c>
      <c r="I808" s="16">
        <f>IFERROR(VLOOKUP($C808,[1]dados_2023!$C$3:$H$357,4,0),"-")</f>
        <v>37758</v>
      </c>
      <c r="J808" s="16">
        <f>IFERROR(VLOOKUP($C808,[1]dados_2023!$C$3:$H$357,6,0),"-")</f>
        <v>88102</v>
      </c>
    </row>
    <row r="809" spans="1:10" ht="18" customHeight="1" x14ac:dyDescent="0.3">
      <c r="A809" s="11">
        <v>26</v>
      </c>
      <c r="B809" s="12" t="s">
        <v>1168</v>
      </c>
      <c r="C809" s="13">
        <v>1101163</v>
      </c>
      <c r="D809" s="14" t="s">
        <v>1173</v>
      </c>
      <c r="E809" s="15">
        <v>6665</v>
      </c>
      <c r="F809" s="15">
        <f t="shared" si="37"/>
        <v>119132</v>
      </c>
      <c r="G809" s="15">
        <v>29163.000000000004</v>
      </c>
      <c r="H809" s="15">
        <f t="shared" si="38"/>
        <v>414088.00000000006</v>
      </c>
      <c r="I809" s="16">
        <f>IFERROR(VLOOKUP($C809,[1]dados_2023!$C$3:$H$357,4,0),"-")</f>
        <v>52482</v>
      </c>
      <c r="J809" s="16">
        <f>IFERROR(VLOOKUP($C809,[1]dados_2023!$C$3:$H$357,6,0),"-")</f>
        <v>122458</v>
      </c>
    </row>
    <row r="810" spans="1:10" ht="18" customHeight="1" x14ac:dyDescent="0.3">
      <c r="A810" s="11">
        <v>26</v>
      </c>
      <c r="B810" s="12" t="s">
        <v>1168</v>
      </c>
      <c r="C810" s="13">
        <v>1102186</v>
      </c>
      <c r="D810" s="14" t="s">
        <v>1174</v>
      </c>
      <c r="E810" s="15">
        <v>7890</v>
      </c>
      <c r="F810" s="15">
        <f t="shared" si="37"/>
        <v>119802</v>
      </c>
      <c r="G810" s="15">
        <v>33769.199999999997</v>
      </c>
      <c r="H810" s="15">
        <f t="shared" si="38"/>
        <v>433130</v>
      </c>
      <c r="I810" s="16">
        <f>IFERROR(VLOOKUP($C810,[1]dados_2023!$C$3:$H$357,4,0),"-")</f>
        <v>40902</v>
      </c>
      <c r="J810" s="16">
        <f>IFERROR(VLOOKUP($C810,[1]dados_2023!$C$3:$H$357,6,0),"-")</f>
        <v>95438</v>
      </c>
    </row>
    <row r="811" spans="1:10" ht="18" customHeight="1" x14ac:dyDescent="0.3">
      <c r="A811" s="11">
        <v>26</v>
      </c>
      <c r="B811" s="12" t="s">
        <v>1168</v>
      </c>
      <c r="C811" s="13">
        <v>1102550</v>
      </c>
      <c r="D811" s="14" t="s">
        <v>1175</v>
      </c>
      <c r="E811" s="15">
        <v>15690</v>
      </c>
      <c r="F811" s="15">
        <f t="shared" si="37"/>
        <v>222540</v>
      </c>
      <c r="G811" s="15">
        <v>67153.200000000012</v>
      </c>
      <c r="H811" s="15">
        <f t="shared" si="38"/>
        <v>824692.00000000012</v>
      </c>
      <c r="I811" s="16">
        <f>IFERROR(VLOOKUP($C811,[1]dados_2023!$C$3:$H$357,4,0),"-")</f>
        <v>65640</v>
      </c>
      <c r="J811" s="16">
        <f>IFERROR(VLOOKUP($C811,[1]dados_2023!$C$3:$H$357,6,0),"-")</f>
        <v>153160</v>
      </c>
    </row>
    <row r="812" spans="1:10" ht="18" customHeight="1" x14ac:dyDescent="0.3">
      <c r="A812" s="11">
        <v>26</v>
      </c>
      <c r="B812" s="12" t="s">
        <v>1168</v>
      </c>
      <c r="C812" s="13">
        <v>1102941</v>
      </c>
      <c r="D812" s="14" t="s">
        <v>1176</v>
      </c>
      <c r="E812" s="15">
        <v>13500</v>
      </c>
      <c r="F812" s="15">
        <f t="shared" si="37"/>
        <v>190704</v>
      </c>
      <c r="G812" s="15">
        <v>57780</v>
      </c>
      <c r="H812" s="15">
        <f t="shared" si="38"/>
        <v>707776</v>
      </c>
      <c r="I812" s="16">
        <f>IFERROR(VLOOKUP($C812,[1]dados_2023!$C$3:$H$357,4,0),"-")</f>
        <v>55704</v>
      </c>
      <c r="J812" s="16">
        <f>IFERROR(VLOOKUP($C812,[1]dados_2023!$C$3:$H$357,6,0),"-")</f>
        <v>129976</v>
      </c>
    </row>
    <row r="813" spans="1:10" ht="18" customHeight="1" x14ac:dyDescent="0.3">
      <c r="A813" s="11">
        <v>26</v>
      </c>
      <c r="B813" s="12" t="s">
        <v>1168</v>
      </c>
      <c r="C813" s="13">
        <v>1104936</v>
      </c>
      <c r="D813" s="14" t="s">
        <v>1177</v>
      </c>
      <c r="E813" s="15">
        <v>7250</v>
      </c>
      <c r="F813" s="15">
        <f t="shared" si="37"/>
        <v>123971</v>
      </c>
      <c r="G813" s="15">
        <v>31030</v>
      </c>
      <c r="H813" s="15">
        <f t="shared" si="38"/>
        <v>430399</v>
      </c>
      <c r="I813" s="16">
        <f>IFERROR(VLOOKUP($C813,[1]dados_2023!$C$3:$H$357,4,0),"-")</f>
        <v>51471</v>
      </c>
      <c r="J813" s="16">
        <f>IFERROR(VLOOKUP($C813,[1]dados_2023!$C$3:$H$357,6,0),"-")</f>
        <v>120099</v>
      </c>
    </row>
    <row r="814" spans="1:10" ht="18" customHeight="1" x14ac:dyDescent="0.3">
      <c r="A814" s="11">
        <v>26</v>
      </c>
      <c r="B814" s="12" t="s">
        <v>1168</v>
      </c>
      <c r="C814" s="13">
        <v>1103514</v>
      </c>
      <c r="D814" s="14" t="s">
        <v>1178</v>
      </c>
      <c r="E814" s="15">
        <v>15100</v>
      </c>
      <c r="F814" s="15">
        <f t="shared" si="37"/>
        <v>220498</v>
      </c>
      <c r="G814" s="15">
        <v>64628</v>
      </c>
      <c r="H814" s="15">
        <f t="shared" si="38"/>
        <v>808442</v>
      </c>
      <c r="I814" s="16">
        <f>IFERROR(VLOOKUP($C814,[1]dados_2023!$C$3:$H$357,4,0),"-")</f>
        <v>69498</v>
      </c>
      <c r="J814" s="16">
        <f>IFERROR(VLOOKUP($C814,[1]dados_2023!$C$3:$H$357,6,0),"-")</f>
        <v>162162</v>
      </c>
    </row>
    <row r="815" spans="1:10" ht="18" customHeight="1" x14ac:dyDescent="0.3">
      <c r="A815" s="11">
        <v>26</v>
      </c>
      <c r="B815" s="12" t="s">
        <v>1168</v>
      </c>
      <c r="C815" s="13">
        <v>1178175</v>
      </c>
      <c r="D815" s="14" t="s">
        <v>1179</v>
      </c>
      <c r="E815" s="15">
        <v>2960</v>
      </c>
      <c r="F815" s="15">
        <f t="shared" si="37"/>
        <v>40367</v>
      </c>
      <c r="G815" s="15">
        <v>12668.800000000001</v>
      </c>
      <c r="H815" s="15">
        <f t="shared" si="38"/>
        <v>151811</v>
      </c>
      <c r="I815" s="16">
        <f>IFERROR(VLOOKUP($C815,[1]dados_2023!$C$3:$H$357,4,0),"-")</f>
        <v>10767</v>
      </c>
      <c r="J815" s="16">
        <f>IFERROR(VLOOKUP($C815,[1]dados_2023!$C$3:$H$357,6,0),"-")</f>
        <v>25123</v>
      </c>
    </row>
    <row r="816" spans="1:10" ht="18" customHeight="1" x14ac:dyDescent="0.3">
      <c r="A816" s="11">
        <v>26</v>
      </c>
      <c r="B816" s="12" t="s">
        <v>1168</v>
      </c>
      <c r="C816" s="13">
        <v>1100736</v>
      </c>
      <c r="D816" s="14" t="s">
        <v>1180</v>
      </c>
      <c r="E816" s="15">
        <v>17970</v>
      </c>
      <c r="F816" s="15">
        <f t="shared" si="37"/>
        <v>246087</v>
      </c>
      <c r="G816" s="15">
        <v>76911.600000000006</v>
      </c>
      <c r="H816" s="15">
        <f t="shared" si="38"/>
        <v>924019</v>
      </c>
      <c r="I816" s="16">
        <f>IFERROR(VLOOKUP($C816,[1]dados_2023!$C$3:$H$357,4,0),"-")</f>
        <v>66387</v>
      </c>
      <c r="J816" s="16">
        <f>IFERROR(VLOOKUP($C816,[1]dados_2023!$C$3:$H$357,6,0),"-")</f>
        <v>154903</v>
      </c>
    </row>
    <row r="817" spans="1:10" ht="18" customHeight="1" x14ac:dyDescent="0.3">
      <c r="A817" s="11">
        <v>26</v>
      </c>
      <c r="B817" s="12" t="s">
        <v>1168</v>
      </c>
      <c r="C817" s="13">
        <v>1178323</v>
      </c>
      <c r="D817" s="14" t="s">
        <v>1181</v>
      </c>
      <c r="E817" s="15">
        <v>11450</v>
      </c>
      <c r="F817" s="15">
        <f t="shared" si="37"/>
        <v>188288</v>
      </c>
      <c r="G817" s="15">
        <v>49006</v>
      </c>
      <c r="H817" s="15">
        <f t="shared" si="38"/>
        <v>662232</v>
      </c>
      <c r="I817" s="16">
        <f>IFERROR(VLOOKUP($C817,[1]dados_2023!$C$3:$H$357,4,0),"-")</f>
        <v>73788</v>
      </c>
      <c r="J817" s="16">
        <f>IFERROR(VLOOKUP($C817,[1]dados_2023!$C$3:$H$357,6,0),"-")</f>
        <v>172172</v>
      </c>
    </row>
    <row r="818" spans="1:10" ht="18" customHeight="1" x14ac:dyDescent="0.3">
      <c r="A818" s="11">
        <v>26</v>
      </c>
      <c r="B818" s="12" t="s">
        <v>1168</v>
      </c>
      <c r="C818" s="13">
        <v>1103778</v>
      </c>
      <c r="D818" s="14" t="s">
        <v>1182</v>
      </c>
      <c r="E818" s="15">
        <v>17990</v>
      </c>
      <c r="F818" s="15">
        <f t="shared" si="37"/>
        <v>262085</v>
      </c>
      <c r="G818" s="15">
        <v>76997.2</v>
      </c>
      <c r="H818" s="15">
        <f t="shared" si="38"/>
        <v>961737</v>
      </c>
      <c r="I818" s="16">
        <f>IFERROR(VLOOKUP($C818,[1]dados_2023!$C$3:$H$357,4,0),"-")</f>
        <v>82185</v>
      </c>
      <c r="J818" s="16">
        <f>IFERROR(VLOOKUP($C818,[1]dados_2023!$C$3:$H$357,6,0),"-")</f>
        <v>191765</v>
      </c>
    </row>
    <row r="819" spans="1:10" ht="18" customHeight="1" x14ac:dyDescent="0.3">
      <c r="A819" s="11">
        <v>26</v>
      </c>
      <c r="B819" s="12" t="s">
        <v>1168</v>
      </c>
      <c r="C819" s="13">
        <v>1104693</v>
      </c>
      <c r="D819" s="14" t="s">
        <v>1183</v>
      </c>
      <c r="E819" s="15">
        <v>34254.6</v>
      </c>
      <c r="F819" s="15">
        <f t="shared" si="37"/>
        <v>362949</v>
      </c>
      <c r="G819" s="15">
        <v>122285.00000000001</v>
      </c>
      <c r="H819" s="15">
        <f t="shared" si="38"/>
        <v>1270457.0000000002</v>
      </c>
      <c r="I819" s="16">
        <f>IFERROR(VLOOKUP($C819,[1]dados_2023!$C$3:$H$357,4,0),"-")</f>
        <v>20403</v>
      </c>
      <c r="J819" s="16">
        <f>IFERROR(VLOOKUP($C819,[1]dados_2023!$C$3:$H$357,6,0),"-")</f>
        <v>47607</v>
      </c>
    </row>
    <row r="820" spans="1:10" ht="18" customHeight="1" x14ac:dyDescent="0.3">
      <c r="A820" s="11">
        <v>26</v>
      </c>
      <c r="B820" s="12" t="s">
        <v>1168</v>
      </c>
      <c r="C820" s="13">
        <v>1176080</v>
      </c>
      <c r="D820" s="14" t="s">
        <v>1184</v>
      </c>
      <c r="E820" s="15">
        <v>7300</v>
      </c>
      <c r="F820" s="15">
        <f t="shared" si="37"/>
        <v>107695</v>
      </c>
      <c r="G820" s="15">
        <v>31244</v>
      </c>
      <c r="H820" s="15">
        <f t="shared" si="38"/>
        <v>393395</v>
      </c>
      <c r="I820" s="16">
        <f>IFERROR(VLOOKUP($C820,[1]dados_2023!$C$3:$H$357,4,0),"-")</f>
        <v>34695</v>
      </c>
      <c r="J820" s="16">
        <f>IFERROR(VLOOKUP($C820,[1]dados_2023!$C$3:$H$357,6,0),"-")</f>
        <v>80955</v>
      </c>
    </row>
    <row r="821" spans="1:10" ht="18" customHeight="1" x14ac:dyDescent="0.3">
      <c r="A821" s="11">
        <v>26</v>
      </c>
      <c r="B821" s="12" t="s">
        <v>1168</v>
      </c>
      <c r="C821" s="13">
        <v>1102046</v>
      </c>
      <c r="D821" s="14" t="s">
        <v>1185</v>
      </c>
      <c r="E821" s="15">
        <v>8030</v>
      </c>
      <c r="F821" s="15">
        <f t="shared" si="37"/>
        <v>117386</v>
      </c>
      <c r="G821" s="15">
        <v>34368.400000000001</v>
      </c>
      <c r="H821" s="15">
        <f t="shared" si="38"/>
        <v>430218</v>
      </c>
      <c r="I821" s="16">
        <f>IFERROR(VLOOKUP($C821,[1]dados_2023!$C$3:$H$357,4,0),"-")</f>
        <v>37086</v>
      </c>
      <c r="J821" s="16">
        <f>IFERROR(VLOOKUP($C821,[1]dados_2023!$C$3:$H$357,6,0),"-")</f>
        <v>86534</v>
      </c>
    </row>
    <row r="822" spans="1:10" ht="18" customHeight="1" x14ac:dyDescent="0.3">
      <c r="A822" s="11">
        <v>26</v>
      </c>
      <c r="B822" s="12" t="s">
        <v>1168</v>
      </c>
      <c r="C822" s="13">
        <v>1176391</v>
      </c>
      <c r="D822" s="14" t="s">
        <v>1186</v>
      </c>
      <c r="E822" s="15">
        <v>8880</v>
      </c>
      <c r="F822" s="15">
        <f t="shared" si="37"/>
        <v>128868</v>
      </c>
      <c r="G822" s="15">
        <v>38006.400000000001</v>
      </c>
      <c r="H822" s="15">
        <f t="shared" si="38"/>
        <v>473556</v>
      </c>
      <c r="I822" s="16">
        <f>IFERROR(VLOOKUP($C822,[1]dados_2023!$C$3:$H$357,4,0),"-")</f>
        <v>40068</v>
      </c>
      <c r="J822" s="16">
        <f>IFERROR(VLOOKUP($C822,[1]dados_2023!$C$3:$H$357,6,0),"-")</f>
        <v>93492</v>
      </c>
    </row>
    <row r="823" spans="1:10" ht="18" customHeight="1" x14ac:dyDescent="0.3">
      <c r="A823" s="11">
        <v>26</v>
      </c>
      <c r="B823" s="12" t="s">
        <v>1168</v>
      </c>
      <c r="C823" s="13">
        <v>1104650</v>
      </c>
      <c r="D823" s="14" t="s">
        <v>1187</v>
      </c>
      <c r="E823" s="15">
        <v>16549.8</v>
      </c>
      <c r="F823" s="15">
        <f t="shared" si="37"/>
        <v>241596</v>
      </c>
      <c r="G823" s="15">
        <v>67855.400000000009</v>
      </c>
      <c r="H823" s="15">
        <f t="shared" si="38"/>
        <v>856116.00000000012</v>
      </c>
      <c r="I823" s="16">
        <f>IFERROR(VLOOKUP($C823,[1]dados_2023!$C$3:$H$357,4,0),"-")</f>
        <v>76098</v>
      </c>
      <c r="J823" s="16">
        <f>IFERROR(VLOOKUP($C823,[1]dados_2023!$C$3:$H$357,6,0),"-")</f>
        <v>177562</v>
      </c>
    </row>
    <row r="824" spans="1:10" ht="18" customHeight="1" x14ac:dyDescent="0.3">
      <c r="A824" s="11">
        <v>26</v>
      </c>
      <c r="B824" s="12" t="s">
        <v>1168</v>
      </c>
      <c r="C824" s="13">
        <v>1176389</v>
      </c>
      <c r="D824" s="14" t="s">
        <v>1188</v>
      </c>
      <c r="E824" s="15">
        <v>14246.6</v>
      </c>
      <c r="F824" s="15">
        <f t="shared" si="37"/>
        <v>194219</v>
      </c>
      <c r="G824" s="15">
        <v>56760.200000000004</v>
      </c>
      <c r="H824" s="15">
        <f t="shared" si="38"/>
        <v>688359</v>
      </c>
      <c r="I824" s="16">
        <f>IFERROR(VLOOKUP($C824,[1]dados_2023!$C$3:$H$357,4,0),"-")</f>
        <v>51753</v>
      </c>
      <c r="J824" s="16">
        <f>IFERROR(VLOOKUP($C824,[1]dados_2023!$C$3:$H$357,6,0),"-")</f>
        <v>120757</v>
      </c>
    </row>
    <row r="825" spans="1:10" ht="18" customHeight="1" x14ac:dyDescent="0.3">
      <c r="A825" s="11">
        <v>26</v>
      </c>
      <c r="B825" s="12" t="s">
        <v>1168</v>
      </c>
      <c r="C825" s="13">
        <v>1100167</v>
      </c>
      <c r="D825" s="14" t="s">
        <v>1189</v>
      </c>
      <c r="E825" s="15">
        <v>9891.4000000000015</v>
      </c>
      <c r="F825" s="15">
        <f t="shared" si="37"/>
        <v>120226.00000000001</v>
      </c>
      <c r="G825" s="15">
        <v>28374.6</v>
      </c>
      <c r="H825" s="15">
        <f t="shared" si="38"/>
        <v>333474</v>
      </c>
      <c r="I825" s="16">
        <f>IFERROR(VLOOKUP($C825,[1]dados_2023!$C$3:$H$357,4,0),"-")</f>
        <v>21312</v>
      </c>
      <c r="J825" s="16">
        <f>IFERROR(VLOOKUP($C825,[1]dados_2023!$C$3:$H$357,6,0),"-")</f>
        <v>49728</v>
      </c>
    </row>
    <row r="826" spans="1:10" ht="18" customHeight="1" x14ac:dyDescent="0.3">
      <c r="A826" s="11">
        <v>26</v>
      </c>
      <c r="B826" s="12" t="s">
        <v>1168</v>
      </c>
      <c r="C826" s="13">
        <v>1101651</v>
      </c>
      <c r="D826" s="14" t="s">
        <v>1190</v>
      </c>
      <c r="E826" s="15">
        <v>9093.7999999999993</v>
      </c>
      <c r="F826" s="15">
        <f t="shared" si="37"/>
        <v>131456</v>
      </c>
      <c r="G826" s="15">
        <v>40698.800000000003</v>
      </c>
      <c r="H826" s="15">
        <f t="shared" si="38"/>
        <v>501530</v>
      </c>
      <c r="I826" s="16">
        <f>IFERROR(VLOOKUP($C826,[1]dados_2023!$C$3:$H$357,4,0),"-")</f>
        <v>40518</v>
      </c>
      <c r="J826" s="16">
        <f>IFERROR(VLOOKUP($C826,[1]dados_2023!$C$3:$H$357,6,0),"-")</f>
        <v>94542</v>
      </c>
    </row>
    <row r="827" spans="1:10" ht="18" customHeight="1" x14ac:dyDescent="0.3">
      <c r="A827" s="11">
        <v>26</v>
      </c>
      <c r="B827" s="12" t="s">
        <v>1168</v>
      </c>
      <c r="C827" s="13">
        <v>1100221</v>
      </c>
      <c r="D827" s="14" t="s">
        <v>1191</v>
      </c>
      <c r="E827" s="15">
        <v>8604.7999999999993</v>
      </c>
      <c r="F827" s="15">
        <f t="shared" si="37"/>
        <v>119249</v>
      </c>
      <c r="G827" s="15">
        <v>32161.200000000004</v>
      </c>
      <c r="H827" s="15">
        <f t="shared" si="38"/>
        <v>399081.00000000006</v>
      </c>
      <c r="I827" s="16">
        <f>IFERROR(VLOOKUP($C827,[1]dados_2023!$C$3:$H$357,4,0),"-")</f>
        <v>33201</v>
      </c>
      <c r="J827" s="16">
        <f>IFERROR(VLOOKUP($C827,[1]dados_2023!$C$3:$H$357,6,0),"-")</f>
        <v>77469</v>
      </c>
    </row>
    <row r="828" spans="1:10" ht="18" customHeight="1" x14ac:dyDescent="0.3">
      <c r="A828" s="11">
        <v>26</v>
      </c>
      <c r="B828" s="12" t="s">
        <v>1168</v>
      </c>
      <c r="C828" s="13">
        <v>1100418</v>
      </c>
      <c r="D828" s="14" t="s">
        <v>1192</v>
      </c>
      <c r="E828" s="15">
        <v>7781.6</v>
      </c>
      <c r="F828" s="15">
        <f t="shared" si="37"/>
        <v>88316</v>
      </c>
      <c r="G828" s="15">
        <v>22322.400000000001</v>
      </c>
      <c r="H828" s="15">
        <f t="shared" si="38"/>
        <v>247724</v>
      </c>
      <c r="I828" s="16">
        <f>IFERROR(VLOOKUP($C828,[1]dados_2023!$C$3:$H$357,4,0),"-")</f>
        <v>10500</v>
      </c>
      <c r="J828" s="16">
        <f>IFERROR(VLOOKUP($C828,[1]dados_2023!$C$3:$H$357,6,0),"-")</f>
        <v>24500</v>
      </c>
    </row>
    <row r="829" spans="1:10" ht="18" customHeight="1" x14ac:dyDescent="0.3">
      <c r="A829" s="11">
        <v>26</v>
      </c>
      <c r="B829" s="12" t="s">
        <v>1168</v>
      </c>
      <c r="C829" s="13">
        <v>1100434</v>
      </c>
      <c r="D829" s="14" t="s">
        <v>1193</v>
      </c>
      <c r="E829" s="15">
        <v>15273.4</v>
      </c>
      <c r="F829" s="15">
        <f t="shared" si="37"/>
        <v>209074</v>
      </c>
      <c r="G829" s="15">
        <v>65684.800000000003</v>
      </c>
      <c r="H829" s="15">
        <f t="shared" si="38"/>
        <v>788308</v>
      </c>
      <c r="I829" s="16">
        <f>IFERROR(VLOOKUP($C829,[1]dados_2023!$C$3:$H$357,4,0),"-")</f>
        <v>56340</v>
      </c>
      <c r="J829" s="16">
        <f>IFERROR(VLOOKUP($C829,[1]dados_2023!$C$3:$H$357,6,0),"-")</f>
        <v>131460</v>
      </c>
    </row>
    <row r="830" spans="1:10" ht="18" customHeight="1" x14ac:dyDescent="0.3">
      <c r="A830" s="11">
        <v>26</v>
      </c>
      <c r="B830" s="12" t="s">
        <v>1168</v>
      </c>
      <c r="C830" s="13">
        <v>1100400</v>
      </c>
      <c r="D830" s="14" t="s">
        <v>1194</v>
      </c>
      <c r="E830" s="15">
        <v>22864.400000000001</v>
      </c>
      <c r="F830" s="15">
        <f t="shared" si="37"/>
        <v>342521</v>
      </c>
      <c r="G830" s="15">
        <v>105020</v>
      </c>
      <c r="H830" s="15">
        <f t="shared" si="38"/>
        <v>1315913</v>
      </c>
      <c r="I830" s="16">
        <f>IFERROR(VLOOKUP($C830,[1]dados_2023!$C$3:$H$357,4,0),"-")</f>
        <v>113877</v>
      </c>
      <c r="J830" s="16">
        <f>IFERROR(VLOOKUP($C830,[1]dados_2023!$C$3:$H$357,6,0),"-")</f>
        <v>265713</v>
      </c>
    </row>
    <row r="831" spans="1:10" ht="18" customHeight="1" x14ac:dyDescent="0.3">
      <c r="A831" s="11">
        <v>26</v>
      </c>
      <c r="B831" s="12" t="s">
        <v>1168</v>
      </c>
      <c r="C831" s="13">
        <v>1100485</v>
      </c>
      <c r="D831" s="14" t="s">
        <v>1195</v>
      </c>
      <c r="E831" s="15">
        <v>12238.6</v>
      </c>
      <c r="F831" s="15">
        <f t="shared" si="37"/>
        <v>182791</v>
      </c>
      <c r="G831" s="15">
        <v>53852.4</v>
      </c>
      <c r="H831" s="15">
        <f t="shared" si="38"/>
        <v>679469</v>
      </c>
      <c r="I831" s="16">
        <f>IFERROR(VLOOKUP($C831,[1]dados_2023!$C$3:$H$357,4,0),"-")</f>
        <v>60405</v>
      </c>
      <c r="J831" s="16">
        <f>IFERROR(VLOOKUP($C831,[1]dados_2023!$C$3:$H$357,6,0),"-")</f>
        <v>140945</v>
      </c>
    </row>
    <row r="832" spans="1:10" ht="18" customHeight="1" x14ac:dyDescent="0.3">
      <c r="A832" s="11">
        <v>26</v>
      </c>
      <c r="B832" s="12" t="s">
        <v>1168</v>
      </c>
      <c r="C832" s="13">
        <v>1178157</v>
      </c>
      <c r="D832" s="14" t="s">
        <v>1196</v>
      </c>
      <c r="E832" s="15">
        <v>7542.6</v>
      </c>
      <c r="F832" s="15">
        <f t="shared" si="37"/>
        <v>114609</v>
      </c>
      <c r="G832" s="15">
        <v>33073.200000000004</v>
      </c>
      <c r="H832" s="15">
        <f t="shared" si="38"/>
        <v>422159.00000000006</v>
      </c>
      <c r="I832" s="16">
        <f>IFERROR(VLOOKUP($C832,[1]dados_2023!$C$3:$H$357,4,0),"-")</f>
        <v>39183</v>
      </c>
      <c r="J832" s="16">
        <f>IFERROR(VLOOKUP($C832,[1]dados_2023!$C$3:$H$357,6,0),"-")</f>
        <v>91427</v>
      </c>
    </row>
    <row r="833" spans="1:10" ht="18" customHeight="1" x14ac:dyDescent="0.3">
      <c r="A833" s="11">
        <v>26</v>
      </c>
      <c r="B833" s="12" t="s">
        <v>1168</v>
      </c>
      <c r="C833" s="13">
        <v>1100540</v>
      </c>
      <c r="D833" s="14" t="s">
        <v>1197</v>
      </c>
      <c r="E833" s="15">
        <v>10264.799999999999</v>
      </c>
      <c r="F833" s="15">
        <f t="shared" si="37"/>
        <v>135399</v>
      </c>
      <c r="G833" s="15">
        <v>34188</v>
      </c>
      <c r="H833" s="15">
        <f t="shared" si="38"/>
        <v>418299</v>
      </c>
      <c r="I833" s="16">
        <f>IFERROR(VLOOKUP($C833,[1]dados_2023!$C$3:$H$357,4,0),"-")</f>
        <v>32751</v>
      </c>
      <c r="J833" s="16">
        <f>IFERROR(VLOOKUP($C833,[1]dados_2023!$C$3:$H$357,6,0),"-")</f>
        <v>76419</v>
      </c>
    </row>
    <row r="834" spans="1:10" ht="18" customHeight="1" x14ac:dyDescent="0.3">
      <c r="A834" s="11">
        <v>26</v>
      </c>
      <c r="B834" s="12" t="s">
        <v>1168</v>
      </c>
      <c r="C834" s="13">
        <v>1100612</v>
      </c>
      <c r="D834" s="14" t="s">
        <v>122</v>
      </c>
      <c r="E834" s="15">
        <v>6967.4</v>
      </c>
      <c r="F834" s="15">
        <f t="shared" si="37"/>
        <v>113780</v>
      </c>
      <c r="G834" s="15">
        <v>30730.400000000001</v>
      </c>
      <c r="H834" s="15">
        <f t="shared" si="38"/>
        <v>410218</v>
      </c>
      <c r="I834" s="16">
        <f>IFERROR(VLOOKUP($C834,[1]dados_2023!$C$3:$H$357,4,0),"-")</f>
        <v>44106</v>
      </c>
      <c r="J834" s="16">
        <f>IFERROR(VLOOKUP($C834,[1]dados_2023!$C$3:$H$357,6,0),"-")</f>
        <v>102914</v>
      </c>
    </row>
    <row r="835" spans="1:10" ht="18" customHeight="1" x14ac:dyDescent="0.3">
      <c r="A835" s="11">
        <v>26</v>
      </c>
      <c r="B835" s="12" t="s">
        <v>1168</v>
      </c>
      <c r="C835" s="13">
        <v>1102372</v>
      </c>
      <c r="D835" s="14" t="s">
        <v>1198</v>
      </c>
      <c r="E835" s="15">
        <v>11334.4</v>
      </c>
      <c r="F835" s="15">
        <f t="shared" si="37"/>
        <v>175333</v>
      </c>
      <c r="G835" s="15">
        <v>51844.800000000003</v>
      </c>
      <c r="H835" s="15">
        <f t="shared" si="38"/>
        <v>663089</v>
      </c>
      <c r="I835" s="16">
        <f>IFERROR(VLOOKUP($C835,[1]dados_2023!$C$3:$H$357,4,0),"-")</f>
        <v>61989</v>
      </c>
      <c r="J835" s="16">
        <f>IFERROR(VLOOKUP($C835,[1]dados_2023!$C$3:$H$357,6,0),"-")</f>
        <v>144641</v>
      </c>
    </row>
    <row r="836" spans="1:10" ht="18" customHeight="1" x14ac:dyDescent="0.3">
      <c r="A836" s="11">
        <v>26</v>
      </c>
      <c r="B836" s="12" t="s">
        <v>1168</v>
      </c>
      <c r="C836" s="13">
        <v>1100388</v>
      </c>
      <c r="D836" s="14" t="s">
        <v>1199</v>
      </c>
      <c r="E836" s="15">
        <v>7447.6</v>
      </c>
      <c r="F836" s="15">
        <f t="shared" si="37"/>
        <v>116716</v>
      </c>
      <c r="G836" s="15">
        <v>32454</v>
      </c>
      <c r="H836" s="15">
        <f t="shared" si="38"/>
        <v>423100</v>
      </c>
      <c r="I836" s="16">
        <f>IFERROR(VLOOKUP($C836,[1]dados_2023!$C$3:$H$357,4,0),"-")</f>
        <v>42240</v>
      </c>
      <c r="J836" s="16">
        <f>IFERROR(VLOOKUP($C836,[1]dados_2023!$C$3:$H$357,6,0),"-")</f>
        <v>98560</v>
      </c>
    </row>
    <row r="837" spans="1:10" ht="18" customHeight="1" x14ac:dyDescent="0.3">
      <c r="A837" s="11">
        <v>26</v>
      </c>
      <c r="B837" s="12" t="s">
        <v>1168</v>
      </c>
      <c r="C837" s="13">
        <v>1101031</v>
      </c>
      <c r="D837" s="14" t="s">
        <v>1200</v>
      </c>
      <c r="E837" s="15">
        <v>4207.7999999999993</v>
      </c>
      <c r="F837" s="15">
        <f t="shared" si="37"/>
        <v>69327</v>
      </c>
      <c r="G837" s="15">
        <v>20382</v>
      </c>
      <c r="H837" s="15">
        <f t="shared" si="38"/>
        <v>267401</v>
      </c>
      <c r="I837" s="16">
        <f>IFERROR(VLOOKUP($C837,[1]dados_2023!$C$3:$H$357,4,0),"-")</f>
        <v>27249</v>
      </c>
      <c r="J837" s="16">
        <f>IFERROR(VLOOKUP($C837,[1]dados_2023!$C$3:$H$357,6,0),"-")</f>
        <v>63581</v>
      </c>
    </row>
    <row r="838" spans="1:10" ht="18" customHeight="1" x14ac:dyDescent="0.3">
      <c r="A838" s="11">
        <v>26</v>
      </c>
      <c r="B838" s="12" t="s">
        <v>1168</v>
      </c>
      <c r="C838" s="13">
        <v>1100370</v>
      </c>
      <c r="D838" s="14" t="s">
        <v>1201</v>
      </c>
      <c r="E838" s="15">
        <v>18517.8</v>
      </c>
      <c r="F838" s="15">
        <f t="shared" si="37"/>
        <v>240612</v>
      </c>
      <c r="G838" s="15">
        <v>68030.8</v>
      </c>
      <c r="H838" s="15">
        <f t="shared" si="38"/>
        <v>809654</v>
      </c>
      <c r="I838" s="16">
        <f>IFERROR(VLOOKUP($C838,[1]dados_2023!$C$3:$H$357,4,0),"-")</f>
        <v>55434</v>
      </c>
      <c r="J838" s="16">
        <f>IFERROR(VLOOKUP($C838,[1]dados_2023!$C$3:$H$357,6,0),"-")</f>
        <v>129346</v>
      </c>
    </row>
    <row r="839" spans="1:10" ht="18" customHeight="1" x14ac:dyDescent="0.3">
      <c r="A839" s="11">
        <v>26</v>
      </c>
      <c r="B839" s="12" t="s">
        <v>1168</v>
      </c>
      <c r="C839" s="13">
        <v>1142463</v>
      </c>
      <c r="D839" s="14" t="s">
        <v>1202</v>
      </c>
      <c r="E839" s="15">
        <v>5693.2000000000007</v>
      </c>
      <c r="F839" s="15">
        <f t="shared" ref="F839:F898" si="39">E839*10+I839</f>
        <v>84226</v>
      </c>
      <c r="G839" s="15">
        <v>19803.599999999999</v>
      </c>
      <c r="H839" s="15">
        <f t="shared" ref="H839:H898" si="40">G839*10+J839</f>
        <v>261722</v>
      </c>
      <c r="I839" s="16">
        <f>IFERROR(VLOOKUP($C839,[1]dados_2023!$C$3:$H$357,4,0),"-")</f>
        <v>27294</v>
      </c>
      <c r="J839" s="16">
        <f>IFERROR(VLOOKUP($C839,[1]dados_2023!$C$3:$H$357,6,0),"-")</f>
        <v>63686</v>
      </c>
    </row>
    <row r="840" spans="1:10" ht="18" customHeight="1" x14ac:dyDescent="0.3">
      <c r="A840" s="11">
        <v>26</v>
      </c>
      <c r="B840" s="12" t="s">
        <v>1168</v>
      </c>
      <c r="C840" s="13">
        <v>1145829</v>
      </c>
      <c r="D840" s="14" t="s">
        <v>1203</v>
      </c>
      <c r="E840" s="15">
        <v>8355.7999999999993</v>
      </c>
      <c r="F840" s="15">
        <f t="shared" si="39"/>
        <v>120821</v>
      </c>
      <c r="G840" s="15">
        <v>36349.600000000006</v>
      </c>
      <c r="H840" s="15">
        <f t="shared" si="40"/>
        <v>450443.00000000006</v>
      </c>
      <c r="I840" s="16">
        <f>IFERROR(VLOOKUP($C840,[1]dados_2023!$C$3:$H$357,4,0),"-")</f>
        <v>37263</v>
      </c>
      <c r="J840" s="16">
        <f>IFERROR(VLOOKUP($C840,[1]dados_2023!$C$3:$H$357,6,0),"-")</f>
        <v>86947</v>
      </c>
    </row>
    <row r="841" spans="1:10" ht="18" customHeight="1" x14ac:dyDescent="0.3">
      <c r="A841" s="11">
        <v>26</v>
      </c>
      <c r="B841" s="12" t="s">
        <v>1168</v>
      </c>
      <c r="C841" s="13">
        <v>1101074</v>
      </c>
      <c r="D841" s="14" t="s">
        <v>1204</v>
      </c>
      <c r="E841" s="15">
        <v>8463.4</v>
      </c>
      <c r="F841" s="15">
        <f t="shared" si="39"/>
        <v>130096</v>
      </c>
      <c r="G841" s="15">
        <v>37388.400000000001</v>
      </c>
      <c r="H841" s="15">
        <f t="shared" si="40"/>
        <v>479962</v>
      </c>
      <c r="I841" s="16">
        <f>IFERROR(VLOOKUP($C841,[1]dados_2023!$C$3:$H$357,4,0),"-")</f>
        <v>45462</v>
      </c>
      <c r="J841" s="16">
        <f>IFERROR(VLOOKUP($C841,[1]dados_2023!$C$3:$H$357,6,0),"-")</f>
        <v>106078</v>
      </c>
    </row>
    <row r="842" spans="1:10" ht="18" customHeight="1" x14ac:dyDescent="0.3">
      <c r="A842" s="11">
        <v>26</v>
      </c>
      <c r="B842" s="12" t="s">
        <v>1168</v>
      </c>
      <c r="C842" s="13">
        <v>1176079</v>
      </c>
      <c r="D842" s="14" t="s">
        <v>1205</v>
      </c>
      <c r="E842" s="15">
        <v>3669</v>
      </c>
      <c r="F842" s="15">
        <f t="shared" si="39"/>
        <v>53550</v>
      </c>
      <c r="G842" s="15">
        <v>15462.400000000001</v>
      </c>
      <c r="H842" s="15">
        <f t="shared" si="40"/>
        <v>193964</v>
      </c>
      <c r="I842" s="16">
        <f>IFERROR(VLOOKUP($C842,[1]dados_2023!$C$3:$H$357,4,0),"-")</f>
        <v>16860</v>
      </c>
      <c r="J842" s="16">
        <f>IFERROR(VLOOKUP($C842,[1]dados_2023!$C$3:$H$357,6,0),"-")</f>
        <v>39340</v>
      </c>
    </row>
    <row r="843" spans="1:10" ht="18" customHeight="1" x14ac:dyDescent="0.3">
      <c r="A843" s="11">
        <v>26</v>
      </c>
      <c r="B843" s="12" t="s">
        <v>1168</v>
      </c>
      <c r="C843" s="13">
        <v>1101937</v>
      </c>
      <c r="D843" s="14" t="s">
        <v>1206</v>
      </c>
      <c r="E843" s="15">
        <v>3334.6</v>
      </c>
      <c r="F843" s="15">
        <f t="shared" si="39"/>
        <v>52939</v>
      </c>
      <c r="G843" s="15">
        <v>14132.6</v>
      </c>
      <c r="H843" s="15">
        <f t="shared" si="40"/>
        <v>187043</v>
      </c>
      <c r="I843" s="16">
        <f>IFERROR(VLOOKUP($C843,[1]dados_2023!$C$3:$H$357,4,0),"-")</f>
        <v>19593</v>
      </c>
      <c r="J843" s="16">
        <f>IFERROR(VLOOKUP($C843,[1]dados_2023!$C$3:$H$357,6,0),"-")</f>
        <v>45717</v>
      </c>
    </row>
    <row r="844" spans="1:10" ht="18" customHeight="1" x14ac:dyDescent="0.3">
      <c r="A844" s="11">
        <v>26</v>
      </c>
      <c r="B844" s="12" t="s">
        <v>1168</v>
      </c>
      <c r="C844" s="13">
        <v>1102011</v>
      </c>
      <c r="D844" s="14" t="s">
        <v>1207</v>
      </c>
      <c r="E844" s="15">
        <v>5095</v>
      </c>
      <c r="F844" s="15">
        <f t="shared" si="39"/>
        <v>86905</v>
      </c>
      <c r="G844" s="15">
        <v>22869.599999999999</v>
      </c>
      <c r="H844" s="15">
        <f t="shared" si="40"/>
        <v>312591</v>
      </c>
      <c r="I844" s="16">
        <f>IFERROR(VLOOKUP($C844,[1]dados_2023!$C$3:$H$357,4,0),"-")</f>
        <v>35955</v>
      </c>
      <c r="J844" s="16">
        <f>IFERROR(VLOOKUP($C844,[1]dados_2023!$C$3:$H$357,6,0),"-")</f>
        <v>83895</v>
      </c>
    </row>
    <row r="845" spans="1:10" ht="18" customHeight="1" x14ac:dyDescent="0.3">
      <c r="A845" s="11">
        <v>26</v>
      </c>
      <c r="B845" s="12" t="s">
        <v>1168</v>
      </c>
      <c r="C845" s="13">
        <v>1102151</v>
      </c>
      <c r="D845" s="14" t="s">
        <v>1208</v>
      </c>
      <c r="E845" s="15">
        <v>14996.4</v>
      </c>
      <c r="F845" s="15">
        <f t="shared" si="39"/>
        <v>229932</v>
      </c>
      <c r="G845" s="15">
        <v>65902.400000000009</v>
      </c>
      <c r="H845" s="15">
        <f t="shared" si="40"/>
        <v>845616.00000000012</v>
      </c>
      <c r="I845" s="16">
        <f>IFERROR(VLOOKUP($C845,[1]dados_2023!$C$3:$H$357,4,0),"-")</f>
        <v>79968</v>
      </c>
      <c r="J845" s="16">
        <f>IFERROR(VLOOKUP($C845,[1]dados_2023!$C$3:$H$357,6,0),"-")</f>
        <v>186592</v>
      </c>
    </row>
    <row r="846" spans="1:10" ht="18" customHeight="1" x14ac:dyDescent="0.3">
      <c r="A846" s="11">
        <v>26</v>
      </c>
      <c r="B846" s="12" t="s">
        <v>1168</v>
      </c>
      <c r="C846" s="13">
        <v>1104260</v>
      </c>
      <c r="D846" s="14" t="s">
        <v>1209</v>
      </c>
      <c r="E846" s="15">
        <v>6631.6</v>
      </c>
      <c r="F846" s="15">
        <f t="shared" si="39"/>
        <v>87058</v>
      </c>
      <c r="G846" s="15">
        <v>22872.199999999997</v>
      </c>
      <c r="H846" s="15">
        <f t="shared" si="40"/>
        <v>277120</v>
      </c>
      <c r="I846" s="16">
        <f>IFERROR(VLOOKUP($C846,[1]dados_2023!$C$3:$H$357,4,0),"-")</f>
        <v>20742</v>
      </c>
      <c r="J846" s="16">
        <f>IFERROR(VLOOKUP($C846,[1]dados_2023!$C$3:$H$357,6,0),"-")</f>
        <v>48398</v>
      </c>
    </row>
    <row r="847" spans="1:10" ht="18" customHeight="1" x14ac:dyDescent="0.3">
      <c r="A847" s="11">
        <v>26</v>
      </c>
      <c r="B847" s="12" t="s">
        <v>1168</v>
      </c>
      <c r="C847" s="13">
        <v>1102097</v>
      </c>
      <c r="D847" s="14" t="s">
        <v>1210</v>
      </c>
      <c r="E847" s="15">
        <v>12265.6</v>
      </c>
      <c r="F847" s="15">
        <f t="shared" si="39"/>
        <v>185593</v>
      </c>
      <c r="G847" s="15">
        <v>55541.200000000004</v>
      </c>
      <c r="H847" s="15">
        <f t="shared" si="40"/>
        <v>702265</v>
      </c>
      <c r="I847" s="16">
        <f>IFERROR(VLOOKUP($C847,[1]dados_2023!$C$3:$H$357,4,0),"-")</f>
        <v>62937</v>
      </c>
      <c r="J847" s="16">
        <f>IFERROR(VLOOKUP($C847,[1]dados_2023!$C$3:$H$357,6,0),"-")</f>
        <v>146853</v>
      </c>
    </row>
    <row r="848" spans="1:10" ht="18" customHeight="1" x14ac:dyDescent="0.3">
      <c r="A848" s="11">
        <v>26</v>
      </c>
      <c r="B848" s="12" t="s">
        <v>1168</v>
      </c>
      <c r="C848" s="13">
        <v>1100345</v>
      </c>
      <c r="D848" s="14" t="s">
        <v>1211</v>
      </c>
      <c r="E848" s="15">
        <v>11687</v>
      </c>
      <c r="F848" s="15">
        <f t="shared" si="39"/>
        <v>170816</v>
      </c>
      <c r="G848" s="15">
        <v>53294.400000000001</v>
      </c>
      <c r="H848" s="15">
        <f t="shared" si="40"/>
        <v>658818</v>
      </c>
      <c r="I848" s="16">
        <f>IFERROR(VLOOKUP($C848,[1]dados_2023!$C$3:$H$357,4,0),"-")</f>
        <v>53946</v>
      </c>
      <c r="J848" s="16">
        <f>IFERROR(VLOOKUP($C848,[1]dados_2023!$C$3:$H$357,6,0),"-")</f>
        <v>125874</v>
      </c>
    </row>
    <row r="849" spans="1:10" ht="18" customHeight="1" x14ac:dyDescent="0.3">
      <c r="A849" s="11">
        <v>26</v>
      </c>
      <c r="B849" s="12" t="s">
        <v>1168</v>
      </c>
      <c r="C849" s="13">
        <v>1176206</v>
      </c>
      <c r="D849" s="14" t="s">
        <v>1212</v>
      </c>
      <c r="E849" s="15">
        <v>7069.2000000000007</v>
      </c>
      <c r="F849" s="15">
        <f t="shared" si="39"/>
        <v>84828</v>
      </c>
      <c r="G849" s="15">
        <v>20278.800000000003</v>
      </c>
      <c r="H849" s="15">
        <f t="shared" si="40"/>
        <v>235772.00000000003</v>
      </c>
      <c r="I849" s="16">
        <f>IFERROR(VLOOKUP($C849,[1]dados_2023!$C$3:$H$357,4,0),"-")</f>
        <v>14136</v>
      </c>
      <c r="J849" s="16">
        <f>IFERROR(VLOOKUP($C849,[1]dados_2023!$C$3:$H$357,6,0),"-")</f>
        <v>32984</v>
      </c>
    </row>
    <row r="850" spans="1:10" ht="18" customHeight="1" x14ac:dyDescent="0.3">
      <c r="A850" s="11">
        <v>26</v>
      </c>
      <c r="B850" s="12" t="s">
        <v>1168</v>
      </c>
      <c r="C850" s="13">
        <v>1100493</v>
      </c>
      <c r="D850" s="14" t="s">
        <v>1213</v>
      </c>
      <c r="E850" s="15">
        <v>6619.8</v>
      </c>
      <c r="F850" s="15">
        <f t="shared" si="39"/>
        <v>99807</v>
      </c>
      <c r="G850" s="15">
        <v>30365.199999999997</v>
      </c>
      <c r="H850" s="15">
        <f t="shared" si="40"/>
        <v>382073</v>
      </c>
      <c r="I850" s="16">
        <f>IFERROR(VLOOKUP($C850,[1]dados_2023!$C$3:$H$357,4,0),"-")</f>
        <v>33609</v>
      </c>
      <c r="J850" s="16">
        <f>IFERROR(VLOOKUP($C850,[1]dados_2023!$C$3:$H$357,6,0),"-")</f>
        <v>78421</v>
      </c>
    </row>
    <row r="851" spans="1:10" ht="18" customHeight="1" x14ac:dyDescent="0.3">
      <c r="A851" s="11">
        <v>26</v>
      </c>
      <c r="B851" s="12" t="s">
        <v>1168</v>
      </c>
      <c r="C851" s="13">
        <v>1100523</v>
      </c>
      <c r="D851" s="14" t="s">
        <v>1214</v>
      </c>
      <c r="E851" s="15">
        <v>4000</v>
      </c>
      <c r="F851" s="15">
        <f t="shared" si="39"/>
        <v>61939</v>
      </c>
      <c r="G851" s="15">
        <v>17120</v>
      </c>
      <c r="H851" s="15">
        <f t="shared" si="40"/>
        <v>222391</v>
      </c>
      <c r="I851" s="16">
        <f>IFERROR(VLOOKUP($C851,[1]dados_2023!$C$3:$H$357,4,0),"-")</f>
        <v>21939</v>
      </c>
      <c r="J851" s="16">
        <f>IFERROR(VLOOKUP($C851,[1]dados_2023!$C$3:$H$357,6,0),"-")</f>
        <v>51191</v>
      </c>
    </row>
    <row r="852" spans="1:10" ht="18" customHeight="1" x14ac:dyDescent="0.3">
      <c r="A852" s="11">
        <v>26</v>
      </c>
      <c r="B852" s="12" t="s">
        <v>1168</v>
      </c>
      <c r="C852" s="13">
        <v>1176094</v>
      </c>
      <c r="D852" s="14" t="s">
        <v>1215</v>
      </c>
      <c r="E852" s="15">
        <v>13413.6</v>
      </c>
      <c r="F852" s="15">
        <f t="shared" si="39"/>
        <v>214290</v>
      </c>
      <c r="G852" s="15">
        <v>59094</v>
      </c>
      <c r="H852" s="15">
        <f t="shared" si="40"/>
        <v>777966</v>
      </c>
      <c r="I852" s="16">
        <f>IFERROR(VLOOKUP($C852,[1]dados_2023!$C$3:$H$357,4,0),"-")</f>
        <v>80154</v>
      </c>
      <c r="J852" s="16">
        <f>IFERROR(VLOOKUP($C852,[1]dados_2023!$C$3:$H$357,6,0),"-")</f>
        <v>187026</v>
      </c>
    </row>
    <row r="853" spans="1:10" ht="18" customHeight="1" x14ac:dyDescent="0.3">
      <c r="A853" s="11">
        <v>26</v>
      </c>
      <c r="B853" s="12" t="s">
        <v>1168</v>
      </c>
      <c r="C853" s="13">
        <v>1174713</v>
      </c>
      <c r="D853" s="14" t="s">
        <v>1216</v>
      </c>
      <c r="E853" s="15">
        <v>10590</v>
      </c>
      <c r="F853" s="15">
        <f t="shared" si="39"/>
        <v>163026</v>
      </c>
      <c r="G853" s="15">
        <v>45325.200000000004</v>
      </c>
      <c r="H853" s="15">
        <f t="shared" si="40"/>
        <v>586546</v>
      </c>
      <c r="I853" s="16">
        <f>IFERROR(VLOOKUP($C853,[1]dados_2023!$C$3:$H$357,4,0),"-")</f>
        <v>57126</v>
      </c>
      <c r="J853" s="16">
        <f>IFERROR(VLOOKUP($C853,[1]dados_2023!$C$3:$H$357,6,0),"-")</f>
        <v>133294</v>
      </c>
    </row>
    <row r="854" spans="1:10" ht="18" customHeight="1" x14ac:dyDescent="0.3">
      <c r="A854" s="11">
        <v>26</v>
      </c>
      <c r="B854" s="12" t="s">
        <v>1168</v>
      </c>
      <c r="C854" s="13">
        <v>1179485</v>
      </c>
      <c r="D854" s="14" t="s">
        <v>1217</v>
      </c>
      <c r="E854" s="15">
        <v>8720</v>
      </c>
      <c r="F854" s="15">
        <f t="shared" si="39"/>
        <v>111128</v>
      </c>
      <c r="G854" s="15">
        <v>37321.600000000006</v>
      </c>
      <c r="H854" s="15">
        <f t="shared" si="40"/>
        <v>429048.00000000006</v>
      </c>
      <c r="I854" s="16">
        <f>IFERROR(VLOOKUP($C854,[1]dados_2023!$C$3:$H$357,4,0),"-")</f>
        <v>23928</v>
      </c>
      <c r="J854" s="16">
        <f>IFERROR(VLOOKUP($C854,[1]dados_2023!$C$3:$H$357,6,0),"-")</f>
        <v>55832</v>
      </c>
    </row>
    <row r="855" spans="1:10" ht="18" customHeight="1" x14ac:dyDescent="0.3">
      <c r="A855" s="11">
        <v>26</v>
      </c>
      <c r="B855" s="12" t="s">
        <v>1168</v>
      </c>
      <c r="C855" s="13">
        <v>1177094</v>
      </c>
      <c r="D855" s="14" t="s">
        <v>1218</v>
      </c>
      <c r="E855" s="15">
        <v>3620</v>
      </c>
      <c r="F855" s="15">
        <f t="shared" si="39"/>
        <v>55793</v>
      </c>
      <c r="G855" s="15">
        <v>15493.600000000002</v>
      </c>
      <c r="H855" s="15">
        <f t="shared" si="40"/>
        <v>200653.00000000003</v>
      </c>
      <c r="I855" s="16">
        <f>IFERROR(VLOOKUP($C855,[1]dados_2023!$C$3:$H$357,4,0),"-")</f>
        <v>19593</v>
      </c>
      <c r="J855" s="16">
        <f>IFERROR(VLOOKUP($C855,[1]dados_2023!$C$3:$H$357,6,0),"-")</f>
        <v>45717</v>
      </c>
    </row>
    <row r="856" spans="1:10" ht="18" customHeight="1" x14ac:dyDescent="0.3">
      <c r="A856" s="11">
        <v>26</v>
      </c>
      <c r="B856" s="12" t="s">
        <v>1168</v>
      </c>
      <c r="C856" s="13">
        <v>1176795</v>
      </c>
      <c r="D856" s="14" t="s">
        <v>1219</v>
      </c>
      <c r="E856" s="15">
        <v>14703.6</v>
      </c>
      <c r="F856" s="15">
        <f t="shared" si="39"/>
        <v>213810</v>
      </c>
      <c r="G856" s="15">
        <v>64190.000000000007</v>
      </c>
      <c r="H856" s="15">
        <f t="shared" si="40"/>
        <v>797706.00000000012</v>
      </c>
      <c r="I856" s="16">
        <f>IFERROR(VLOOKUP($C856,[1]dados_2023!$C$3:$H$357,4,0),"-")</f>
        <v>66774</v>
      </c>
      <c r="J856" s="16">
        <f>IFERROR(VLOOKUP($C856,[1]dados_2023!$C$3:$H$357,6,0),"-")</f>
        <v>155806</v>
      </c>
    </row>
    <row r="857" spans="1:10" ht="18" customHeight="1" x14ac:dyDescent="0.3">
      <c r="A857" s="11">
        <v>26</v>
      </c>
      <c r="B857" s="12" t="s">
        <v>1168</v>
      </c>
      <c r="C857" s="13">
        <v>1178325</v>
      </c>
      <c r="D857" s="14" t="s">
        <v>1220</v>
      </c>
      <c r="E857" s="15">
        <v>33680</v>
      </c>
      <c r="F857" s="15">
        <f t="shared" si="39"/>
        <v>378203</v>
      </c>
      <c r="G857" s="15">
        <v>123986.4</v>
      </c>
      <c r="H857" s="15">
        <f t="shared" si="40"/>
        <v>1336471</v>
      </c>
      <c r="I857" s="16">
        <f>IFERROR(VLOOKUP($C857,[1]dados_2023!$C$3:$H$357,4,0),"-")</f>
        <v>41403</v>
      </c>
      <c r="J857" s="16">
        <f>IFERROR(VLOOKUP($C857,[1]dados_2023!$C$3:$H$357,6,0),"-")</f>
        <v>96607</v>
      </c>
    </row>
    <row r="858" spans="1:10" ht="18" customHeight="1" x14ac:dyDescent="0.3">
      <c r="A858" s="11">
        <v>26</v>
      </c>
      <c r="B858" s="12" t="s">
        <v>1168</v>
      </c>
      <c r="C858" s="13">
        <v>1100981</v>
      </c>
      <c r="D858" s="14" t="s">
        <v>1221</v>
      </c>
      <c r="E858" s="15">
        <v>14484.6</v>
      </c>
      <c r="F858" s="15">
        <f t="shared" si="39"/>
        <v>216993</v>
      </c>
      <c r="G858" s="15">
        <v>63295.200000000012</v>
      </c>
      <c r="H858" s="15">
        <f t="shared" si="40"/>
        <v>801295.00000000012</v>
      </c>
      <c r="I858" s="16">
        <f>IFERROR(VLOOKUP($C858,[1]dados_2023!$C$3:$H$357,4,0),"-")</f>
        <v>72147</v>
      </c>
      <c r="J858" s="16">
        <f>IFERROR(VLOOKUP($C858,[1]dados_2023!$C$3:$H$357,6,0),"-")</f>
        <v>168343</v>
      </c>
    </row>
    <row r="859" spans="1:10" ht="18" customHeight="1" x14ac:dyDescent="0.3">
      <c r="A859" s="11">
        <v>26</v>
      </c>
      <c r="B859" s="12" t="s">
        <v>1168</v>
      </c>
      <c r="C859" s="13">
        <v>1104570</v>
      </c>
      <c r="D859" s="14" t="s">
        <v>1222</v>
      </c>
      <c r="E859" s="15">
        <v>5534.8</v>
      </c>
      <c r="F859" s="15">
        <f t="shared" si="39"/>
        <v>62977</v>
      </c>
      <c r="G859" s="15">
        <v>15877.2</v>
      </c>
      <c r="H859" s="15">
        <f t="shared" si="40"/>
        <v>176573</v>
      </c>
      <c r="I859" s="16">
        <f>IFERROR(VLOOKUP($C859,[1]dados_2023!$C$3:$H$357,4,0),"-")</f>
        <v>7629</v>
      </c>
      <c r="J859" s="16">
        <f>IFERROR(VLOOKUP($C859,[1]dados_2023!$C$3:$H$357,6,0),"-")</f>
        <v>17801</v>
      </c>
    </row>
    <row r="860" spans="1:10" ht="18" customHeight="1" x14ac:dyDescent="0.3">
      <c r="A860" s="11">
        <v>26</v>
      </c>
      <c r="B860" s="12" t="s">
        <v>1168</v>
      </c>
      <c r="C860" s="13">
        <v>1102534</v>
      </c>
      <c r="D860" s="14" t="s">
        <v>768</v>
      </c>
      <c r="E860" s="15">
        <v>8288.7999999999993</v>
      </c>
      <c r="F860" s="15">
        <f t="shared" si="39"/>
        <v>140092</v>
      </c>
      <c r="G860" s="15">
        <v>37466</v>
      </c>
      <c r="H860" s="15">
        <f t="shared" si="40"/>
        <v>508136</v>
      </c>
      <c r="I860" s="16">
        <f>IFERROR(VLOOKUP($C860,[1]dados_2023!$C$3:$H$357,4,0),"-")</f>
        <v>57204</v>
      </c>
      <c r="J860" s="16">
        <f>IFERROR(VLOOKUP($C860,[1]dados_2023!$C$3:$H$357,6,0),"-")</f>
        <v>133476</v>
      </c>
    </row>
    <row r="861" spans="1:10" ht="18" customHeight="1" x14ac:dyDescent="0.3">
      <c r="A861" s="11">
        <v>26</v>
      </c>
      <c r="B861" s="12" t="s">
        <v>1168</v>
      </c>
      <c r="C861" s="13">
        <v>1173946</v>
      </c>
      <c r="D861" s="14" t="s">
        <v>1223</v>
      </c>
      <c r="E861" s="15">
        <v>6148</v>
      </c>
      <c r="F861" s="15">
        <f t="shared" si="39"/>
        <v>126532</v>
      </c>
      <c r="G861" s="15">
        <v>27078.799999999999</v>
      </c>
      <c r="H861" s="15">
        <f t="shared" si="40"/>
        <v>422576</v>
      </c>
      <c r="I861" s="16">
        <f>IFERROR(VLOOKUP($C861,[1]dados_2023!$C$3:$H$357,4,0),"-")</f>
        <v>65052</v>
      </c>
      <c r="J861" s="16">
        <f>IFERROR(VLOOKUP($C861,[1]dados_2023!$C$3:$H$357,6,0),"-")</f>
        <v>151788</v>
      </c>
    </row>
    <row r="862" spans="1:10" ht="18" customHeight="1" x14ac:dyDescent="0.3">
      <c r="A862" s="11">
        <v>26</v>
      </c>
      <c r="B862" s="12" t="s">
        <v>1168</v>
      </c>
      <c r="C862" s="13">
        <v>1103816</v>
      </c>
      <c r="D862" s="14" t="s">
        <v>1224</v>
      </c>
      <c r="E862" s="15">
        <v>20362</v>
      </c>
      <c r="F862" s="15">
        <f t="shared" si="39"/>
        <v>229579</v>
      </c>
      <c r="G862" s="15">
        <v>63276</v>
      </c>
      <c r="H862" s="15">
        <f t="shared" si="40"/>
        <v>693331</v>
      </c>
      <c r="I862" s="16">
        <f>IFERROR(VLOOKUP($C862,[1]dados_2023!$C$3:$H$357,4,0),"-")</f>
        <v>25959</v>
      </c>
      <c r="J862" s="16">
        <f>IFERROR(VLOOKUP($C862,[1]dados_2023!$C$3:$H$357,6,0),"-")</f>
        <v>60571</v>
      </c>
    </row>
    <row r="863" spans="1:10" ht="18" customHeight="1" x14ac:dyDescent="0.3">
      <c r="A863" s="11">
        <v>26</v>
      </c>
      <c r="B863" s="12" t="s">
        <v>1168</v>
      </c>
      <c r="C863" s="13">
        <v>1104642</v>
      </c>
      <c r="D863" s="14" t="s">
        <v>1225</v>
      </c>
      <c r="E863" s="15">
        <v>11754</v>
      </c>
      <c r="F863" s="15">
        <f t="shared" si="39"/>
        <v>182544</v>
      </c>
      <c r="G863" s="15">
        <v>53453.600000000006</v>
      </c>
      <c r="H863" s="15">
        <f t="shared" si="40"/>
        <v>686212</v>
      </c>
      <c r="I863" s="16">
        <f>IFERROR(VLOOKUP($C863,[1]dados_2023!$C$3:$H$357,4,0),"-")</f>
        <v>65004</v>
      </c>
      <c r="J863" s="16">
        <f>IFERROR(VLOOKUP($C863,[1]dados_2023!$C$3:$H$357,6,0),"-")</f>
        <v>151676</v>
      </c>
    </row>
    <row r="864" spans="1:10" ht="18" customHeight="1" x14ac:dyDescent="0.3">
      <c r="A864" s="11">
        <v>26</v>
      </c>
      <c r="B864" s="12" t="s">
        <v>1168</v>
      </c>
      <c r="C864" s="13">
        <v>1163967</v>
      </c>
      <c r="D864" s="14" t="s">
        <v>1226</v>
      </c>
      <c r="E864" s="15">
        <v>4267.6000000000004</v>
      </c>
      <c r="F864" s="15">
        <f t="shared" si="39"/>
        <v>68389</v>
      </c>
      <c r="G864" s="15">
        <v>18843.600000000002</v>
      </c>
      <c r="H864" s="15">
        <f t="shared" si="40"/>
        <v>248433.00000000003</v>
      </c>
      <c r="I864" s="16">
        <f>IFERROR(VLOOKUP($C864,[1]dados_2023!$C$3:$H$357,4,0),"-")</f>
        <v>25713</v>
      </c>
      <c r="J864" s="16">
        <f>IFERROR(VLOOKUP($C864,[1]dados_2023!$C$3:$H$357,6,0),"-")</f>
        <v>59997</v>
      </c>
    </row>
    <row r="865" spans="1:10" ht="18" customHeight="1" x14ac:dyDescent="0.3">
      <c r="A865" s="11">
        <v>26</v>
      </c>
      <c r="B865" s="12" t="s">
        <v>1168</v>
      </c>
      <c r="C865" s="13">
        <v>1101376</v>
      </c>
      <c r="D865" s="14" t="s">
        <v>1227</v>
      </c>
      <c r="E865" s="15">
        <v>4477.8</v>
      </c>
      <c r="F865" s="15">
        <f t="shared" si="39"/>
        <v>75885</v>
      </c>
      <c r="G865" s="15">
        <v>18953</v>
      </c>
      <c r="H865" s="15">
        <f t="shared" si="40"/>
        <v>262113</v>
      </c>
      <c r="I865" s="16">
        <f>IFERROR(VLOOKUP($C865,[1]dados_2023!$C$3:$H$357,4,0),"-")</f>
        <v>31107</v>
      </c>
      <c r="J865" s="16">
        <f>IFERROR(VLOOKUP($C865,[1]dados_2023!$C$3:$H$357,6,0),"-")</f>
        <v>72583</v>
      </c>
    </row>
    <row r="866" spans="1:10" ht="18" customHeight="1" x14ac:dyDescent="0.3">
      <c r="A866" s="11">
        <v>26</v>
      </c>
      <c r="B866" s="12" t="s">
        <v>1168</v>
      </c>
      <c r="C866" s="13">
        <v>1100949</v>
      </c>
      <c r="D866" s="14" t="s">
        <v>1228</v>
      </c>
      <c r="E866" s="15">
        <v>10443.200000000001</v>
      </c>
      <c r="F866" s="15">
        <f t="shared" si="39"/>
        <v>161699</v>
      </c>
      <c r="G866" s="15">
        <v>46618.8</v>
      </c>
      <c r="H866" s="15">
        <f t="shared" si="40"/>
        <v>599811</v>
      </c>
      <c r="I866" s="16">
        <f>IFERROR(VLOOKUP($C866,[1]dados_2023!$C$3:$H$357,4,0),"-")</f>
        <v>57267</v>
      </c>
      <c r="J866" s="16">
        <f>IFERROR(VLOOKUP($C866,[1]dados_2023!$C$3:$H$357,6,0),"-")</f>
        <v>133623</v>
      </c>
    </row>
    <row r="867" spans="1:10" ht="18" customHeight="1" x14ac:dyDescent="0.3">
      <c r="A867" s="11">
        <v>26</v>
      </c>
      <c r="B867" s="12" t="s">
        <v>1168</v>
      </c>
      <c r="C867" s="13">
        <v>1163924</v>
      </c>
      <c r="D867" s="14" t="s">
        <v>1229</v>
      </c>
      <c r="E867" s="15">
        <v>12244.8</v>
      </c>
      <c r="F867" s="15">
        <f t="shared" si="39"/>
        <v>184860</v>
      </c>
      <c r="G867" s="15">
        <v>55078.000000000007</v>
      </c>
      <c r="H867" s="15">
        <f t="shared" si="40"/>
        <v>696408.00000000012</v>
      </c>
      <c r="I867" s="16">
        <f>IFERROR(VLOOKUP($C867,[1]dados_2023!$C$3:$H$357,4,0),"-")</f>
        <v>62412</v>
      </c>
      <c r="J867" s="16">
        <f>IFERROR(VLOOKUP($C867,[1]dados_2023!$C$3:$H$357,6,0),"-")</f>
        <v>145628</v>
      </c>
    </row>
    <row r="868" spans="1:10" ht="18" customHeight="1" x14ac:dyDescent="0.3">
      <c r="A868" s="11">
        <v>26</v>
      </c>
      <c r="B868" s="12" t="s">
        <v>1168</v>
      </c>
      <c r="C868" s="13">
        <v>1100337</v>
      </c>
      <c r="D868" s="14" t="s">
        <v>1230</v>
      </c>
      <c r="E868" s="15">
        <v>8871.4</v>
      </c>
      <c r="F868" s="15">
        <f t="shared" si="39"/>
        <v>120130</v>
      </c>
      <c r="G868" s="15">
        <v>39049.600000000006</v>
      </c>
      <c r="H868" s="15">
        <f t="shared" si="40"/>
        <v>463800.00000000006</v>
      </c>
      <c r="I868" s="16">
        <f>IFERROR(VLOOKUP($C868,[1]dados_2023!$C$3:$H$357,4,0),"-")</f>
        <v>31416</v>
      </c>
      <c r="J868" s="16">
        <f>IFERROR(VLOOKUP($C868,[1]dados_2023!$C$3:$H$357,6,0),"-")</f>
        <v>73304</v>
      </c>
    </row>
    <row r="869" spans="1:10" ht="18" customHeight="1" x14ac:dyDescent="0.3">
      <c r="A869" s="11">
        <v>26</v>
      </c>
      <c r="B869" s="12" t="s">
        <v>1168</v>
      </c>
      <c r="C869" s="13">
        <v>1102160</v>
      </c>
      <c r="D869" s="14" t="s">
        <v>1231</v>
      </c>
      <c r="E869" s="15">
        <v>11088.4</v>
      </c>
      <c r="F869" s="15">
        <f t="shared" si="39"/>
        <v>156409</v>
      </c>
      <c r="G869" s="15">
        <v>46804.200000000004</v>
      </c>
      <c r="H869" s="15">
        <f t="shared" si="40"/>
        <v>574267</v>
      </c>
      <c r="I869" s="16">
        <f>IFERROR(VLOOKUP($C869,[1]dados_2023!$C$3:$H$357,4,0),"-")</f>
        <v>45525</v>
      </c>
      <c r="J869" s="16">
        <f>IFERROR(VLOOKUP($C869,[1]dados_2023!$C$3:$H$357,6,0),"-")</f>
        <v>106225</v>
      </c>
    </row>
    <row r="870" spans="1:10" ht="18" customHeight="1" x14ac:dyDescent="0.3">
      <c r="A870" s="11">
        <v>26</v>
      </c>
      <c r="B870" s="12" t="s">
        <v>1168</v>
      </c>
      <c r="C870" s="13">
        <v>1101856</v>
      </c>
      <c r="D870" s="14" t="s">
        <v>408</v>
      </c>
      <c r="E870" s="15">
        <v>20038</v>
      </c>
      <c r="F870" s="15">
        <f t="shared" si="39"/>
        <v>335041</v>
      </c>
      <c r="G870" s="15">
        <v>88228.800000000003</v>
      </c>
      <c r="H870" s="15">
        <f t="shared" si="40"/>
        <v>1196497</v>
      </c>
      <c r="I870" s="16">
        <f>IFERROR(VLOOKUP($C870,[1]dados_2023!$C$3:$H$357,4,0),"-")</f>
        <v>134661</v>
      </c>
      <c r="J870" s="16">
        <f>IFERROR(VLOOKUP($C870,[1]dados_2023!$C$3:$H$357,6,0),"-")</f>
        <v>314209</v>
      </c>
    </row>
    <row r="871" spans="1:10" ht="18" customHeight="1" x14ac:dyDescent="0.3">
      <c r="A871" s="11">
        <v>26</v>
      </c>
      <c r="B871" s="12" t="s">
        <v>1168</v>
      </c>
      <c r="C871" s="13">
        <v>1100957</v>
      </c>
      <c r="D871" s="14" t="s">
        <v>434</v>
      </c>
      <c r="E871" s="15">
        <v>5230</v>
      </c>
      <c r="F871" s="15">
        <f t="shared" si="39"/>
        <v>75703</v>
      </c>
      <c r="G871" s="15">
        <v>22384.400000000001</v>
      </c>
      <c r="H871" s="15">
        <f t="shared" si="40"/>
        <v>278451</v>
      </c>
      <c r="I871" s="16">
        <f>IFERROR(VLOOKUP($C871,[1]dados_2023!$C$3:$H$357,4,0),"-")</f>
        <v>23403</v>
      </c>
      <c r="J871" s="16">
        <f>IFERROR(VLOOKUP($C871,[1]dados_2023!$C$3:$H$357,6,0),"-")</f>
        <v>54607</v>
      </c>
    </row>
    <row r="872" spans="1:10" ht="18" customHeight="1" x14ac:dyDescent="0.3">
      <c r="A872" s="11">
        <v>26</v>
      </c>
      <c r="B872" s="12" t="s">
        <v>1168</v>
      </c>
      <c r="C872" s="13">
        <v>1100914</v>
      </c>
      <c r="D872" s="14" t="s">
        <v>1232</v>
      </c>
      <c r="E872" s="15">
        <v>11756.6</v>
      </c>
      <c r="F872" s="15">
        <f t="shared" si="39"/>
        <v>180446</v>
      </c>
      <c r="G872" s="15">
        <v>50854.000000000007</v>
      </c>
      <c r="H872" s="15">
        <f t="shared" si="40"/>
        <v>655260</v>
      </c>
      <c r="I872" s="16">
        <f>IFERROR(VLOOKUP($C872,[1]dados_2023!$C$3:$H$357,4,0),"-")</f>
        <v>62880</v>
      </c>
      <c r="J872" s="16">
        <f>IFERROR(VLOOKUP($C872,[1]dados_2023!$C$3:$H$357,6,0),"-")</f>
        <v>146720</v>
      </c>
    </row>
    <row r="873" spans="1:10" ht="18" customHeight="1" x14ac:dyDescent="0.3">
      <c r="A873" s="11">
        <v>26</v>
      </c>
      <c r="B873" s="12" t="s">
        <v>1168</v>
      </c>
      <c r="C873" s="13">
        <v>1176096</v>
      </c>
      <c r="D873" s="14" t="s">
        <v>1233</v>
      </c>
      <c r="E873" s="15">
        <v>17408</v>
      </c>
      <c r="F873" s="15">
        <f t="shared" si="39"/>
        <v>262673</v>
      </c>
      <c r="G873" s="15">
        <v>76547.200000000012</v>
      </c>
      <c r="H873" s="15">
        <f t="shared" si="40"/>
        <v>972189.00000000012</v>
      </c>
      <c r="I873" s="16">
        <f>IFERROR(VLOOKUP($C873,[1]dados_2023!$C$3:$H$357,4,0),"-")</f>
        <v>88593</v>
      </c>
      <c r="J873" s="16">
        <f>IFERROR(VLOOKUP($C873,[1]dados_2023!$C$3:$H$357,6,0),"-")</f>
        <v>206717</v>
      </c>
    </row>
    <row r="874" spans="1:10" ht="18" customHeight="1" x14ac:dyDescent="0.3">
      <c r="A874" s="11">
        <v>26</v>
      </c>
      <c r="B874" s="12" t="s">
        <v>1168</v>
      </c>
      <c r="C874" s="13">
        <v>1104588</v>
      </c>
      <c r="D874" s="14" t="s">
        <v>1234</v>
      </c>
      <c r="E874" s="15">
        <v>15504.6</v>
      </c>
      <c r="F874" s="15">
        <f t="shared" si="39"/>
        <v>230442</v>
      </c>
      <c r="G874" s="15">
        <v>63301.600000000006</v>
      </c>
      <c r="H874" s="15">
        <f t="shared" si="40"/>
        <v>808940</v>
      </c>
      <c r="I874" s="16">
        <f>IFERROR(VLOOKUP($C874,[1]dados_2023!$C$3:$H$357,4,0),"-")</f>
        <v>75396</v>
      </c>
      <c r="J874" s="16">
        <f>IFERROR(VLOOKUP($C874,[1]dados_2023!$C$3:$H$357,6,0),"-")</f>
        <v>175924</v>
      </c>
    </row>
    <row r="875" spans="1:10" ht="18" customHeight="1" x14ac:dyDescent="0.3">
      <c r="A875" s="11">
        <v>26</v>
      </c>
      <c r="B875" s="12" t="s">
        <v>1168</v>
      </c>
      <c r="C875" s="13">
        <v>1100973</v>
      </c>
      <c r="D875" s="14" t="s">
        <v>1235</v>
      </c>
      <c r="E875" s="15">
        <v>12378.6</v>
      </c>
      <c r="F875" s="15">
        <f t="shared" si="39"/>
        <v>178929</v>
      </c>
      <c r="G875" s="15">
        <v>52680</v>
      </c>
      <c r="H875" s="15">
        <f t="shared" si="40"/>
        <v>655467</v>
      </c>
      <c r="I875" s="16">
        <f>IFERROR(VLOOKUP($C875,[1]dados_2023!$C$3:$H$357,4,0),"-")</f>
        <v>55143</v>
      </c>
      <c r="J875" s="16">
        <f>IFERROR(VLOOKUP($C875,[1]dados_2023!$C$3:$H$357,6,0),"-")</f>
        <v>128667</v>
      </c>
    </row>
    <row r="876" spans="1:10" ht="18" customHeight="1" x14ac:dyDescent="0.3">
      <c r="A876" s="11">
        <v>26</v>
      </c>
      <c r="B876" s="12" t="s">
        <v>1168</v>
      </c>
      <c r="C876" s="13">
        <v>1101449</v>
      </c>
      <c r="D876" s="14" t="s">
        <v>354</v>
      </c>
      <c r="E876" s="15">
        <v>11266.8</v>
      </c>
      <c r="F876" s="15">
        <f t="shared" si="39"/>
        <v>181227</v>
      </c>
      <c r="G876" s="15">
        <v>49276.4</v>
      </c>
      <c r="H876" s="15">
        <f t="shared" si="40"/>
        <v>652735</v>
      </c>
      <c r="I876" s="16">
        <f>IFERROR(VLOOKUP($C876,[1]dados_2023!$C$3:$H$357,4,0),"-")</f>
        <v>68559</v>
      </c>
      <c r="J876" s="16">
        <f>IFERROR(VLOOKUP($C876,[1]dados_2023!$C$3:$H$357,6,0),"-")</f>
        <v>159971</v>
      </c>
    </row>
    <row r="877" spans="1:10" ht="18" customHeight="1" x14ac:dyDescent="0.3">
      <c r="A877" s="11">
        <v>26</v>
      </c>
      <c r="B877" s="12" t="s">
        <v>1168</v>
      </c>
      <c r="C877" s="13">
        <v>1102976</v>
      </c>
      <c r="D877" s="14" t="s">
        <v>1236</v>
      </c>
      <c r="E877" s="15">
        <v>9369.8000000000011</v>
      </c>
      <c r="F877" s="15">
        <f t="shared" si="39"/>
        <v>143336</v>
      </c>
      <c r="G877" s="15">
        <v>39745.000000000007</v>
      </c>
      <c r="H877" s="15">
        <f t="shared" si="40"/>
        <v>513272.00000000006</v>
      </c>
      <c r="I877" s="16">
        <f>IFERROR(VLOOKUP($C877,[1]dados_2023!$C$3:$H$357,4,0),"-")</f>
        <v>49638</v>
      </c>
      <c r="J877" s="16">
        <f>IFERROR(VLOOKUP($C877,[1]dados_2023!$C$3:$H$357,6,0),"-")</f>
        <v>115822</v>
      </c>
    </row>
    <row r="878" spans="1:10" ht="18" customHeight="1" x14ac:dyDescent="0.3">
      <c r="A878" s="11">
        <v>26</v>
      </c>
      <c r="B878" s="12" t="s">
        <v>1168</v>
      </c>
      <c r="C878" s="13">
        <v>1102992</v>
      </c>
      <c r="D878" s="14" t="s">
        <v>1237</v>
      </c>
      <c r="E878" s="15">
        <v>7620.6000000000013</v>
      </c>
      <c r="F878" s="15">
        <f t="shared" si="39"/>
        <v>95349.000000000015</v>
      </c>
      <c r="G878" s="15">
        <v>23523.4</v>
      </c>
      <c r="H878" s="15">
        <f t="shared" si="40"/>
        <v>279901</v>
      </c>
      <c r="I878" s="16">
        <f>IFERROR(VLOOKUP($C878,[1]dados_2023!$C$3:$H$357,4,0),"-")</f>
        <v>19143</v>
      </c>
      <c r="J878" s="16">
        <f>IFERROR(VLOOKUP($C878,[1]dados_2023!$C$3:$H$357,6,0),"-")</f>
        <v>44667</v>
      </c>
    </row>
    <row r="879" spans="1:10" ht="18" customHeight="1" x14ac:dyDescent="0.3">
      <c r="A879" s="11">
        <v>26</v>
      </c>
      <c r="B879" s="12" t="s">
        <v>1168</v>
      </c>
      <c r="C879" s="13">
        <v>1103174</v>
      </c>
      <c r="D879" s="14" t="s">
        <v>1238</v>
      </c>
      <c r="E879" s="15">
        <v>5870</v>
      </c>
      <c r="F879" s="15">
        <f t="shared" si="39"/>
        <v>81542</v>
      </c>
      <c r="G879" s="15">
        <v>25123.600000000002</v>
      </c>
      <c r="H879" s="15">
        <f t="shared" si="40"/>
        <v>304534</v>
      </c>
      <c r="I879" s="16">
        <f>IFERROR(VLOOKUP($C879,[1]dados_2023!$C$3:$H$357,4,0),"-")</f>
        <v>22842</v>
      </c>
      <c r="J879" s="16">
        <f>IFERROR(VLOOKUP($C879,[1]dados_2023!$C$3:$H$357,6,0),"-")</f>
        <v>53298</v>
      </c>
    </row>
    <row r="880" spans="1:10" ht="18" customHeight="1" x14ac:dyDescent="0.3">
      <c r="A880" s="11">
        <v>26</v>
      </c>
      <c r="B880" s="12" t="s">
        <v>1168</v>
      </c>
      <c r="C880" s="13">
        <v>1100817</v>
      </c>
      <c r="D880" s="14" t="s">
        <v>1239</v>
      </c>
      <c r="E880" s="15">
        <v>3936.2</v>
      </c>
      <c r="F880" s="15">
        <f t="shared" si="39"/>
        <v>50159</v>
      </c>
      <c r="G880" s="15">
        <v>12477.000000000002</v>
      </c>
      <c r="H880" s="15">
        <f t="shared" si="40"/>
        <v>149963</v>
      </c>
      <c r="I880" s="16">
        <f>IFERROR(VLOOKUP($C880,[1]dados_2023!$C$3:$H$357,4,0),"-")</f>
        <v>10797</v>
      </c>
      <c r="J880" s="16">
        <f>IFERROR(VLOOKUP($C880,[1]dados_2023!$C$3:$H$357,6,0),"-")</f>
        <v>25193</v>
      </c>
    </row>
    <row r="881" spans="1:10" ht="18" customHeight="1" x14ac:dyDescent="0.3">
      <c r="A881" s="11">
        <v>26</v>
      </c>
      <c r="B881" s="12" t="s">
        <v>1168</v>
      </c>
      <c r="C881" s="13">
        <v>1101872</v>
      </c>
      <c r="D881" s="14" t="s">
        <v>1240</v>
      </c>
      <c r="E881" s="15">
        <v>8707.4</v>
      </c>
      <c r="F881" s="15">
        <f t="shared" si="39"/>
        <v>123800</v>
      </c>
      <c r="G881" s="15">
        <v>36932.400000000001</v>
      </c>
      <c r="H881" s="15">
        <f t="shared" si="40"/>
        <v>455018</v>
      </c>
      <c r="I881" s="16">
        <f>IFERROR(VLOOKUP($C881,[1]dados_2023!$C$3:$H$357,4,0),"-")</f>
        <v>36726</v>
      </c>
      <c r="J881" s="16">
        <f>IFERROR(VLOOKUP($C881,[1]dados_2023!$C$3:$H$357,6,0),"-")</f>
        <v>85694</v>
      </c>
    </row>
    <row r="882" spans="1:10" ht="18" customHeight="1" x14ac:dyDescent="0.3">
      <c r="A882" s="11">
        <v>26</v>
      </c>
      <c r="B882" s="12" t="s">
        <v>1168</v>
      </c>
      <c r="C882" s="13">
        <v>1101899</v>
      </c>
      <c r="D882" s="14" t="s">
        <v>1241</v>
      </c>
      <c r="E882" s="15">
        <v>16193.400000000001</v>
      </c>
      <c r="F882" s="15">
        <f t="shared" si="39"/>
        <v>187647</v>
      </c>
      <c r="G882" s="15">
        <v>46452.600000000006</v>
      </c>
      <c r="H882" s="15">
        <f t="shared" si="40"/>
        <v>524523</v>
      </c>
      <c r="I882" s="16">
        <f>IFERROR(VLOOKUP($C882,[1]dados_2023!$C$3:$H$357,4,0),"-")</f>
        <v>25713</v>
      </c>
      <c r="J882" s="16">
        <f>IFERROR(VLOOKUP($C882,[1]dados_2023!$C$3:$H$357,6,0),"-")</f>
        <v>59997</v>
      </c>
    </row>
    <row r="883" spans="1:10" ht="18" customHeight="1" x14ac:dyDescent="0.3">
      <c r="A883" s="11">
        <v>26</v>
      </c>
      <c r="B883" s="12" t="s">
        <v>1168</v>
      </c>
      <c r="C883" s="13">
        <v>1103220</v>
      </c>
      <c r="D883" s="14" t="s">
        <v>1242</v>
      </c>
      <c r="E883" s="15">
        <v>8006.6</v>
      </c>
      <c r="F883" s="15">
        <f t="shared" si="39"/>
        <v>98600</v>
      </c>
      <c r="G883" s="15">
        <v>25397.200000000004</v>
      </c>
      <c r="H883" s="15">
        <f t="shared" si="40"/>
        <v>297218.00000000006</v>
      </c>
      <c r="I883" s="16">
        <f>IFERROR(VLOOKUP($C883,[1]dados_2023!$C$3:$H$357,4,0),"-")</f>
        <v>18534</v>
      </c>
      <c r="J883" s="16">
        <f>IFERROR(VLOOKUP($C883,[1]dados_2023!$C$3:$H$357,6,0),"-")</f>
        <v>43246</v>
      </c>
    </row>
    <row r="884" spans="1:10" ht="18" customHeight="1" x14ac:dyDescent="0.3">
      <c r="A884" s="11">
        <v>26</v>
      </c>
      <c r="B884" s="12" t="s">
        <v>1168</v>
      </c>
      <c r="C884" s="13">
        <v>1104413</v>
      </c>
      <c r="D884" s="14" t="s">
        <v>1243</v>
      </c>
      <c r="E884" s="15">
        <v>6419.8</v>
      </c>
      <c r="F884" s="15">
        <f t="shared" si="39"/>
        <v>93277</v>
      </c>
      <c r="G884" s="15">
        <v>27772.000000000004</v>
      </c>
      <c r="H884" s="15">
        <f t="shared" si="40"/>
        <v>345571.00000000006</v>
      </c>
      <c r="I884" s="16">
        <f>IFERROR(VLOOKUP($C884,[1]dados_2023!$C$3:$H$357,4,0),"-")</f>
        <v>29079</v>
      </c>
      <c r="J884" s="16">
        <f>IFERROR(VLOOKUP($C884,[1]dados_2023!$C$3:$H$357,6,0),"-")</f>
        <v>67851</v>
      </c>
    </row>
    <row r="885" spans="1:10" ht="18" customHeight="1" x14ac:dyDescent="0.3">
      <c r="A885" s="11">
        <v>26</v>
      </c>
      <c r="B885" s="12" t="s">
        <v>1168</v>
      </c>
      <c r="C885" s="13">
        <v>1101953</v>
      </c>
      <c r="D885" s="14" t="s">
        <v>1244</v>
      </c>
      <c r="E885" s="15">
        <v>6196.6</v>
      </c>
      <c r="F885" s="15">
        <f t="shared" si="39"/>
        <v>90070</v>
      </c>
      <c r="G885" s="15">
        <v>27057.200000000001</v>
      </c>
      <c r="H885" s="15">
        <f t="shared" si="40"/>
        <v>336148</v>
      </c>
      <c r="I885" s="16">
        <f>IFERROR(VLOOKUP($C885,[1]dados_2023!$C$3:$H$357,4,0),"-")</f>
        <v>28104</v>
      </c>
      <c r="J885" s="16">
        <f>IFERROR(VLOOKUP($C885,[1]dados_2023!$C$3:$H$357,6,0),"-")</f>
        <v>65576</v>
      </c>
    </row>
    <row r="886" spans="1:10" ht="18" customHeight="1" x14ac:dyDescent="0.3">
      <c r="A886" s="11">
        <v>26</v>
      </c>
      <c r="B886" s="12" t="s">
        <v>1168</v>
      </c>
      <c r="C886" s="13">
        <v>1101988</v>
      </c>
      <c r="D886" s="14" t="s">
        <v>1245</v>
      </c>
      <c r="E886" s="15">
        <v>4804.6000000000004</v>
      </c>
      <c r="F886" s="15">
        <f t="shared" si="39"/>
        <v>75295</v>
      </c>
      <c r="G886" s="15">
        <v>21014.400000000001</v>
      </c>
      <c r="H886" s="15">
        <f t="shared" si="40"/>
        <v>273725</v>
      </c>
      <c r="I886" s="16">
        <f>IFERROR(VLOOKUP($C886,[1]dados_2023!$C$3:$H$357,4,0),"-")</f>
        <v>27249</v>
      </c>
      <c r="J886" s="16">
        <f>IFERROR(VLOOKUP($C886,[1]dados_2023!$C$3:$H$357,6,0),"-")</f>
        <v>63581</v>
      </c>
    </row>
    <row r="887" spans="1:10" ht="18" customHeight="1" x14ac:dyDescent="0.3">
      <c r="A887" s="11">
        <v>26</v>
      </c>
      <c r="B887" s="12" t="s">
        <v>1168</v>
      </c>
      <c r="C887" s="13">
        <v>1176445</v>
      </c>
      <c r="D887" s="14" t="s">
        <v>1246</v>
      </c>
      <c r="E887" s="15">
        <v>13134.8</v>
      </c>
      <c r="F887" s="15">
        <f t="shared" si="39"/>
        <v>191753</v>
      </c>
      <c r="G887" s="15">
        <v>57611.6</v>
      </c>
      <c r="H887" s="15">
        <f t="shared" si="40"/>
        <v>717061</v>
      </c>
      <c r="I887" s="16">
        <f>IFERROR(VLOOKUP($C887,[1]dados_2023!$C$3:$H$357,4,0),"-")</f>
        <v>60405</v>
      </c>
      <c r="J887" s="16">
        <f>IFERROR(VLOOKUP($C887,[1]dados_2023!$C$3:$H$357,6,0),"-")</f>
        <v>140945</v>
      </c>
    </row>
    <row r="888" spans="1:10" ht="18" customHeight="1" x14ac:dyDescent="0.3">
      <c r="A888" s="11">
        <v>26</v>
      </c>
      <c r="B888" s="12" t="s">
        <v>1168</v>
      </c>
      <c r="C888" s="13">
        <v>1102364</v>
      </c>
      <c r="D888" s="14" t="s">
        <v>1247</v>
      </c>
      <c r="E888" s="15">
        <v>5457.8</v>
      </c>
      <c r="F888" s="15">
        <f t="shared" si="39"/>
        <v>80012</v>
      </c>
      <c r="G888" s="15">
        <v>23606.000000000004</v>
      </c>
      <c r="H888" s="15">
        <f t="shared" si="40"/>
        <v>295406</v>
      </c>
      <c r="I888" s="16">
        <f>IFERROR(VLOOKUP($C888,[1]dados_2023!$C$3:$H$357,4,0),"-")</f>
        <v>25434</v>
      </c>
      <c r="J888" s="16">
        <f>IFERROR(VLOOKUP($C888,[1]dados_2023!$C$3:$H$357,6,0),"-")</f>
        <v>59346</v>
      </c>
    </row>
    <row r="889" spans="1:10" ht="18" customHeight="1" x14ac:dyDescent="0.3">
      <c r="A889" s="11">
        <v>26</v>
      </c>
      <c r="B889" s="12" t="s">
        <v>1168</v>
      </c>
      <c r="C889" s="13">
        <v>1102445</v>
      </c>
      <c r="D889" s="14" t="s">
        <v>1248</v>
      </c>
      <c r="E889" s="15">
        <v>8354.7999999999993</v>
      </c>
      <c r="F889" s="15">
        <f t="shared" si="39"/>
        <v>131512</v>
      </c>
      <c r="G889" s="15">
        <v>30924.199999999997</v>
      </c>
      <c r="H889" s="15">
        <f t="shared" si="40"/>
        <v>421158</v>
      </c>
      <c r="I889" s="16">
        <f>IFERROR(VLOOKUP($C889,[1]dados_2023!$C$3:$H$357,4,0),"-")</f>
        <v>47964</v>
      </c>
      <c r="J889" s="16">
        <f>IFERROR(VLOOKUP($C889,[1]dados_2023!$C$3:$H$357,6,0),"-")</f>
        <v>111916</v>
      </c>
    </row>
    <row r="890" spans="1:10" ht="18" customHeight="1" x14ac:dyDescent="0.3">
      <c r="A890" s="11">
        <v>26</v>
      </c>
      <c r="B890" s="12" t="s">
        <v>1168</v>
      </c>
      <c r="C890" s="13">
        <v>1101333</v>
      </c>
      <c r="D890" s="14" t="s">
        <v>1249</v>
      </c>
      <c r="E890" s="15">
        <v>5627.6</v>
      </c>
      <c r="F890" s="15">
        <f t="shared" si="39"/>
        <v>67271</v>
      </c>
      <c r="G890" s="15">
        <v>16504.8</v>
      </c>
      <c r="H890" s="15">
        <f t="shared" si="40"/>
        <v>190703</v>
      </c>
      <c r="I890" s="16">
        <f>IFERROR(VLOOKUP($C890,[1]dados_2023!$C$3:$H$357,4,0),"-")</f>
        <v>10995</v>
      </c>
      <c r="J890" s="16">
        <f>IFERROR(VLOOKUP($C890,[1]dados_2023!$C$3:$H$357,6,0),"-")</f>
        <v>25655</v>
      </c>
    </row>
    <row r="891" spans="1:10" ht="18" customHeight="1" x14ac:dyDescent="0.3">
      <c r="A891" s="11">
        <v>26</v>
      </c>
      <c r="B891" s="12" t="s">
        <v>1168</v>
      </c>
      <c r="C891" s="13">
        <v>1176446</v>
      </c>
      <c r="D891" s="14" t="s">
        <v>1250</v>
      </c>
      <c r="E891" s="15">
        <v>2430</v>
      </c>
      <c r="F891" s="15">
        <f t="shared" si="39"/>
        <v>38658</v>
      </c>
      <c r="G891" s="15">
        <v>10400.4</v>
      </c>
      <c r="H891" s="15">
        <f t="shared" si="40"/>
        <v>137506</v>
      </c>
      <c r="I891" s="16">
        <f>IFERROR(VLOOKUP($C891,[1]dados_2023!$C$3:$H$357,4,0),"-")</f>
        <v>14358</v>
      </c>
      <c r="J891" s="16">
        <f>IFERROR(VLOOKUP($C891,[1]dados_2023!$C$3:$H$357,6,0),"-")</f>
        <v>33502</v>
      </c>
    </row>
    <row r="892" spans="1:10" ht="18" customHeight="1" x14ac:dyDescent="0.3">
      <c r="A892" s="11">
        <v>26</v>
      </c>
      <c r="B892" s="12" t="s">
        <v>1168</v>
      </c>
      <c r="C892" s="13">
        <v>1102542</v>
      </c>
      <c r="D892" s="14" t="s">
        <v>1251</v>
      </c>
      <c r="E892" s="15">
        <v>5118.8</v>
      </c>
      <c r="F892" s="15">
        <f t="shared" si="39"/>
        <v>75143</v>
      </c>
      <c r="G892" s="15">
        <v>22622.800000000003</v>
      </c>
      <c r="H892" s="15">
        <f t="shared" si="40"/>
        <v>282123</v>
      </c>
      <c r="I892" s="16">
        <f>IFERROR(VLOOKUP($C892,[1]dados_2023!$C$3:$H$357,4,0),"-")</f>
        <v>23955</v>
      </c>
      <c r="J892" s="16">
        <f>IFERROR(VLOOKUP($C892,[1]dados_2023!$C$3:$H$357,6,0),"-")</f>
        <v>55895</v>
      </c>
    </row>
    <row r="893" spans="1:10" ht="18" customHeight="1" x14ac:dyDescent="0.3">
      <c r="A893" s="11">
        <v>26</v>
      </c>
      <c r="B893" s="12" t="s">
        <v>1168</v>
      </c>
      <c r="C893" s="13">
        <v>1104880</v>
      </c>
      <c r="D893" s="14" t="s">
        <v>1252</v>
      </c>
      <c r="E893" s="15">
        <v>9511.4000000000015</v>
      </c>
      <c r="F893" s="15">
        <f t="shared" si="39"/>
        <v>117461.00000000001</v>
      </c>
      <c r="G893" s="15">
        <v>28844.799999999999</v>
      </c>
      <c r="H893" s="15">
        <f t="shared" si="40"/>
        <v>340591</v>
      </c>
      <c r="I893" s="16">
        <f>IFERROR(VLOOKUP($C893,[1]dados_2023!$C$3:$H$357,4,0),"-")</f>
        <v>22347</v>
      </c>
      <c r="J893" s="16">
        <f>IFERROR(VLOOKUP($C893,[1]dados_2023!$C$3:$H$357,6,0),"-")</f>
        <v>52143</v>
      </c>
    </row>
    <row r="894" spans="1:10" ht="18" customHeight="1" x14ac:dyDescent="0.3">
      <c r="A894" s="11">
        <v>26</v>
      </c>
      <c r="B894" s="12" t="s">
        <v>1168</v>
      </c>
      <c r="C894" s="13">
        <v>1104898</v>
      </c>
      <c r="D894" s="14" t="s">
        <v>1253</v>
      </c>
      <c r="E894" s="15">
        <v>7762</v>
      </c>
      <c r="F894" s="15">
        <f t="shared" si="39"/>
        <v>115294</v>
      </c>
      <c r="G894" s="15">
        <v>34582</v>
      </c>
      <c r="H894" s="15">
        <f t="shared" si="40"/>
        <v>433726</v>
      </c>
      <c r="I894" s="16">
        <f>IFERROR(VLOOKUP($C894,[1]dados_2023!$C$3:$H$357,4,0),"-")</f>
        <v>37674</v>
      </c>
      <c r="J894" s="16">
        <f>IFERROR(VLOOKUP($C894,[1]dados_2023!$C$3:$H$357,6,0),"-")</f>
        <v>87906</v>
      </c>
    </row>
    <row r="895" spans="1:10" ht="18" customHeight="1" x14ac:dyDescent="0.3">
      <c r="A895" s="11">
        <v>26</v>
      </c>
      <c r="B895" s="12" t="s">
        <v>1168</v>
      </c>
      <c r="C895" s="13">
        <v>1102879</v>
      </c>
      <c r="D895" s="14" t="s">
        <v>1254</v>
      </c>
      <c r="E895" s="15">
        <v>16482.599999999999</v>
      </c>
      <c r="F895" s="15">
        <f t="shared" si="39"/>
        <v>255774</v>
      </c>
      <c r="G895" s="15">
        <v>64157.8</v>
      </c>
      <c r="H895" s="15">
        <f t="shared" si="40"/>
        <v>853790</v>
      </c>
      <c r="I895" s="16">
        <f>IFERROR(VLOOKUP($C895,[1]dados_2023!$C$3:$H$357,4,0),"-")</f>
        <v>90948</v>
      </c>
      <c r="J895" s="16">
        <f>IFERROR(VLOOKUP($C895,[1]dados_2023!$C$3:$H$357,6,0),"-")</f>
        <v>212212</v>
      </c>
    </row>
    <row r="896" spans="1:10" ht="18" customHeight="1" x14ac:dyDescent="0.3">
      <c r="A896" s="11">
        <v>26</v>
      </c>
      <c r="B896" s="12" t="s">
        <v>1168</v>
      </c>
      <c r="C896" s="13">
        <v>1102666</v>
      </c>
      <c r="D896" s="14" t="s">
        <v>1255</v>
      </c>
      <c r="E896" s="15">
        <v>15716</v>
      </c>
      <c r="F896" s="15">
        <f t="shared" si="39"/>
        <v>243026</v>
      </c>
      <c r="G896" s="15">
        <v>69220.400000000009</v>
      </c>
      <c r="H896" s="15">
        <f t="shared" si="40"/>
        <v>892558.00000000012</v>
      </c>
      <c r="I896" s="16">
        <f>IFERROR(VLOOKUP($C896,[1]dados_2023!$C$3:$H$357,4,0),"-")</f>
        <v>85866</v>
      </c>
      <c r="J896" s="16">
        <f>IFERROR(VLOOKUP($C896,[1]dados_2023!$C$3:$H$357,6,0),"-")</f>
        <v>200354</v>
      </c>
    </row>
    <row r="897" spans="1:10" ht="18" customHeight="1" x14ac:dyDescent="0.3">
      <c r="A897" s="11">
        <v>26</v>
      </c>
      <c r="B897" s="12" t="s">
        <v>1168</v>
      </c>
      <c r="C897" s="13">
        <v>1102704</v>
      </c>
      <c r="D897" s="14" t="s">
        <v>1256</v>
      </c>
      <c r="E897" s="15">
        <v>5966.4000000000005</v>
      </c>
      <c r="F897" s="15">
        <f t="shared" si="39"/>
        <v>77838</v>
      </c>
      <c r="G897" s="15">
        <v>19719</v>
      </c>
      <c r="H897" s="15">
        <f t="shared" si="40"/>
        <v>239596</v>
      </c>
      <c r="I897" s="16">
        <f>IFERROR(VLOOKUP($C897,[1]dados_2023!$C$3:$H$357,4,0),"-")</f>
        <v>18174</v>
      </c>
      <c r="J897" s="16">
        <f>IFERROR(VLOOKUP($C897,[1]dados_2023!$C$3:$H$357,6,0),"-")</f>
        <v>42406</v>
      </c>
    </row>
    <row r="898" spans="1:10" ht="18" customHeight="1" x14ac:dyDescent="0.3">
      <c r="A898" s="11">
        <v>26</v>
      </c>
      <c r="B898" s="12" t="s">
        <v>1168</v>
      </c>
      <c r="C898" s="13">
        <v>1103107</v>
      </c>
      <c r="D898" s="14" t="s">
        <v>1257</v>
      </c>
      <c r="E898" s="15">
        <v>8590</v>
      </c>
      <c r="F898" s="15">
        <f t="shared" si="39"/>
        <v>121183</v>
      </c>
      <c r="G898" s="15">
        <v>36765.200000000004</v>
      </c>
      <c r="H898" s="15">
        <f t="shared" si="40"/>
        <v>449979.00000000006</v>
      </c>
      <c r="I898" s="16">
        <f>IFERROR(VLOOKUP($C898,[1]dados_2023!$C$3:$H$357,4,0),"-")</f>
        <v>35283</v>
      </c>
      <c r="J898" s="16">
        <f>IFERROR(VLOOKUP($C898,[1]dados_2023!$C$3:$H$357,6,0),"-")</f>
        <v>82327</v>
      </c>
    </row>
    <row r="899" spans="1:10" ht="18" customHeight="1" x14ac:dyDescent="0.3">
      <c r="A899" s="11">
        <v>26</v>
      </c>
      <c r="B899" s="12" t="s">
        <v>1168</v>
      </c>
      <c r="C899" s="13">
        <v>1102747</v>
      </c>
      <c r="D899" s="14" t="s">
        <v>1258</v>
      </c>
      <c r="E899" s="15">
        <v>7091.6</v>
      </c>
      <c r="F899" s="15">
        <f t="shared" ref="F899" si="41">E899*10</f>
        <v>70916</v>
      </c>
      <c r="G899" s="15">
        <v>32801.200000000004</v>
      </c>
      <c r="H899" s="15">
        <f t="shared" ref="H899" si="42">G899*10</f>
        <v>328012.00000000006</v>
      </c>
      <c r="I899" s="16" t="str">
        <f>IFERROR(VLOOKUP($C899,[1]dados_2023!$C$3:$H$357,4,0),"-")</f>
        <v>-</v>
      </c>
      <c r="J899" s="16" t="str">
        <f>IFERROR(VLOOKUP($C899,[1]dados_2023!$C$3:$H$357,6,0),"-")</f>
        <v>-</v>
      </c>
    </row>
    <row r="900" spans="1:10" ht="18" customHeight="1" x14ac:dyDescent="0.3">
      <c r="A900" s="11">
        <v>26</v>
      </c>
      <c r="B900" s="12" t="s">
        <v>1168</v>
      </c>
      <c r="C900" s="13">
        <v>1102844</v>
      </c>
      <c r="D900" s="14" t="s">
        <v>1259</v>
      </c>
      <c r="E900" s="15">
        <v>9113.6</v>
      </c>
      <c r="F900" s="15">
        <f t="shared" ref="F900:F959" si="43">E900*10+I900</f>
        <v>143885</v>
      </c>
      <c r="G900" s="15">
        <v>38464.800000000003</v>
      </c>
      <c r="H900" s="15">
        <f t="shared" ref="H900:H959" si="44">G900*10+J900</f>
        <v>507729</v>
      </c>
      <c r="I900" s="16">
        <f>IFERROR(VLOOKUP($C900,[1]dados_2023!$C$3:$H$357,4,0),"-")</f>
        <v>52749</v>
      </c>
      <c r="J900" s="16">
        <f>IFERROR(VLOOKUP($C900,[1]dados_2023!$C$3:$H$357,6,0),"-")</f>
        <v>123081</v>
      </c>
    </row>
    <row r="901" spans="1:10" ht="18" customHeight="1" x14ac:dyDescent="0.3">
      <c r="A901" s="11">
        <v>26</v>
      </c>
      <c r="B901" s="12" t="s">
        <v>1168</v>
      </c>
      <c r="C901" s="13">
        <v>1102984</v>
      </c>
      <c r="D901" s="14" t="s">
        <v>1260</v>
      </c>
      <c r="E901" s="15">
        <v>7486.4</v>
      </c>
      <c r="F901" s="15">
        <f t="shared" si="43"/>
        <v>99380</v>
      </c>
      <c r="G901" s="15">
        <v>30153.600000000006</v>
      </c>
      <c r="H901" s="15">
        <f t="shared" si="44"/>
        <v>358740.00000000006</v>
      </c>
      <c r="I901" s="16">
        <f>IFERROR(VLOOKUP($C901,[1]dados_2023!$C$3:$H$357,4,0),"-")</f>
        <v>24516</v>
      </c>
      <c r="J901" s="16">
        <f>IFERROR(VLOOKUP($C901,[1]dados_2023!$C$3:$H$357,6,0),"-")</f>
        <v>57204</v>
      </c>
    </row>
    <row r="902" spans="1:10" ht="18" customHeight="1" x14ac:dyDescent="0.3">
      <c r="A902" s="11">
        <v>26</v>
      </c>
      <c r="B902" s="12" t="s">
        <v>1168</v>
      </c>
      <c r="C902" s="13">
        <v>1102852</v>
      </c>
      <c r="D902" s="14" t="s">
        <v>1261</v>
      </c>
      <c r="E902" s="15">
        <v>2959.2000000000003</v>
      </c>
      <c r="F902" s="15">
        <f t="shared" si="43"/>
        <v>36771</v>
      </c>
      <c r="G902" s="15">
        <v>8488.7999999999993</v>
      </c>
      <c r="H902" s="15">
        <f t="shared" si="44"/>
        <v>101639</v>
      </c>
      <c r="I902" s="16">
        <f>IFERROR(VLOOKUP($C902,[1]dados_2023!$C$3:$H$357,4,0),"-")</f>
        <v>7179</v>
      </c>
      <c r="J902" s="16">
        <f>IFERROR(VLOOKUP($C902,[1]dados_2023!$C$3:$H$357,6,0),"-")</f>
        <v>16751</v>
      </c>
    </row>
    <row r="903" spans="1:10" ht="18" customHeight="1" x14ac:dyDescent="0.3">
      <c r="A903" s="11">
        <v>26</v>
      </c>
      <c r="B903" s="12" t="s">
        <v>1168</v>
      </c>
      <c r="C903" s="13">
        <v>1172320</v>
      </c>
      <c r="D903" s="14" t="s">
        <v>1262</v>
      </c>
      <c r="E903" s="15">
        <v>2343.4</v>
      </c>
      <c r="F903" s="15">
        <f t="shared" si="43"/>
        <v>34570</v>
      </c>
      <c r="G903" s="15">
        <v>9589.2000000000007</v>
      </c>
      <c r="H903" s="15">
        <f t="shared" si="44"/>
        <v>121876</v>
      </c>
      <c r="I903" s="16">
        <f>IFERROR(VLOOKUP($C903,[1]dados_2023!$C$3:$H$357,4,0),"-")</f>
        <v>11136</v>
      </c>
      <c r="J903" s="16">
        <f>IFERROR(VLOOKUP($C903,[1]dados_2023!$C$3:$H$357,6,0),"-")</f>
        <v>25984</v>
      </c>
    </row>
    <row r="904" spans="1:10" ht="18" customHeight="1" x14ac:dyDescent="0.3">
      <c r="A904" s="11">
        <v>26</v>
      </c>
      <c r="B904" s="12" t="s">
        <v>1168</v>
      </c>
      <c r="C904" s="13">
        <v>1178138</v>
      </c>
      <c r="D904" s="14" t="s">
        <v>1263</v>
      </c>
      <c r="E904" s="15">
        <v>13720.6</v>
      </c>
      <c r="F904" s="15">
        <f t="shared" si="43"/>
        <v>199867</v>
      </c>
      <c r="G904" s="15">
        <v>60705.600000000006</v>
      </c>
      <c r="H904" s="15">
        <f t="shared" si="44"/>
        <v>753265</v>
      </c>
      <c r="I904" s="16">
        <f>IFERROR(VLOOKUP($C904,[1]dados_2023!$C$3:$H$357,4,0),"-")</f>
        <v>62661</v>
      </c>
      <c r="J904" s="16">
        <f>IFERROR(VLOOKUP($C904,[1]dados_2023!$C$3:$H$357,6,0),"-")</f>
        <v>146209</v>
      </c>
    </row>
    <row r="905" spans="1:10" ht="18" customHeight="1" x14ac:dyDescent="0.3">
      <c r="A905" s="11">
        <v>26</v>
      </c>
      <c r="B905" s="12" t="s">
        <v>1168</v>
      </c>
      <c r="C905" s="13">
        <v>1100426</v>
      </c>
      <c r="D905" s="14" t="s">
        <v>1264</v>
      </c>
      <c r="E905" s="15">
        <v>8442.4</v>
      </c>
      <c r="F905" s="15">
        <f t="shared" si="43"/>
        <v>138847</v>
      </c>
      <c r="G905" s="15">
        <v>36074.6</v>
      </c>
      <c r="H905" s="15">
        <f t="shared" si="44"/>
        <v>487733</v>
      </c>
      <c r="I905" s="16">
        <f>IFERROR(VLOOKUP($C905,[1]dados_2023!$C$3:$H$357,4,0),"-")</f>
        <v>54423</v>
      </c>
      <c r="J905" s="16">
        <f>IFERROR(VLOOKUP($C905,[1]dados_2023!$C$3:$H$357,6,0),"-")</f>
        <v>126987</v>
      </c>
    </row>
    <row r="906" spans="1:10" ht="18" customHeight="1" x14ac:dyDescent="0.3">
      <c r="A906" s="11">
        <v>26</v>
      </c>
      <c r="B906" s="12" t="s">
        <v>1168</v>
      </c>
      <c r="C906" s="13">
        <v>1102640</v>
      </c>
      <c r="D906" s="14" t="s">
        <v>1265</v>
      </c>
      <c r="E906" s="15">
        <v>9370</v>
      </c>
      <c r="F906" s="15">
        <f t="shared" si="43"/>
        <v>143788</v>
      </c>
      <c r="G906" s="15">
        <v>40103.599999999999</v>
      </c>
      <c r="H906" s="15">
        <f t="shared" si="44"/>
        <v>517908</v>
      </c>
      <c r="I906" s="16">
        <f>IFERROR(VLOOKUP($C906,[1]dados_2023!$C$3:$H$357,4,0),"-")</f>
        <v>50088</v>
      </c>
      <c r="J906" s="16">
        <f>IFERROR(VLOOKUP($C906,[1]dados_2023!$C$3:$H$357,6,0),"-")</f>
        <v>116872</v>
      </c>
    </row>
    <row r="907" spans="1:10" ht="18" customHeight="1" x14ac:dyDescent="0.3">
      <c r="A907" s="11">
        <v>26</v>
      </c>
      <c r="B907" s="12" t="s">
        <v>1168</v>
      </c>
      <c r="C907" s="13">
        <v>1146140</v>
      </c>
      <c r="D907" s="14" t="s">
        <v>1266</v>
      </c>
      <c r="E907" s="15">
        <v>10850.8</v>
      </c>
      <c r="F907" s="15">
        <f t="shared" si="43"/>
        <v>164848</v>
      </c>
      <c r="G907" s="15">
        <v>48516.4</v>
      </c>
      <c r="H907" s="15">
        <f t="shared" si="44"/>
        <v>616624</v>
      </c>
      <c r="I907" s="16">
        <f>IFERROR(VLOOKUP($C907,[1]dados_2023!$C$3:$H$357,4,0),"-")</f>
        <v>56340</v>
      </c>
      <c r="J907" s="16">
        <f>IFERROR(VLOOKUP($C907,[1]dados_2023!$C$3:$H$357,6,0),"-")</f>
        <v>131460</v>
      </c>
    </row>
    <row r="908" spans="1:10" ht="18" customHeight="1" x14ac:dyDescent="0.3">
      <c r="A908" s="11">
        <v>26</v>
      </c>
      <c r="B908" s="12" t="s">
        <v>1168</v>
      </c>
      <c r="C908" s="13">
        <v>1104596</v>
      </c>
      <c r="D908" s="14" t="s">
        <v>1267</v>
      </c>
      <c r="E908" s="15">
        <v>19078.600000000002</v>
      </c>
      <c r="F908" s="15">
        <f t="shared" si="43"/>
        <v>282607</v>
      </c>
      <c r="G908" s="15">
        <v>82468.600000000006</v>
      </c>
      <c r="H908" s="15">
        <f t="shared" si="44"/>
        <v>1038935</v>
      </c>
      <c r="I908" s="16">
        <f>IFERROR(VLOOKUP($C908,[1]dados_2023!$C$3:$H$357,4,0),"-")</f>
        <v>91821</v>
      </c>
      <c r="J908" s="16">
        <f>IFERROR(VLOOKUP($C908,[1]dados_2023!$C$3:$H$357,6,0),"-")</f>
        <v>214249</v>
      </c>
    </row>
    <row r="909" spans="1:10" ht="18" customHeight="1" x14ac:dyDescent="0.3">
      <c r="A909" s="11">
        <v>26</v>
      </c>
      <c r="B909" s="12" t="s">
        <v>1168</v>
      </c>
      <c r="C909" s="13">
        <v>1104103</v>
      </c>
      <c r="D909" s="14" t="s">
        <v>1268</v>
      </c>
      <c r="E909" s="15">
        <v>2993.6000000000004</v>
      </c>
      <c r="F909" s="15">
        <f t="shared" si="43"/>
        <v>54173</v>
      </c>
      <c r="G909" s="15">
        <v>12237.800000000001</v>
      </c>
      <c r="H909" s="15">
        <f t="shared" si="44"/>
        <v>178931</v>
      </c>
      <c r="I909" s="16">
        <f>IFERROR(VLOOKUP($C909,[1]dados_2023!$C$3:$H$357,4,0),"-")</f>
        <v>24237</v>
      </c>
      <c r="J909" s="16">
        <f>IFERROR(VLOOKUP($C909,[1]dados_2023!$C$3:$H$357,6,0),"-")</f>
        <v>56553</v>
      </c>
    </row>
    <row r="910" spans="1:10" ht="18" customHeight="1" x14ac:dyDescent="0.3">
      <c r="A910" s="11">
        <v>26</v>
      </c>
      <c r="B910" s="12" t="s">
        <v>1168</v>
      </c>
      <c r="C910" s="13">
        <v>1176387</v>
      </c>
      <c r="D910" s="14" t="s">
        <v>1269</v>
      </c>
      <c r="E910" s="15">
        <v>8413.2000000000007</v>
      </c>
      <c r="F910" s="15">
        <f t="shared" si="43"/>
        <v>112377</v>
      </c>
      <c r="G910" s="15">
        <v>31182</v>
      </c>
      <c r="H910" s="15">
        <f t="shared" si="44"/>
        <v>377725</v>
      </c>
      <c r="I910" s="16">
        <f>IFERROR(VLOOKUP($C910,[1]dados_2023!$C$3:$H$357,4,0),"-")</f>
        <v>28245</v>
      </c>
      <c r="J910" s="16">
        <f>IFERROR(VLOOKUP($C910,[1]dados_2023!$C$3:$H$357,6,0),"-")</f>
        <v>65905</v>
      </c>
    </row>
    <row r="911" spans="1:10" ht="18" customHeight="1" x14ac:dyDescent="0.3">
      <c r="A911" s="11">
        <v>26</v>
      </c>
      <c r="B911" s="12" t="s">
        <v>1168</v>
      </c>
      <c r="C911" s="13">
        <v>1102348</v>
      </c>
      <c r="D911" s="14" t="s">
        <v>1270</v>
      </c>
      <c r="E911" s="15">
        <v>9647.7999999999993</v>
      </c>
      <c r="F911" s="15">
        <f t="shared" si="43"/>
        <v>139723</v>
      </c>
      <c r="G911" s="15">
        <v>42814.8</v>
      </c>
      <c r="H911" s="15">
        <f t="shared" si="44"/>
        <v>529053</v>
      </c>
      <c r="I911" s="16">
        <f>IFERROR(VLOOKUP($C911,[1]dados_2023!$C$3:$H$357,4,0),"-")</f>
        <v>43245</v>
      </c>
      <c r="J911" s="16">
        <f>IFERROR(VLOOKUP($C911,[1]dados_2023!$C$3:$H$357,6,0),"-")</f>
        <v>100905</v>
      </c>
    </row>
    <row r="912" spans="1:10" ht="18" customHeight="1" x14ac:dyDescent="0.3">
      <c r="A912" s="11">
        <v>26</v>
      </c>
      <c r="B912" s="12" t="s">
        <v>1168</v>
      </c>
      <c r="C912" s="13">
        <v>1103565</v>
      </c>
      <c r="D912" s="14" t="s">
        <v>1271</v>
      </c>
      <c r="E912" s="15">
        <v>4879.3999999999996</v>
      </c>
      <c r="F912" s="15">
        <f t="shared" si="43"/>
        <v>86918</v>
      </c>
      <c r="G912" s="15">
        <v>22304.000000000004</v>
      </c>
      <c r="H912" s="15">
        <f t="shared" si="44"/>
        <v>311996</v>
      </c>
      <c r="I912" s="16">
        <f>IFERROR(VLOOKUP($C912,[1]dados_2023!$C$3:$H$357,4,0),"-")</f>
        <v>38124</v>
      </c>
      <c r="J912" s="16">
        <f>IFERROR(VLOOKUP($C912,[1]dados_2023!$C$3:$H$357,6,0),"-")</f>
        <v>88956</v>
      </c>
    </row>
    <row r="913" spans="1:10" ht="18" customHeight="1" x14ac:dyDescent="0.3">
      <c r="A913" s="11">
        <v>26</v>
      </c>
      <c r="B913" s="12" t="s">
        <v>1168</v>
      </c>
      <c r="C913" s="13">
        <v>1104626</v>
      </c>
      <c r="D913" s="14" t="s">
        <v>1272</v>
      </c>
      <c r="E913" s="15">
        <v>4169.6000000000004</v>
      </c>
      <c r="F913" s="15">
        <f t="shared" si="43"/>
        <v>86549</v>
      </c>
      <c r="G913" s="15">
        <v>18934.400000000001</v>
      </c>
      <c r="H913" s="15">
        <f t="shared" si="44"/>
        <v>294001</v>
      </c>
      <c r="I913" s="16">
        <f>IFERROR(VLOOKUP($C913,[1]dados_2023!$C$3:$H$357,4,0),"-")</f>
        <v>44853</v>
      </c>
      <c r="J913" s="16">
        <f>IFERROR(VLOOKUP($C913,[1]dados_2023!$C$3:$H$357,6,0),"-")</f>
        <v>104657</v>
      </c>
    </row>
    <row r="914" spans="1:10" ht="18" customHeight="1" x14ac:dyDescent="0.3">
      <c r="A914" s="11">
        <v>26</v>
      </c>
      <c r="B914" s="12" t="s">
        <v>1168</v>
      </c>
      <c r="C914" s="13">
        <v>1103662</v>
      </c>
      <c r="D914" s="14" t="s">
        <v>430</v>
      </c>
      <c r="E914" s="15">
        <v>4547</v>
      </c>
      <c r="F914" s="15">
        <f t="shared" si="43"/>
        <v>75746</v>
      </c>
      <c r="G914" s="15">
        <v>20184</v>
      </c>
      <c r="H914" s="15">
        <f t="shared" si="44"/>
        <v>272484</v>
      </c>
      <c r="I914" s="16">
        <f>IFERROR(VLOOKUP($C914,[1]dados_2023!$C$3:$H$357,4,0),"-")</f>
        <v>30276</v>
      </c>
      <c r="J914" s="16">
        <f>IFERROR(VLOOKUP($C914,[1]dados_2023!$C$3:$H$357,6,0),"-")</f>
        <v>70644</v>
      </c>
    </row>
    <row r="915" spans="1:10" ht="18" customHeight="1" x14ac:dyDescent="0.3">
      <c r="A915" s="11">
        <v>26</v>
      </c>
      <c r="B915" s="12" t="s">
        <v>1168</v>
      </c>
      <c r="C915" s="13">
        <v>1104057</v>
      </c>
      <c r="D915" s="14" t="s">
        <v>1273</v>
      </c>
      <c r="E915" s="15">
        <v>4291.3999999999996</v>
      </c>
      <c r="F915" s="15">
        <f t="shared" si="43"/>
        <v>60563</v>
      </c>
      <c r="G915" s="15">
        <v>16071</v>
      </c>
      <c r="H915" s="15">
        <f t="shared" si="44"/>
        <v>201891</v>
      </c>
      <c r="I915" s="16">
        <f>IFERROR(VLOOKUP($C915,[1]dados_2023!$C$3:$H$357,4,0),"-")</f>
        <v>17649</v>
      </c>
      <c r="J915" s="16">
        <f>IFERROR(VLOOKUP($C915,[1]dados_2023!$C$3:$H$357,6,0),"-")</f>
        <v>41181</v>
      </c>
    </row>
    <row r="916" spans="1:10" ht="18" customHeight="1" x14ac:dyDescent="0.3">
      <c r="A916" s="11">
        <v>26</v>
      </c>
      <c r="B916" s="12" t="s">
        <v>1168</v>
      </c>
      <c r="C916" s="13">
        <v>1104731</v>
      </c>
      <c r="D916" s="14" t="s">
        <v>1274</v>
      </c>
      <c r="E916" s="15">
        <v>7741.4</v>
      </c>
      <c r="F916" s="15">
        <f t="shared" si="43"/>
        <v>114527</v>
      </c>
      <c r="G916" s="15">
        <v>34112.000000000007</v>
      </c>
      <c r="H916" s="15">
        <f t="shared" si="44"/>
        <v>427717.00000000006</v>
      </c>
      <c r="I916" s="16">
        <f>IFERROR(VLOOKUP($C916,[1]dados_2023!$C$3:$H$357,4,0),"-")</f>
        <v>37113</v>
      </c>
      <c r="J916" s="16">
        <f>IFERROR(VLOOKUP($C916,[1]dados_2023!$C$3:$H$357,6,0),"-")</f>
        <v>86597</v>
      </c>
    </row>
    <row r="917" spans="1:10" ht="18" customHeight="1" x14ac:dyDescent="0.3">
      <c r="A917" s="11">
        <v>26</v>
      </c>
      <c r="B917" s="12" t="s">
        <v>1168</v>
      </c>
      <c r="C917" s="13">
        <v>1104677</v>
      </c>
      <c r="D917" s="14" t="s">
        <v>1275</v>
      </c>
      <c r="E917" s="15">
        <v>7294.8</v>
      </c>
      <c r="F917" s="15">
        <f t="shared" si="43"/>
        <v>108231</v>
      </c>
      <c r="G917" s="15">
        <v>31766</v>
      </c>
      <c r="H917" s="15">
        <f t="shared" si="44"/>
        <v>399987</v>
      </c>
      <c r="I917" s="16">
        <f>IFERROR(VLOOKUP($C917,[1]dados_2023!$C$3:$H$357,4,0),"-")</f>
        <v>35283</v>
      </c>
      <c r="J917" s="16">
        <f>IFERROR(VLOOKUP($C917,[1]dados_2023!$C$3:$H$357,6,0),"-")</f>
        <v>82327</v>
      </c>
    </row>
    <row r="918" spans="1:10" ht="18" customHeight="1" x14ac:dyDescent="0.3">
      <c r="A918" s="11">
        <v>26</v>
      </c>
      <c r="B918" s="12" t="s">
        <v>1168</v>
      </c>
      <c r="C918" s="13">
        <v>1102232</v>
      </c>
      <c r="D918" s="14" t="s">
        <v>1276</v>
      </c>
      <c r="E918" s="15">
        <v>19236.800000000003</v>
      </c>
      <c r="F918" s="15">
        <f t="shared" si="43"/>
        <v>295094</v>
      </c>
      <c r="G918" s="15">
        <v>82404.000000000015</v>
      </c>
      <c r="H918" s="15">
        <f t="shared" si="44"/>
        <v>1063734</v>
      </c>
      <c r="I918" s="16">
        <f>IFERROR(VLOOKUP($C918,[1]dados_2023!$C$3:$H$357,4,0),"-")</f>
        <v>102726</v>
      </c>
      <c r="J918" s="16">
        <f>IFERROR(VLOOKUP($C918,[1]dados_2023!$C$3:$H$357,6,0),"-")</f>
        <v>239694</v>
      </c>
    </row>
    <row r="919" spans="1:10" ht="18" customHeight="1" x14ac:dyDescent="0.3">
      <c r="A919" s="11">
        <v>26</v>
      </c>
      <c r="B919" s="12" t="s">
        <v>1168</v>
      </c>
      <c r="C919" s="13">
        <v>1104219</v>
      </c>
      <c r="D919" s="14" t="s">
        <v>1277</v>
      </c>
      <c r="E919" s="15">
        <v>2489.4</v>
      </c>
      <c r="F919" s="15">
        <f t="shared" si="43"/>
        <v>39426</v>
      </c>
      <c r="G919" s="15">
        <v>12074.8</v>
      </c>
      <c r="H919" s="15">
        <f t="shared" si="44"/>
        <v>154656</v>
      </c>
      <c r="I919" s="16">
        <f>IFERROR(VLOOKUP($C919,[1]dados_2023!$C$3:$H$357,4,0),"-")</f>
        <v>14532</v>
      </c>
      <c r="J919" s="16">
        <f>IFERROR(VLOOKUP($C919,[1]dados_2023!$C$3:$H$357,6,0),"-")</f>
        <v>33908</v>
      </c>
    </row>
    <row r="920" spans="1:10" ht="18" customHeight="1" x14ac:dyDescent="0.3">
      <c r="A920" s="11">
        <v>26</v>
      </c>
      <c r="B920" s="12" t="s">
        <v>1168</v>
      </c>
      <c r="C920" s="13">
        <v>1176720</v>
      </c>
      <c r="D920" s="14" t="s">
        <v>1278</v>
      </c>
      <c r="E920" s="15">
        <v>4430</v>
      </c>
      <c r="F920" s="15">
        <f t="shared" si="43"/>
        <v>63647</v>
      </c>
      <c r="G920" s="15">
        <v>18960.400000000001</v>
      </c>
      <c r="H920" s="15">
        <f t="shared" si="44"/>
        <v>234747</v>
      </c>
      <c r="I920" s="16">
        <f>IFERROR(VLOOKUP($C920,[1]dados_2023!$C$3:$H$357,4,0),"-")</f>
        <v>19347</v>
      </c>
      <c r="J920" s="16">
        <f>IFERROR(VLOOKUP($C920,[1]dados_2023!$C$3:$H$357,6,0),"-")</f>
        <v>45143</v>
      </c>
    </row>
    <row r="921" spans="1:10" ht="18" customHeight="1" x14ac:dyDescent="0.3">
      <c r="A921" s="11">
        <v>26</v>
      </c>
      <c r="B921" s="12" t="s">
        <v>1168</v>
      </c>
      <c r="C921" s="13">
        <v>1176095</v>
      </c>
      <c r="D921" s="14" t="s">
        <v>1279</v>
      </c>
      <c r="E921" s="15">
        <v>9958</v>
      </c>
      <c r="F921" s="15">
        <f t="shared" si="43"/>
        <v>147745</v>
      </c>
      <c r="G921" s="15">
        <v>43385.600000000006</v>
      </c>
      <c r="H921" s="15">
        <f t="shared" si="44"/>
        <v>546241</v>
      </c>
      <c r="I921" s="16">
        <f>IFERROR(VLOOKUP($C921,[1]dados_2023!$C$3:$H$357,4,0),"-")</f>
        <v>48165</v>
      </c>
      <c r="J921" s="16">
        <f>IFERROR(VLOOKUP($C921,[1]dados_2023!$C$3:$H$357,6,0),"-")</f>
        <v>112385</v>
      </c>
    </row>
    <row r="922" spans="1:10" ht="18" customHeight="1" x14ac:dyDescent="0.3">
      <c r="A922" s="11">
        <v>26</v>
      </c>
      <c r="B922" s="12" t="s">
        <v>1168</v>
      </c>
      <c r="C922" s="13">
        <v>1176109</v>
      </c>
      <c r="D922" s="14" t="s">
        <v>1280</v>
      </c>
      <c r="E922" s="15">
        <v>8094.8</v>
      </c>
      <c r="F922" s="15">
        <f t="shared" si="43"/>
        <v>133289</v>
      </c>
      <c r="G922" s="15">
        <v>35615.199999999997</v>
      </c>
      <c r="H922" s="15">
        <f t="shared" si="44"/>
        <v>478281</v>
      </c>
      <c r="I922" s="16">
        <f>IFERROR(VLOOKUP($C922,[1]dados_2023!$C$3:$H$357,4,0),"-")</f>
        <v>52341</v>
      </c>
      <c r="J922" s="16">
        <f>IFERROR(VLOOKUP($C922,[1]dados_2023!$C$3:$H$357,6,0),"-")</f>
        <v>122129</v>
      </c>
    </row>
    <row r="923" spans="1:10" ht="18" customHeight="1" x14ac:dyDescent="0.3">
      <c r="A923" s="11">
        <v>26</v>
      </c>
      <c r="B923" s="12" t="s">
        <v>1168</v>
      </c>
      <c r="C923" s="13">
        <v>1102216</v>
      </c>
      <c r="D923" s="14" t="s">
        <v>1281</v>
      </c>
      <c r="E923" s="15">
        <v>7791.2000000000007</v>
      </c>
      <c r="F923" s="15">
        <f t="shared" si="43"/>
        <v>93167</v>
      </c>
      <c r="G923" s="15">
        <v>23715.200000000001</v>
      </c>
      <c r="H923" s="15">
        <f t="shared" si="44"/>
        <v>272747</v>
      </c>
      <c r="I923" s="16">
        <f>IFERROR(VLOOKUP($C923,[1]dados_2023!$C$3:$H$357,4,0),"-")</f>
        <v>15255</v>
      </c>
      <c r="J923" s="16">
        <f>IFERROR(VLOOKUP($C923,[1]dados_2023!$C$3:$H$357,6,0),"-")</f>
        <v>35595</v>
      </c>
    </row>
    <row r="924" spans="1:10" ht="18" customHeight="1" x14ac:dyDescent="0.3">
      <c r="A924" s="11">
        <v>26</v>
      </c>
      <c r="B924" s="12" t="s">
        <v>1168</v>
      </c>
      <c r="C924" s="13">
        <v>1100558</v>
      </c>
      <c r="D924" s="14" t="s">
        <v>1282</v>
      </c>
      <c r="E924" s="15">
        <v>2160.4</v>
      </c>
      <c r="F924" s="15">
        <f t="shared" si="43"/>
        <v>27898</v>
      </c>
      <c r="G924" s="15">
        <v>7663.0000000000009</v>
      </c>
      <c r="H924" s="15">
        <f t="shared" si="44"/>
        <v>91316.000000000015</v>
      </c>
      <c r="I924" s="16">
        <f>IFERROR(VLOOKUP($C924,[1]dados_2023!$C$3:$H$357,4,0),"-")</f>
        <v>6294</v>
      </c>
      <c r="J924" s="16">
        <f>IFERROR(VLOOKUP($C924,[1]dados_2023!$C$3:$H$357,6,0),"-")</f>
        <v>14686</v>
      </c>
    </row>
    <row r="925" spans="1:10" ht="18" customHeight="1" x14ac:dyDescent="0.3">
      <c r="A925" s="11">
        <v>26</v>
      </c>
      <c r="B925" s="12" t="s">
        <v>1168</v>
      </c>
      <c r="C925" s="13">
        <v>1100833</v>
      </c>
      <c r="D925" s="14" t="s">
        <v>1283</v>
      </c>
      <c r="E925" s="15">
        <v>11095</v>
      </c>
      <c r="F925" s="15">
        <f t="shared" si="43"/>
        <v>168439</v>
      </c>
      <c r="G925" s="15">
        <v>48974.8</v>
      </c>
      <c r="H925" s="15">
        <f t="shared" si="44"/>
        <v>623889</v>
      </c>
      <c r="I925" s="16">
        <f>IFERROR(VLOOKUP($C925,[1]dados_2023!$C$3:$H$357,4,0),"-")</f>
        <v>57489</v>
      </c>
      <c r="J925" s="16">
        <f>IFERROR(VLOOKUP($C925,[1]dados_2023!$C$3:$H$357,6,0),"-")</f>
        <v>134141</v>
      </c>
    </row>
    <row r="926" spans="1:10" ht="18" customHeight="1" x14ac:dyDescent="0.3">
      <c r="A926" s="11">
        <v>26</v>
      </c>
      <c r="B926" s="12" t="s">
        <v>1168</v>
      </c>
      <c r="C926" s="13">
        <v>1176661</v>
      </c>
      <c r="D926" s="14" t="s">
        <v>1284</v>
      </c>
      <c r="E926" s="15">
        <v>4830.8</v>
      </c>
      <c r="F926" s="15">
        <f t="shared" si="43"/>
        <v>75218</v>
      </c>
      <c r="G926" s="15">
        <v>20492.2</v>
      </c>
      <c r="H926" s="15">
        <f t="shared" si="44"/>
        <v>267712</v>
      </c>
      <c r="I926" s="16">
        <f>IFERROR(VLOOKUP($C926,[1]dados_2023!$C$3:$H$357,4,0),"-")</f>
        <v>26910</v>
      </c>
      <c r="J926" s="16">
        <f>IFERROR(VLOOKUP($C926,[1]dados_2023!$C$3:$H$357,6,0),"-")</f>
        <v>62790</v>
      </c>
    </row>
    <row r="927" spans="1:10" ht="18" customHeight="1" x14ac:dyDescent="0.3">
      <c r="A927" s="11">
        <v>26</v>
      </c>
      <c r="B927" s="12" t="s">
        <v>1168</v>
      </c>
      <c r="C927" s="13">
        <v>1102925</v>
      </c>
      <c r="D927" s="14" t="s">
        <v>1285</v>
      </c>
      <c r="E927" s="15">
        <v>11322</v>
      </c>
      <c r="F927" s="15">
        <f t="shared" si="43"/>
        <v>163281</v>
      </c>
      <c r="G927" s="15">
        <v>51519.6</v>
      </c>
      <c r="H927" s="15">
        <f t="shared" si="44"/>
        <v>632005</v>
      </c>
      <c r="I927" s="16">
        <f>IFERROR(VLOOKUP($C927,[1]dados_2023!$C$3:$H$357,4,0),"-")</f>
        <v>50061</v>
      </c>
      <c r="J927" s="16">
        <f>IFERROR(VLOOKUP($C927,[1]dados_2023!$C$3:$H$357,6,0),"-")</f>
        <v>116809</v>
      </c>
    </row>
    <row r="928" spans="1:10" ht="18" customHeight="1" x14ac:dyDescent="0.3">
      <c r="A928" s="11">
        <v>26</v>
      </c>
      <c r="B928" s="12" t="s">
        <v>1168</v>
      </c>
      <c r="C928" s="13">
        <v>1174721</v>
      </c>
      <c r="D928" s="14" t="s">
        <v>1286</v>
      </c>
      <c r="E928" s="15">
        <v>5617</v>
      </c>
      <c r="F928" s="15">
        <f t="shared" si="43"/>
        <v>67525</v>
      </c>
      <c r="G928" s="15">
        <v>16113</v>
      </c>
      <c r="H928" s="15">
        <f t="shared" si="44"/>
        <v>187625</v>
      </c>
      <c r="I928" s="16">
        <f>IFERROR(VLOOKUP($C928,[1]dados_2023!$C$3:$H$357,4,0),"-")</f>
        <v>11355</v>
      </c>
      <c r="J928" s="16">
        <f>IFERROR(VLOOKUP($C928,[1]dados_2023!$C$3:$H$357,6,0),"-")</f>
        <v>26495</v>
      </c>
    </row>
    <row r="929" spans="1:10" ht="18" customHeight="1" x14ac:dyDescent="0.3">
      <c r="A929" s="11">
        <v>26</v>
      </c>
      <c r="B929" s="12" t="s">
        <v>1168</v>
      </c>
      <c r="C929" s="13">
        <v>1104600</v>
      </c>
      <c r="D929" s="14" t="s">
        <v>1287</v>
      </c>
      <c r="E929" s="15">
        <v>25443.200000000001</v>
      </c>
      <c r="F929" s="15">
        <f t="shared" si="43"/>
        <v>311333</v>
      </c>
      <c r="G929" s="15">
        <v>93940.800000000003</v>
      </c>
      <c r="H929" s="15">
        <f t="shared" si="44"/>
        <v>1072177</v>
      </c>
      <c r="I929" s="16">
        <f>IFERROR(VLOOKUP($C929,[1]dados_2023!$C$3:$H$357,4,0),"-")</f>
        <v>56901</v>
      </c>
      <c r="J929" s="16">
        <f>IFERROR(VLOOKUP($C929,[1]dados_2023!$C$3:$H$357,6,0),"-")</f>
        <v>132769</v>
      </c>
    </row>
    <row r="930" spans="1:10" ht="18" customHeight="1" x14ac:dyDescent="0.3">
      <c r="A930" s="11">
        <v>26</v>
      </c>
      <c r="B930" s="12" t="s">
        <v>1168</v>
      </c>
      <c r="C930" s="13">
        <v>1146094</v>
      </c>
      <c r="D930" s="14" t="s">
        <v>1288</v>
      </c>
      <c r="E930" s="15">
        <v>25822.000000000004</v>
      </c>
      <c r="F930" s="15">
        <f t="shared" si="43"/>
        <v>300202</v>
      </c>
      <c r="G930" s="15">
        <v>91000</v>
      </c>
      <c r="H930" s="15">
        <f t="shared" si="44"/>
        <v>1007958</v>
      </c>
      <c r="I930" s="16">
        <f>IFERROR(VLOOKUP($C930,[1]dados_2023!$C$3:$H$357,4,0),"-")</f>
        <v>41982</v>
      </c>
      <c r="J930" s="16">
        <f>IFERROR(VLOOKUP($C930,[1]dados_2023!$C$3:$H$357,6,0),"-")</f>
        <v>97958</v>
      </c>
    </row>
    <row r="931" spans="1:10" ht="18" customHeight="1" x14ac:dyDescent="0.3">
      <c r="A931" s="11">
        <v>26</v>
      </c>
      <c r="B931" s="12" t="s">
        <v>1168</v>
      </c>
      <c r="C931" s="13">
        <v>1101619</v>
      </c>
      <c r="D931" s="14" t="s">
        <v>1289</v>
      </c>
      <c r="E931" s="15">
        <v>4275.8</v>
      </c>
      <c r="F931" s="15">
        <f t="shared" si="43"/>
        <v>65129</v>
      </c>
      <c r="G931" s="15">
        <v>19312.400000000001</v>
      </c>
      <c r="H931" s="15">
        <f t="shared" si="44"/>
        <v>245323</v>
      </c>
      <c r="I931" s="16">
        <f>IFERROR(VLOOKUP($C931,[1]dados_2023!$C$3:$H$357,4,0),"-")</f>
        <v>22371</v>
      </c>
      <c r="J931" s="16">
        <f>IFERROR(VLOOKUP($C931,[1]dados_2023!$C$3:$H$357,6,0),"-")</f>
        <v>52199</v>
      </c>
    </row>
    <row r="932" spans="1:10" ht="18" customHeight="1" x14ac:dyDescent="0.3">
      <c r="A932" s="11">
        <v>26</v>
      </c>
      <c r="B932" s="12" t="s">
        <v>1168</v>
      </c>
      <c r="C932" s="13">
        <v>1100884</v>
      </c>
      <c r="D932" s="14" t="s">
        <v>1290</v>
      </c>
      <c r="E932" s="15">
        <v>3300</v>
      </c>
      <c r="F932" s="15">
        <f t="shared" si="43"/>
        <v>48780</v>
      </c>
      <c r="G932" s="15">
        <v>14124</v>
      </c>
      <c r="H932" s="15">
        <f t="shared" si="44"/>
        <v>178060</v>
      </c>
      <c r="I932" s="16">
        <f>IFERROR(VLOOKUP($C932,[1]dados_2023!$C$3:$H$357,4,0),"-")</f>
        <v>15780</v>
      </c>
      <c r="J932" s="16">
        <f>IFERROR(VLOOKUP($C932,[1]dados_2023!$C$3:$H$357,6,0),"-")</f>
        <v>36820</v>
      </c>
    </row>
    <row r="933" spans="1:10" ht="18" customHeight="1" x14ac:dyDescent="0.3">
      <c r="A933" s="11">
        <v>26</v>
      </c>
      <c r="B933" s="12" t="s">
        <v>1168</v>
      </c>
      <c r="C933" s="13">
        <v>1174772</v>
      </c>
      <c r="D933" s="14" t="s">
        <v>1291</v>
      </c>
      <c r="E933" s="15">
        <v>9748.7999999999993</v>
      </c>
      <c r="F933" s="15">
        <f t="shared" si="43"/>
        <v>146352</v>
      </c>
      <c r="G933" s="15">
        <v>44140</v>
      </c>
      <c r="H933" s="15">
        <f t="shared" si="44"/>
        <v>555416</v>
      </c>
      <c r="I933" s="16">
        <f>IFERROR(VLOOKUP($C933,[1]dados_2023!$C$3:$H$357,4,0),"-")</f>
        <v>48864</v>
      </c>
      <c r="J933" s="16">
        <f>IFERROR(VLOOKUP($C933,[1]dados_2023!$C$3:$H$357,6,0),"-")</f>
        <v>114016</v>
      </c>
    </row>
    <row r="934" spans="1:10" ht="18" customHeight="1" x14ac:dyDescent="0.3">
      <c r="A934" s="11">
        <v>26</v>
      </c>
      <c r="B934" s="12" t="s">
        <v>1168</v>
      </c>
      <c r="C934" s="13">
        <v>1176810</v>
      </c>
      <c r="D934" s="14" t="s">
        <v>1292</v>
      </c>
      <c r="E934" s="15">
        <v>15336.4</v>
      </c>
      <c r="F934" s="15">
        <f t="shared" si="43"/>
        <v>229633</v>
      </c>
      <c r="G934" s="15">
        <v>68633.2</v>
      </c>
      <c r="H934" s="15">
        <f t="shared" si="44"/>
        <v>864293</v>
      </c>
      <c r="I934" s="16">
        <f>IFERROR(VLOOKUP($C934,[1]dados_2023!$C$3:$H$357,4,0),"-")</f>
        <v>76269</v>
      </c>
      <c r="J934" s="16">
        <f>IFERROR(VLOOKUP($C934,[1]dados_2023!$C$3:$H$357,6,0),"-")</f>
        <v>177961</v>
      </c>
    </row>
    <row r="935" spans="1:10" ht="18" customHeight="1" x14ac:dyDescent="0.3">
      <c r="A935" s="11">
        <v>26</v>
      </c>
      <c r="B935" s="12" t="s">
        <v>1168</v>
      </c>
      <c r="C935" s="13">
        <v>1176880</v>
      </c>
      <c r="D935" s="14" t="s">
        <v>1293</v>
      </c>
      <c r="E935" s="15">
        <v>13206</v>
      </c>
      <c r="F935" s="15">
        <f t="shared" si="43"/>
        <v>200178</v>
      </c>
      <c r="G935" s="15">
        <v>57627.199999999997</v>
      </c>
      <c r="H935" s="15">
        <f t="shared" si="44"/>
        <v>735214</v>
      </c>
      <c r="I935" s="16">
        <f>IFERROR(VLOOKUP($C935,[1]dados_2023!$C$3:$H$357,4,0),"-")</f>
        <v>68118</v>
      </c>
      <c r="J935" s="16">
        <f>IFERROR(VLOOKUP($C935,[1]dados_2023!$C$3:$H$357,6,0),"-")</f>
        <v>158942</v>
      </c>
    </row>
    <row r="936" spans="1:10" ht="18" customHeight="1" x14ac:dyDescent="0.3">
      <c r="A936" s="11">
        <v>26</v>
      </c>
      <c r="B936" s="12" t="s">
        <v>1168</v>
      </c>
      <c r="C936" s="13">
        <v>1176765</v>
      </c>
      <c r="D936" s="14" t="s">
        <v>1294</v>
      </c>
      <c r="E936" s="15">
        <v>7673.6</v>
      </c>
      <c r="F936" s="15">
        <f t="shared" si="43"/>
        <v>116942</v>
      </c>
      <c r="G936" s="15">
        <v>33676.400000000001</v>
      </c>
      <c r="H936" s="15">
        <f t="shared" si="44"/>
        <v>430578</v>
      </c>
      <c r="I936" s="16">
        <f>IFERROR(VLOOKUP($C936,[1]dados_2023!$C$3:$H$357,4,0),"-")</f>
        <v>40206</v>
      </c>
      <c r="J936" s="16">
        <f>IFERROR(VLOOKUP($C936,[1]dados_2023!$C$3:$H$357,6,0),"-")</f>
        <v>93814</v>
      </c>
    </row>
    <row r="937" spans="1:10" ht="18" customHeight="1" x14ac:dyDescent="0.3">
      <c r="A937" s="11">
        <v>26</v>
      </c>
      <c r="B937" s="12" t="s">
        <v>1168</v>
      </c>
      <c r="C937" s="13">
        <v>1176660</v>
      </c>
      <c r="D937" s="14" t="s">
        <v>1295</v>
      </c>
      <c r="E937" s="15">
        <v>26343.4</v>
      </c>
      <c r="F937" s="15">
        <f t="shared" si="43"/>
        <v>354196</v>
      </c>
      <c r="G937" s="15">
        <v>99624.400000000009</v>
      </c>
      <c r="H937" s="15">
        <f t="shared" si="44"/>
        <v>1208022</v>
      </c>
      <c r="I937" s="16">
        <f>IFERROR(VLOOKUP($C937,[1]dados_2023!$C$3:$H$357,4,0),"-")</f>
        <v>90762</v>
      </c>
      <c r="J937" s="16">
        <f>IFERROR(VLOOKUP($C937,[1]dados_2023!$C$3:$H$357,6,0),"-")</f>
        <v>211778</v>
      </c>
    </row>
    <row r="938" spans="1:10" ht="18" customHeight="1" x14ac:dyDescent="0.3">
      <c r="A938" s="11">
        <v>26</v>
      </c>
      <c r="B938" s="12" t="s">
        <v>1168</v>
      </c>
      <c r="C938" s="13">
        <v>1103301</v>
      </c>
      <c r="D938" s="14" t="s">
        <v>1296</v>
      </c>
      <c r="E938" s="15">
        <v>7803.6</v>
      </c>
      <c r="F938" s="15">
        <f t="shared" si="43"/>
        <v>109731</v>
      </c>
      <c r="G938" s="15">
        <v>35508.399999999994</v>
      </c>
      <c r="H938" s="15">
        <f t="shared" si="44"/>
        <v>429038.99999999994</v>
      </c>
      <c r="I938" s="16">
        <f>IFERROR(VLOOKUP($C938,[1]dados_2023!$C$3:$H$357,4,0),"-")</f>
        <v>31695</v>
      </c>
      <c r="J938" s="16">
        <f>IFERROR(VLOOKUP($C938,[1]dados_2023!$C$3:$H$357,6,0),"-")</f>
        <v>73955</v>
      </c>
    </row>
    <row r="939" spans="1:10" ht="18" customHeight="1" x14ac:dyDescent="0.3">
      <c r="A939" s="11">
        <v>26</v>
      </c>
      <c r="B939" s="12" t="s">
        <v>1168</v>
      </c>
      <c r="C939" s="13">
        <v>1103336</v>
      </c>
      <c r="D939" s="14" t="s">
        <v>1297</v>
      </c>
      <c r="E939" s="15">
        <v>14580</v>
      </c>
      <c r="F939" s="15">
        <f t="shared" si="43"/>
        <v>213198</v>
      </c>
      <c r="G939" s="15">
        <v>62402.400000000009</v>
      </c>
      <c r="H939" s="15">
        <f t="shared" si="44"/>
        <v>781286.00000000012</v>
      </c>
      <c r="I939" s="16">
        <f>IFERROR(VLOOKUP($C939,[1]dados_2023!$C$3:$H$357,4,0),"-")</f>
        <v>67398</v>
      </c>
      <c r="J939" s="16">
        <f>IFERROR(VLOOKUP($C939,[1]dados_2023!$C$3:$H$357,6,0),"-")</f>
        <v>157262</v>
      </c>
    </row>
    <row r="940" spans="1:10" ht="18" customHeight="1" x14ac:dyDescent="0.3">
      <c r="A940" s="11">
        <v>26</v>
      </c>
      <c r="B940" s="12" t="s">
        <v>1168</v>
      </c>
      <c r="C940" s="13">
        <v>1103344</v>
      </c>
      <c r="D940" s="14" t="s">
        <v>1298</v>
      </c>
      <c r="E940" s="15">
        <v>14852.8</v>
      </c>
      <c r="F940" s="15">
        <f t="shared" si="43"/>
        <v>233197</v>
      </c>
      <c r="G940" s="15">
        <v>65304.800000000003</v>
      </c>
      <c r="H940" s="15">
        <f t="shared" si="44"/>
        <v>850609</v>
      </c>
      <c r="I940" s="16">
        <f>IFERROR(VLOOKUP($C940,[1]dados_2023!$C$3:$H$357,4,0),"-")</f>
        <v>84669</v>
      </c>
      <c r="J940" s="16">
        <f>IFERROR(VLOOKUP($C940,[1]dados_2023!$C$3:$H$357,6,0),"-")</f>
        <v>197561</v>
      </c>
    </row>
    <row r="941" spans="1:10" ht="18" customHeight="1" x14ac:dyDescent="0.3">
      <c r="A941" s="11">
        <v>26</v>
      </c>
      <c r="B941" s="12" t="s">
        <v>1168</v>
      </c>
      <c r="C941" s="13">
        <v>1176210</v>
      </c>
      <c r="D941" s="14" t="s">
        <v>1299</v>
      </c>
      <c r="E941" s="15">
        <v>5170</v>
      </c>
      <c r="F941" s="15">
        <f t="shared" si="43"/>
        <v>76528</v>
      </c>
      <c r="G941" s="15">
        <v>22127.600000000002</v>
      </c>
      <c r="H941" s="15">
        <f t="shared" si="44"/>
        <v>279208</v>
      </c>
      <c r="I941" s="16">
        <f>IFERROR(VLOOKUP($C941,[1]dados_2023!$C$3:$H$357,4,0),"-")</f>
        <v>24828</v>
      </c>
      <c r="J941" s="16">
        <f>IFERROR(VLOOKUP($C941,[1]dados_2023!$C$3:$H$357,6,0),"-")</f>
        <v>57932</v>
      </c>
    </row>
    <row r="942" spans="1:10" ht="18" customHeight="1" x14ac:dyDescent="0.3">
      <c r="A942" s="11">
        <v>26</v>
      </c>
      <c r="B942" s="12" t="s">
        <v>1168</v>
      </c>
      <c r="C942" s="13">
        <v>1103859</v>
      </c>
      <c r="D942" s="14" t="s">
        <v>870</v>
      </c>
      <c r="E942" s="15">
        <v>22166.2</v>
      </c>
      <c r="F942" s="15">
        <f t="shared" si="43"/>
        <v>359053</v>
      </c>
      <c r="G942" s="15">
        <v>98196.400000000009</v>
      </c>
      <c r="H942" s="15">
        <f t="shared" si="44"/>
        <v>1302543</v>
      </c>
      <c r="I942" s="16">
        <f>IFERROR(VLOOKUP($C942,[1]dados_2023!$C$3:$H$357,4,0),"-")</f>
        <v>137391</v>
      </c>
      <c r="J942" s="16">
        <f>IFERROR(VLOOKUP($C942,[1]dados_2023!$C$3:$H$357,6,0),"-")</f>
        <v>320579</v>
      </c>
    </row>
    <row r="943" spans="1:10" ht="18" customHeight="1" x14ac:dyDescent="0.3">
      <c r="A943" s="11">
        <v>26</v>
      </c>
      <c r="B943" s="12" t="s">
        <v>1168</v>
      </c>
      <c r="C943" s="13">
        <v>1103905</v>
      </c>
      <c r="D943" s="14" t="s">
        <v>1300</v>
      </c>
      <c r="E943" s="15">
        <v>10964.4</v>
      </c>
      <c r="F943" s="15">
        <f t="shared" si="43"/>
        <v>167520</v>
      </c>
      <c r="G943" s="15">
        <v>44890.600000000006</v>
      </c>
      <c r="H943" s="15">
        <f t="shared" si="44"/>
        <v>583950</v>
      </c>
      <c r="I943" s="16">
        <f>IFERROR(VLOOKUP($C943,[1]dados_2023!$C$3:$H$357,4,0),"-")</f>
        <v>57876</v>
      </c>
      <c r="J943" s="16">
        <f>IFERROR(VLOOKUP($C943,[1]dados_2023!$C$3:$H$357,6,0),"-")</f>
        <v>135044</v>
      </c>
    </row>
    <row r="944" spans="1:10" ht="18" customHeight="1" x14ac:dyDescent="0.3">
      <c r="A944" s="11">
        <v>26</v>
      </c>
      <c r="B944" s="12" t="s">
        <v>1168</v>
      </c>
      <c r="C944" s="13">
        <v>1103972</v>
      </c>
      <c r="D944" s="14" t="s">
        <v>1301</v>
      </c>
      <c r="E944" s="15">
        <v>10392.200000000001</v>
      </c>
      <c r="F944" s="15">
        <f t="shared" si="43"/>
        <v>163580</v>
      </c>
      <c r="G944" s="15">
        <v>45932.800000000003</v>
      </c>
      <c r="H944" s="15">
        <f t="shared" si="44"/>
        <v>598530</v>
      </c>
      <c r="I944" s="16">
        <f>IFERROR(VLOOKUP($C944,[1]dados_2023!$C$3:$H$357,4,0),"-")</f>
        <v>59658</v>
      </c>
      <c r="J944" s="16">
        <f>IFERROR(VLOOKUP($C944,[1]dados_2023!$C$3:$H$357,6,0),"-")</f>
        <v>139202</v>
      </c>
    </row>
    <row r="945" spans="1:10" ht="18" customHeight="1" x14ac:dyDescent="0.3">
      <c r="A945" s="11">
        <v>26</v>
      </c>
      <c r="B945" s="12" t="s">
        <v>1168</v>
      </c>
      <c r="C945" s="13">
        <v>1101520</v>
      </c>
      <c r="D945" s="14" t="s">
        <v>1302</v>
      </c>
      <c r="E945" s="15">
        <v>7236.4</v>
      </c>
      <c r="F945" s="15">
        <f t="shared" si="43"/>
        <v>115660</v>
      </c>
      <c r="G945" s="15">
        <v>32264.400000000005</v>
      </c>
      <c r="H945" s="15">
        <f t="shared" si="44"/>
        <v>423668.00000000006</v>
      </c>
      <c r="I945" s="16">
        <f>IFERROR(VLOOKUP($C945,[1]dados_2023!$C$3:$H$357,4,0),"-")</f>
        <v>43296</v>
      </c>
      <c r="J945" s="16">
        <f>IFERROR(VLOOKUP($C945,[1]dados_2023!$C$3:$H$357,6,0),"-")</f>
        <v>101024</v>
      </c>
    </row>
    <row r="946" spans="1:10" ht="18" customHeight="1" x14ac:dyDescent="0.3">
      <c r="A946" s="11">
        <v>26</v>
      </c>
      <c r="B946" s="12" t="s">
        <v>1168</v>
      </c>
      <c r="C946" s="13">
        <v>1103212</v>
      </c>
      <c r="D946" s="14" t="s">
        <v>1303</v>
      </c>
      <c r="E946" s="15">
        <v>11971</v>
      </c>
      <c r="F946" s="15">
        <f t="shared" si="43"/>
        <v>184900</v>
      </c>
      <c r="G946" s="15">
        <v>54680</v>
      </c>
      <c r="H946" s="15">
        <f t="shared" si="44"/>
        <v>698910</v>
      </c>
      <c r="I946" s="16">
        <f>IFERROR(VLOOKUP($C946,[1]dados_2023!$C$3:$H$357,4,0),"-")</f>
        <v>65190</v>
      </c>
      <c r="J946" s="16">
        <f>IFERROR(VLOOKUP($C946,[1]dados_2023!$C$3:$H$357,6,0),"-")</f>
        <v>152110</v>
      </c>
    </row>
    <row r="947" spans="1:10" ht="18" customHeight="1" x14ac:dyDescent="0.3">
      <c r="A947" s="11">
        <v>26</v>
      </c>
      <c r="B947" s="12" t="s">
        <v>1168</v>
      </c>
      <c r="C947" s="13">
        <v>1178076</v>
      </c>
      <c r="D947" s="14" t="s">
        <v>1304</v>
      </c>
      <c r="E947" s="15">
        <v>7100</v>
      </c>
      <c r="F947" s="15">
        <f t="shared" si="43"/>
        <v>92378</v>
      </c>
      <c r="G947" s="15">
        <v>30388</v>
      </c>
      <c r="H947" s="15">
        <f t="shared" si="44"/>
        <v>353762</v>
      </c>
      <c r="I947" s="16">
        <f>IFERROR(VLOOKUP($C947,[1]dados_2023!$C$3:$H$357,4,0),"-")</f>
        <v>21378</v>
      </c>
      <c r="J947" s="16">
        <f>IFERROR(VLOOKUP($C947,[1]dados_2023!$C$3:$H$357,6,0),"-")</f>
        <v>49882</v>
      </c>
    </row>
    <row r="948" spans="1:10" ht="18" customHeight="1" x14ac:dyDescent="0.3">
      <c r="A948" s="11">
        <v>26</v>
      </c>
      <c r="B948" s="12" t="s">
        <v>1168</v>
      </c>
      <c r="C948" s="13">
        <v>1103239</v>
      </c>
      <c r="D948" s="14" t="s">
        <v>1305</v>
      </c>
      <c r="E948" s="15">
        <v>7239.8</v>
      </c>
      <c r="F948" s="15">
        <f t="shared" si="43"/>
        <v>127430</v>
      </c>
      <c r="G948" s="15">
        <v>33018.800000000003</v>
      </c>
      <c r="H948" s="15">
        <f t="shared" si="44"/>
        <v>458596</v>
      </c>
      <c r="I948" s="16">
        <f>IFERROR(VLOOKUP($C948,[1]dados_2023!$C$3:$H$357,4,0),"-")</f>
        <v>55032</v>
      </c>
      <c r="J948" s="16">
        <f>IFERROR(VLOOKUP($C948,[1]dados_2023!$C$3:$H$357,6,0),"-")</f>
        <v>128408</v>
      </c>
    </row>
    <row r="949" spans="1:10" ht="18" customHeight="1" x14ac:dyDescent="0.3">
      <c r="A949" s="11">
        <v>26</v>
      </c>
      <c r="B949" s="12" t="s">
        <v>1168</v>
      </c>
      <c r="C949" s="13">
        <v>1103387</v>
      </c>
      <c r="D949" s="14" t="s">
        <v>177</v>
      </c>
      <c r="E949" s="15">
        <v>5580</v>
      </c>
      <c r="F949" s="15">
        <f t="shared" si="43"/>
        <v>92364</v>
      </c>
      <c r="G949" s="15">
        <v>23882.400000000001</v>
      </c>
      <c r="H949" s="15">
        <f t="shared" si="44"/>
        <v>324140</v>
      </c>
      <c r="I949" s="16">
        <f>IFERROR(VLOOKUP($C949,[1]dados_2023!$C$3:$H$357,4,0),"-")</f>
        <v>36564</v>
      </c>
      <c r="J949" s="16">
        <f>IFERROR(VLOOKUP($C949,[1]dados_2023!$C$3:$H$357,6,0),"-")</f>
        <v>85316</v>
      </c>
    </row>
    <row r="950" spans="1:10" ht="18" customHeight="1" x14ac:dyDescent="0.3">
      <c r="A950" s="11">
        <v>26</v>
      </c>
      <c r="B950" s="12" t="s">
        <v>1168</v>
      </c>
      <c r="C950" s="13">
        <v>1176610</v>
      </c>
      <c r="D950" s="14" t="s">
        <v>512</v>
      </c>
      <c r="E950" s="15">
        <v>6930.8</v>
      </c>
      <c r="F950" s="15">
        <f t="shared" si="43"/>
        <v>101342</v>
      </c>
      <c r="G950" s="15">
        <v>30038</v>
      </c>
      <c r="H950" s="15">
        <f t="shared" si="44"/>
        <v>375126</v>
      </c>
      <c r="I950" s="16">
        <f>IFERROR(VLOOKUP($C950,[1]dados_2023!$C$3:$H$357,4,0),"-")</f>
        <v>32034</v>
      </c>
      <c r="J950" s="16">
        <f>IFERROR(VLOOKUP($C950,[1]dados_2023!$C$3:$H$357,6,0),"-")</f>
        <v>74746</v>
      </c>
    </row>
    <row r="951" spans="1:10" ht="18" customHeight="1" x14ac:dyDescent="0.3">
      <c r="A951" s="11">
        <v>26</v>
      </c>
      <c r="B951" s="12" t="s">
        <v>1168</v>
      </c>
      <c r="C951" s="13">
        <v>1104537</v>
      </c>
      <c r="D951" s="14" t="s">
        <v>1306</v>
      </c>
      <c r="E951" s="15">
        <v>8408.2000000000007</v>
      </c>
      <c r="F951" s="15">
        <f t="shared" si="43"/>
        <v>121345</v>
      </c>
      <c r="G951" s="15">
        <v>35630.199999999997</v>
      </c>
      <c r="H951" s="15">
        <f t="shared" si="44"/>
        <v>443249</v>
      </c>
      <c r="I951" s="16">
        <f>IFERROR(VLOOKUP($C951,[1]dados_2023!$C$3:$H$357,4,0),"-")</f>
        <v>37263</v>
      </c>
      <c r="J951" s="16">
        <f>IFERROR(VLOOKUP($C951,[1]dados_2023!$C$3:$H$357,6,0),"-")</f>
        <v>86947</v>
      </c>
    </row>
    <row r="952" spans="1:10" ht="18" customHeight="1" x14ac:dyDescent="0.3">
      <c r="A952" s="11">
        <v>26</v>
      </c>
      <c r="B952" s="12" t="s">
        <v>1168</v>
      </c>
      <c r="C952" s="13">
        <v>1104820</v>
      </c>
      <c r="D952" s="14" t="s">
        <v>1307</v>
      </c>
      <c r="E952" s="15">
        <v>7340</v>
      </c>
      <c r="F952" s="15">
        <f t="shared" si="43"/>
        <v>116495</v>
      </c>
      <c r="G952" s="15">
        <v>31415.200000000001</v>
      </c>
      <c r="H952" s="15">
        <f t="shared" si="44"/>
        <v>414707</v>
      </c>
      <c r="I952" s="16">
        <f>IFERROR(VLOOKUP($C952,[1]dados_2023!$C$3:$H$357,4,0),"-")</f>
        <v>43095</v>
      </c>
      <c r="J952" s="16">
        <f>IFERROR(VLOOKUP($C952,[1]dados_2023!$C$3:$H$357,6,0),"-")</f>
        <v>100555</v>
      </c>
    </row>
    <row r="953" spans="1:10" ht="18" customHeight="1" x14ac:dyDescent="0.3">
      <c r="A953" s="11">
        <v>26</v>
      </c>
      <c r="B953" s="12" t="s">
        <v>1168</v>
      </c>
      <c r="C953" s="13">
        <v>1103654</v>
      </c>
      <c r="D953" s="14" t="s">
        <v>1308</v>
      </c>
      <c r="E953" s="15">
        <v>5326.2</v>
      </c>
      <c r="F953" s="15">
        <f t="shared" si="43"/>
        <v>83346</v>
      </c>
      <c r="G953" s="15">
        <v>25696.000000000004</v>
      </c>
      <c r="H953" s="15">
        <f t="shared" si="44"/>
        <v>327156</v>
      </c>
      <c r="I953" s="16">
        <f>IFERROR(VLOOKUP($C953,[1]dados_2023!$C$3:$H$357,4,0),"-")</f>
        <v>30084</v>
      </c>
      <c r="J953" s="16">
        <f>IFERROR(VLOOKUP($C953,[1]dados_2023!$C$3:$H$357,6,0),"-")</f>
        <v>70196</v>
      </c>
    </row>
    <row r="954" spans="1:10" ht="18" customHeight="1" x14ac:dyDescent="0.3">
      <c r="A954" s="11">
        <v>26</v>
      </c>
      <c r="B954" s="12" t="s">
        <v>1168</v>
      </c>
      <c r="C954" s="13">
        <v>1176377</v>
      </c>
      <c r="D954" s="14" t="s">
        <v>1309</v>
      </c>
      <c r="E954" s="15">
        <v>14765.2</v>
      </c>
      <c r="F954" s="15">
        <f t="shared" si="43"/>
        <v>218440</v>
      </c>
      <c r="G954" s="15">
        <v>63501.200000000004</v>
      </c>
      <c r="H954" s="15">
        <f t="shared" si="44"/>
        <v>800184</v>
      </c>
      <c r="I954" s="16">
        <f>IFERROR(VLOOKUP($C954,[1]dados_2023!$C$3:$H$357,4,0),"-")</f>
        <v>70788</v>
      </c>
      <c r="J954" s="16">
        <f>IFERROR(VLOOKUP($C954,[1]dados_2023!$C$3:$H$357,6,0),"-")</f>
        <v>165172</v>
      </c>
    </row>
    <row r="955" spans="1:10" ht="18" customHeight="1" x14ac:dyDescent="0.3">
      <c r="A955" s="11">
        <v>26</v>
      </c>
      <c r="B955" s="12" t="s">
        <v>1168</v>
      </c>
      <c r="C955" s="13">
        <v>1103751</v>
      </c>
      <c r="D955" s="14" t="s">
        <v>1310</v>
      </c>
      <c r="E955" s="15">
        <v>3940</v>
      </c>
      <c r="F955" s="15">
        <f t="shared" si="43"/>
        <v>71095</v>
      </c>
      <c r="G955" s="15">
        <v>16863.2</v>
      </c>
      <c r="H955" s="15">
        <f t="shared" si="44"/>
        <v>242587</v>
      </c>
      <c r="I955" s="16">
        <f>IFERROR(VLOOKUP($C955,[1]dados_2023!$C$3:$H$357,4,0),"-")</f>
        <v>31695</v>
      </c>
      <c r="J955" s="16">
        <f>IFERROR(VLOOKUP($C955,[1]dados_2023!$C$3:$H$357,6,0),"-")</f>
        <v>73955</v>
      </c>
    </row>
    <row r="956" spans="1:10" ht="18" customHeight="1" x14ac:dyDescent="0.3">
      <c r="A956" s="11">
        <v>26</v>
      </c>
      <c r="B956" s="12" t="s">
        <v>1168</v>
      </c>
      <c r="C956" s="13">
        <v>1136072</v>
      </c>
      <c r="D956" s="14" t="s">
        <v>1311</v>
      </c>
      <c r="E956" s="15">
        <v>12652</v>
      </c>
      <c r="F956" s="15">
        <f t="shared" si="43"/>
        <v>198475</v>
      </c>
      <c r="G956" s="15">
        <v>55511.200000000004</v>
      </c>
      <c r="H956" s="15">
        <f t="shared" si="44"/>
        <v>723007</v>
      </c>
      <c r="I956" s="16">
        <f>IFERROR(VLOOKUP($C956,[1]dados_2023!$C$3:$H$357,4,0),"-")</f>
        <v>71955</v>
      </c>
      <c r="J956" s="16">
        <f>IFERROR(VLOOKUP($C956,[1]dados_2023!$C$3:$H$357,6,0),"-")</f>
        <v>167895</v>
      </c>
    </row>
    <row r="957" spans="1:10" ht="18" customHeight="1" x14ac:dyDescent="0.3">
      <c r="A957" s="11">
        <v>26</v>
      </c>
      <c r="B957" s="12" t="s">
        <v>1168</v>
      </c>
      <c r="C957" s="13">
        <v>1104243</v>
      </c>
      <c r="D957" s="14" t="s">
        <v>1312</v>
      </c>
      <c r="E957" s="15">
        <v>11110.2</v>
      </c>
      <c r="F957" s="15">
        <f t="shared" si="43"/>
        <v>171819</v>
      </c>
      <c r="G957" s="15">
        <v>50196.4</v>
      </c>
      <c r="H957" s="15">
        <f t="shared" si="44"/>
        <v>643637</v>
      </c>
      <c r="I957" s="16">
        <f>IFERROR(VLOOKUP($C957,[1]dados_2023!$C$3:$H$357,4,0),"-")</f>
        <v>60717</v>
      </c>
      <c r="J957" s="16">
        <f>IFERROR(VLOOKUP($C957,[1]dados_2023!$C$3:$H$357,6,0),"-")</f>
        <v>141673</v>
      </c>
    </row>
    <row r="958" spans="1:10" ht="18" customHeight="1" x14ac:dyDescent="0.3">
      <c r="A958" s="11">
        <v>26</v>
      </c>
      <c r="B958" s="12" t="s">
        <v>1168</v>
      </c>
      <c r="C958" s="13">
        <v>1176760</v>
      </c>
      <c r="D958" s="14" t="s">
        <v>1313</v>
      </c>
      <c r="E958" s="15">
        <v>34173.200000000004</v>
      </c>
      <c r="F958" s="15">
        <f t="shared" si="43"/>
        <v>434747.00000000006</v>
      </c>
      <c r="G958" s="15">
        <v>106791</v>
      </c>
      <c r="H958" s="15">
        <f t="shared" si="44"/>
        <v>1284945</v>
      </c>
      <c r="I958" s="16">
        <f>IFERROR(VLOOKUP($C958,[1]dados_2023!$C$3:$H$357,4,0),"-")</f>
        <v>93015</v>
      </c>
      <c r="J958" s="16">
        <f>IFERROR(VLOOKUP($C958,[1]dados_2023!$C$3:$H$357,6,0),"-")</f>
        <v>217035</v>
      </c>
    </row>
    <row r="959" spans="1:10" ht="18" customHeight="1" x14ac:dyDescent="0.3">
      <c r="A959" s="11">
        <v>26</v>
      </c>
      <c r="B959" s="12" t="s">
        <v>1168</v>
      </c>
      <c r="C959" s="13">
        <v>1103085</v>
      </c>
      <c r="D959" s="14" t="s">
        <v>1314</v>
      </c>
      <c r="E959" s="15">
        <v>8320</v>
      </c>
      <c r="F959" s="15">
        <f t="shared" si="43"/>
        <v>110110</v>
      </c>
      <c r="G959" s="15">
        <v>35609.599999999999</v>
      </c>
      <c r="H959" s="15">
        <f t="shared" si="44"/>
        <v>418886</v>
      </c>
      <c r="I959" s="16">
        <f>IFERROR(VLOOKUP($C959,[1]dados_2023!$C$3:$H$357,4,0),"-")</f>
        <v>26910</v>
      </c>
      <c r="J959" s="16">
        <f>IFERROR(VLOOKUP($C959,[1]dados_2023!$C$3:$H$357,6,0),"-")</f>
        <v>62790</v>
      </c>
    </row>
    <row r="960" spans="1:10" ht="18" customHeight="1" x14ac:dyDescent="0.3">
      <c r="A960" s="11">
        <v>26</v>
      </c>
      <c r="B960" s="12" t="s">
        <v>1168</v>
      </c>
      <c r="C960" s="13">
        <v>1135998</v>
      </c>
      <c r="D960" s="14" t="s">
        <v>873</v>
      </c>
      <c r="E960" s="15">
        <v>6378.4</v>
      </c>
      <c r="F960" s="15">
        <f t="shared" ref="F960" si="45">E960*10</f>
        <v>63784</v>
      </c>
      <c r="G960" s="15">
        <v>21369</v>
      </c>
      <c r="H960" s="15">
        <f t="shared" ref="H960" si="46">G960*10</f>
        <v>213690</v>
      </c>
      <c r="I960" s="16" t="str">
        <f>IFERROR(VLOOKUP($C960,[1]dados_2023!$C$3:$H$357,4,0),"-")</f>
        <v>-</v>
      </c>
      <c r="J960" s="16" t="str">
        <f>IFERROR(VLOOKUP($C960,[1]dados_2023!$C$3:$H$357,6,0),"-")</f>
        <v>-</v>
      </c>
    </row>
    <row r="961" spans="1:10" ht="18" customHeight="1" x14ac:dyDescent="0.3">
      <c r="A961" s="11">
        <v>26</v>
      </c>
      <c r="B961" s="12" t="s">
        <v>1168</v>
      </c>
      <c r="C961" s="13">
        <v>1168837</v>
      </c>
      <c r="D961" s="14" t="s">
        <v>1315</v>
      </c>
      <c r="E961" s="15">
        <v>3589.4000000000005</v>
      </c>
      <c r="F961" s="15">
        <f t="shared" ref="F961:F1013" si="47">E961*10+I961</f>
        <v>41720.000000000007</v>
      </c>
      <c r="G961" s="15">
        <v>10296.6</v>
      </c>
      <c r="H961" s="15">
        <f t="shared" ref="H961:H1013" si="48">G961*10+J961</f>
        <v>116560</v>
      </c>
      <c r="I961" s="16">
        <f>IFERROR(VLOOKUP($C961,[1]dados_2023!$C$3:$H$357,4,0),"-")</f>
        <v>5826</v>
      </c>
      <c r="J961" s="16">
        <f>IFERROR(VLOOKUP($C961,[1]dados_2023!$C$3:$H$357,6,0),"-")</f>
        <v>13594</v>
      </c>
    </row>
    <row r="962" spans="1:10" ht="18" customHeight="1" x14ac:dyDescent="0.3">
      <c r="A962" s="11">
        <v>26</v>
      </c>
      <c r="B962" s="12" t="s">
        <v>1168</v>
      </c>
      <c r="C962" s="13">
        <v>1176422</v>
      </c>
      <c r="D962" s="14" t="s">
        <v>245</v>
      </c>
      <c r="E962" s="15">
        <v>10188.4</v>
      </c>
      <c r="F962" s="15">
        <f t="shared" si="47"/>
        <v>160909</v>
      </c>
      <c r="G962" s="15">
        <v>44984</v>
      </c>
      <c r="H962" s="15">
        <f t="shared" si="48"/>
        <v>587565</v>
      </c>
      <c r="I962" s="16">
        <f>IFERROR(VLOOKUP($C962,[1]dados_2023!$C$3:$H$357,4,0),"-")</f>
        <v>59025</v>
      </c>
      <c r="J962" s="16">
        <f>IFERROR(VLOOKUP($C962,[1]dados_2023!$C$3:$H$357,6,0),"-")</f>
        <v>137725</v>
      </c>
    </row>
    <row r="963" spans="1:10" ht="18" customHeight="1" x14ac:dyDescent="0.3">
      <c r="A963" s="11">
        <v>26</v>
      </c>
      <c r="B963" s="12" t="s">
        <v>1168</v>
      </c>
      <c r="C963" s="13">
        <v>1176189</v>
      </c>
      <c r="D963" s="14" t="s">
        <v>1316</v>
      </c>
      <c r="E963" s="15">
        <v>11971.999999999998</v>
      </c>
      <c r="F963" s="15">
        <f t="shared" si="47"/>
        <v>174005</v>
      </c>
      <c r="G963" s="15">
        <v>63656</v>
      </c>
      <c r="H963" s="15">
        <f t="shared" si="48"/>
        <v>763225</v>
      </c>
      <c r="I963" s="16">
        <f>IFERROR(VLOOKUP($C963,[1]dados_2023!$C$3:$H$357,4,0),"-")</f>
        <v>54285</v>
      </c>
      <c r="J963" s="16">
        <f>IFERROR(VLOOKUP($C963,[1]dados_2023!$C$3:$H$357,6,0),"-")</f>
        <v>126665</v>
      </c>
    </row>
    <row r="964" spans="1:10" ht="18" customHeight="1" x14ac:dyDescent="0.3">
      <c r="A964" s="11">
        <v>26</v>
      </c>
      <c r="B964" s="12" t="s">
        <v>1168</v>
      </c>
      <c r="C964" s="13">
        <v>1101791</v>
      </c>
      <c r="D964" s="14" t="s">
        <v>1317</v>
      </c>
      <c r="E964" s="15">
        <v>6380</v>
      </c>
      <c r="F964" s="15">
        <f t="shared" si="47"/>
        <v>91316</v>
      </c>
      <c r="G964" s="15">
        <v>27306.400000000001</v>
      </c>
      <c r="H964" s="15">
        <f t="shared" si="48"/>
        <v>337268</v>
      </c>
      <c r="I964" s="16">
        <f>IFERROR(VLOOKUP($C964,[1]dados_2023!$C$3:$H$357,4,0),"-")</f>
        <v>27516</v>
      </c>
      <c r="J964" s="16">
        <f>IFERROR(VLOOKUP($C964,[1]dados_2023!$C$3:$H$357,6,0),"-")</f>
        <v>64204</v>
      </c>
    </row>
    <row r="965" spans="1:10" ht="18" customHeight="1" x14ac:dyDescent="0.3">
      <c r="A965" s="11">
        <v>26</v>
      </c>
      <c r="B965" s="12" t="s">
        <v>1168</v>
      </c>
      <c r="C965" s="13">
        <v>1176390</v>
      </c>
      <c r="D965" s="14" t="s">
        <v>1318</v>
      </c>
      <c r="E965" s="15">
        <v>11742.4</v>
      </c>
      <c r="F965" s="15">
        <f t="shared" si="47"/>
        <v>141802</v>
      </c>
      <c r="G965" s="15">
        <v>33783.199999999997</v>
      </c>
      <c r="H965" s="15">
        <f t="shared" si="48"/>
        <v>394714</v>
      </c>
      <c r="I965" s="16">
        <f>IFERROR(VLOOKUP($C965,[1]dados_2023!$C$3:$H$357,4,0),"-")</f>
        <v>24378</v>
      </c>
      <c r="J965" s="16">
        <f>IFERROR(VLOOKUP($C965,[1]dados_2023!$C$3:$H$357,6,0),"-")</f>
        <v>56882</v>
      </c>
    </row>
    <row r="966" spans="1:10" ht="18" customHeight="1" x14ac:dyDescent="0.3">
      <c r="A966" s="11">
        <v>26</v>
      </c>
      <c r="B966" s="12" t="s">
        <v>1168</v>
      </c>
      <c r="C966" s="13">
        <v>1101546</v>
      </c>
      <c r="D966" s="14" t="s">
        <v>1319</v>
      </c>
      <c r="E966" s="15">
        <v>3700</v>
      </c>
      <c r="F966" s="15">
        <f t="shared" si="47"/>
        <v>58561</v>
      </c>
      <c r="G966" s="15">
        <v>15836.000000000002</v>
      </c>
      <c r="H966" s="15">
        <f t="shared" si="48"/>
        <v>208669.00000000003</v>
      </c>
      <c r="I966" s="16">
        <f>IFERROR(VLOOKUP($C966,[1]dados_2023!$C$3:$H$357,4,0),"-")</f>
        <v>21561</v>
      </c>
      <c r="J966" s="16">
        <f>IFERROR(VLOOKUP($C966,[1]dados_2023!$C$3:$H$357,6,0),"-")</f>
        <v>50309</v>
      </c>
    </row>
    <row r="967" spans="1:10" ht="18" customHeight="1" x14ac:dyDescent="0.3">
      <c r="A967" s="11">
        <v>26</v>
      </c>
      <c r="B967" s="12" t="s">
        <v>1168</v>
      </c>
      <c r="C967" s="13">
        <v>1102909</v>
      </c>
      <c r="D967" s="14" t="s">
        <v>1320</v>
      </c>
      <c r="E967" s="15">
        <v>7288.4000000000005</v>
      </c>
      <c r="F967" s="15">
        <f t="shared" si="47"/>
        <v>85436</v>
      </c>
      <c r="G967" s="15">
        <v>20907.600000000002</v>
      </c>
      <c r="H967" s="15">
        <f t="shared" si="48"/>
        <v>238364.00000000003</v>
      </c>
      <c r="I967" s="16">
        <f>IFERROR(VLOOKUP($C967,[1]dados_2023!$C$3:$H$357,4,0),"-")</f>
        <v>12552</v>
      </c>
      <c r="J967" s="16">
        <f>IFERROR(VLOOKUP($C967,[1]dados_2023!$C$3:$H$357,6,0),"-")</f>
        <v>29288</v>
      </c>
    </row>
    <row r="968" spans="1:10" ht="18" customHeight="1" x14ac:dyDescent="0.3">
      <c r="A968" s="11">
        <v>26</v>
      </c>
      <c r="B968" s="12" t="s">
        <v>1168</v>
      </c>
      <c r="C968" s="13">
        <v>1100868</v>
      </c>
      <c r="D968" s="14" t="s">
        <v>1321</v>
      </c>
      <c r="E968" s="15">
        <v>4742.8</v>
      </c>
      <c r="F968" s="15">
        <f t="shared" si="47"/>
        <v>74338</v>
      </c>
      <c r="G968" s="15">
        <v>21183.600000000002</v>
      </c>
      <c r="H968" s="15">
        <f t="shared" si="48"/>
        <v>274626</v>
      </c>
      <c r="I968" s="16">
        <f>IFERROR(VLOOKUP($C968,[1]dados_2023!$C$3:$H$357,4,0),"-")</f>
        <v>26910</v>
      </c>
      <c r="J968" s="16">
        <f>IFERROR(VLOOKUP($C968,[1]dados_2023!$C$3:$H$357,6,0),"-")</f>
        <v>62790</v>
      </c>
    </row>
    <row r="969" spans="1:10" ht="18" customHeight="1" x14ac:dyDescent="0.3">
      <c r="A969" s="11">
        <v>26</v>
      </c>
      <c r="B969" s="12" t="s">
        <v>1168</v>
      </c>
      <c r="C969" s="13">
        <v>1176202</v>
      </c>
      <c r="D969" s="14" t="s">
        <v>1322</v>
      </c>
      <c r="E969" s="15">
        <v>6356.8000000000011</v>
      </c>
      <c r="F969" s="15">
        <f t="shared" si="47"/>
        <v>74785.000000000015</v>
      </c>
      <c r="G969" s="15">
        <v>18235.2</v>
      </c>
      <c r="H969" s="15">
        <f t="shared" si="48"/>
        <v>208525</v>
      </c>
      <c r="I969" s="16">
        <f>IFERROR(VLOOKUP($C969,[1]dados_2023!$C$3:$H$357,4,0),"-")</f>
        <v>11217</v>
      </c>
      <c r="J969" s="16">
        <f>IFERROR(VLOOKUP($C969,[1]dados_2023!$C$3:$H$357,6,0),"-")</f>
        <v>26173</v>
      </c>
    </row>
    <row r="970" spans="1:10" ht="18" customHeight="1" x14ac:dyDescent="0.3">
      <c r="A970" s="11">
        <v>26</v>
      </c>
      <c r="B970" s="12" t="s">
        <v>1168</v>
      </c>
      <c r="C970" s="13">
        <v>1102836</v>
      </c>
      <c r="D970" s="14" t="s">
        <v>1323</v>
      </c>
      <c r="E970" s="15">
        <v>4781</v>
      </c>
      <c r="F970" s="15">
        <f t="shared" si="47"/>
        <v>73946</v>
      </c>
      <c r="G970" s="15">
        <v>21780.800000000003</v>
      </c>
      <c r="H970" s="15">
        <f t="shared" si="48"/>
        <v>278792</v>
      </c>
      <c r="I970" s="16">
        <f>IFERROR(VLOOKUP($C970,[1]dados_2023!$C$3:$H$357,4,0),"-")</f>
        <v>26136</v>
      </c>
      <c r="J970" s="16">
        <f>IFERROR(VLOOKUP($C970,[1]dados_2023!$C$3:$H$357,6,0),"-")</f>
        <v>60984</v>
      </c>
    </row>
    <row r="971" spans="1:10" ht="18" customHeight="1" x14ac:dyDescent="0.3">
      <c r="A971" s="11">
        <v>26</v>
      </c>
      <c r="B971" s="12" t="s">
        <v>1168</v>
      </c>
      <c r="C971" s="13">
        <v>1103557</v>
      </c>
      <c r="D971" s="14" t="s">
        <v>1324</v>
      </c>
      <c r="E971" s="15">
        <v>5389</v>
      </c>
      <c r="F971" s="15">
        <f t="shared" si="47"/>
        <v>78718</v>
      </c>
      <c r="G971" s="15">
        <v>21711.4</v>
      </c>
      <c r="H971" s="15">
        <f t="shared" si="48"/>
        <v>275046</v>
      </c>
      <c r="I971" s="16">
        <f>IFERROR(VLOOKUP($C971,[1]dados_2023!$C$3:$H$357,4,0),"-")</f>
        <v>24828</v>
      </c>
      <c r="J971" s="16">
        <f>IFERROR(VLOOKUP($C971,[1]dados_2023!$C$3:$H$357,6,0),"-")</f>
        <v>57932</v>
      </c>
    </row>
    <row r="972" spans="1:10" ht="18" customHeight="1" x14ac:dyDescent="0.3">
      <c r="A972" s="11">
        <v>26</v>
      </c>
      <c r="B972" s="12" t="s">
        <v>1168</v>
      </c>
      <c r="C972" s="13">
        <v>1101759</v>
      </c>
      <c r="D972" s="14" t="s">
        <v>1325</v>
      </c>
      <c r="E972" s="15">
        <v>5290</v>
      </c>
      <c r="F972" s="15">
        <f t="shared" si="47"/>
        <v>78250</v>
      </c>
      <c r="G972" s="15">
        <v>22641.200000000004</v>
      </c>
      <c r="H972" s="15">
        <f t="shared" si="48"/>
        <v>285562.00000000006</v>
      </c>
      <c r="I972" s="16">
        <f>IFERROR(VLOOKUP($C972,[1]dados_2023!$C$3:$H$357,4,0),"-")</f>
        <v>25350</v>
      </c>
      <c r="J972" s="16">
        <f>IFERROR(VLOOKUP($C972,[1]dados_2023!$C$3:$H$357,6,0),"-")</f>
        <v>59150</v>
      </c>
    </row>
    <row r="973" spans="1:10" ht="18" customHeight="1" x14ac:dyDescent="0.3">
      <c r="A973" s="11">
        <v>26</v>
      </c>
      <c r="B973" s="12" t="s">
        <v>1168</v>
      </c>
      <c r="C973" s="13">
        <v>1104715</v>
      </c>
      <c r="D973" s="14" t="s">
        <v>1326</v>
      </c>
      <c r="E973" s="15">
        <v>8868</v>
      </c>
      <c r="F973" s="15">
        <f t="shared" si="47"/>
        <v>133872</v>
      </c>
      <c r="G973" s="15">
        <v>36820.200000000004</v>
      </c>
      <c r="H973" s="15">
        <f t="shared" si="48"/>
        <v>473650.00000000006</v>
      </c>
      <c r="I973" s="16">
        <f>IFERROR(VLOOKUP($C973,[1]dados_2023!$C$3:$H$357,4,0),"-")</f>
        <v>45192</v>
      </c>
      <c r="J973" s="16">
        <f>IFERROR(VLOOKUP($C973,[1]dados_2023!$C$3:$H$357,6,0),"-")</f>
        <v>105448</v>
      </c>
    </row>
    <row r="974" spans="1:10" ht="18" customHeight="1" x14ac:dyDescent="0.3">
      <c r="A974" s="11">
        <v>26</v>
      </c>
      <c r="B974" s="12" t="s">
        <v>1168</v>
      </c>
      <c r="C974" s="13">
        <v>1176800</v>
      </c>
      <c r="D974" s="14" t="s">
        <v>1327</v>
      </c>
      <c r="E974" s="15">
        <v>3860</v>
      </c>
      <c r="F974" s="15">
        <f t="shared" si="47"/>
        <v>56996</v>
      </c>
      <c r="G974" s="15">
        <v>16520.800000000003</v>
      </c>
      <c r="H974" s="15">
        <f t="shared" si="48"/>
        <v>208132.00000000003</v>
      </c>
      <c r="I974" s="16">
        <f>IFERROR(VLOOKUP($C974,[1]dados_2023!$C$3:$H$357,4,0),"-")</f>
        <v>18396</v>
      </c>
      <c r="J974" s="16">
        <f>IFERROR(VLOOKUP($C974,[1]dados_2023!$C$3:$H$357,6,0),"-")</f>
        <v>42924</v>
      </c>
    </row>
    <row r="975" spans="1:10" s="31" customFormat="1" ht="21" customHeight="1" x14ac:dyDescent="0.3">
      <c r="A975" s="11">
        <v>26</v>
      </c>
      <c r="B975" s="12" t="s">
        <v>1168</v>
      </c>
      <c r="C975" s="13">
        <v>1104375</v>
      </c>
      <c r="D975" s="14" t="s">
        <v>1328</v>
      </c>
      <c r="E975" s="15">
        <v>7020</v>
      </c>
      <c r="F975" s="15">
        <f t="shared" si="47"/>
        <v>104625</v>
      </c>
      <c r="G975" s="15">
        <v>30045.600000000006</v>
      </c>
      <c r="H975" s="15">
        <f t="shared" si="48"/>
        <v>380781.00000000006</v>
      </c>
      <c r="I975" s="16">
        <f>IFERROR(VLOOKUP($C975,[1]dados_2023!$C$3:$H$357,4,0),"-")</f>
        <v>34425</v>
      </c>
      <c r="J975" s="16">
        <f>IFERROR(VLOOKUP($C975,[1]dados_2023!$C$3:$H$357,6,0),"-")</f>
        <v>80325</v>
      </c>
    </row>
    <row r="976" spans="1:10" ht="18" customHeight="1" x14ac:dyDescent="0.3">
      <c r="A976" s="11">
        <v>26</v>
      </c>
      <c r="B976" s="12" t="s">
        <v>1168</v>
      </c>
      <c r="C976" s="13">
        <v>1176074</v>
      </c>
      <c r="D976" s="14" t="s">
        <v>1329</v>
      </c>
      <c r="E976" s="15">
        <v>12586.8</v>
      </c>
      <c r="F976" s="15">
        <f t="shared" si="47"/>
        <v>163767</v>
      </c>
      <c r="G976" s="15">
        <v>42373.8</v>
      </c>
      <c r="H976" s="15">
        <f t="shared" si="48"/>
        <v>512169</v>
      </c>
      <c r="I976" s="16">
        <f>IFERROR(VLOOKUP($C976,[1]dados_2023!$C$3:$H$357,4,0),"-")</f>
        <v>37899</v>
      </c>
      <c r="J976" s="16">
        <f>IFERROR(VLOOKUP($C976,[1]dados_2023!$C$3:$H$357,6,0),"-")</f>
        <v>88431</v>
      </c>
    </row>
    <row r="977" spans="1:10" ht="18" customHeight="1" x14ac:dyDescent="0.3">
      <c r="A977" s="11">
        <v>26</v>
      </c>
      <c r="B977" s="12" t="s">
        <v>1168</v>
      </c>
      <c r="C977" s="13">
        <v>1102917</v>
      </c>
      <c r="D977" s="14" t="s">
        <v>1330</v>
      </c>
      <c r="E977" s="15">
        <v>6331.8000000000011</v>
      </c>
      <c r="F977" s="15">
        <f t="shared" si="47"/>
        <v>74397.000000000015</v>
      </c>
      <c r="G977" s="15">
        <v>19095</v>
      </c>
      <c r="H977" s="15">
        <f t="shared" si="48"/>
        <v>216801</v>
      </c>
      <c r="I977" s="16">
        <f>IFERROR(VLOOKUP($C977,[1]dados_2023!$C$3:$H$357,4,0),"-")</f>
        <v>11079</v>
      </c>
      <c r="J977" s="16">
        <f>IFERROR(VLOOKUP($C977,[1]dados_2023!$C$3:$H$357,6,0),"-")</f>
        <v>25851</v>
      </c>
    </row>
    <row r="978" spans="1:10" ht="18" customHeight="1" x14ac:dyDescent="0.3">
      <c r="A978" s="11">
        <v>26</v>
      </c>
      <c r="B978" s="12" t="s">
        <v>1168</v>
      </c>
      <c r="C978" s="13">
        <v>1141998</v>
      </c>
      <c r="D978" s="14" t="s">
        <v>1331</v>
      </c>
      <c r="E978" s="15">
        <v>7891.6</v>
      </c>
      <c r="F978" s="15">
        <f t="shared" si="47"/>
        <v>118174</v>
      </c>
      <c r="G978" s="15">
        <v>34099.200000000004</v>
      </c>
      <c r="H978" s="15">
        <f t="shared" si="48"/>
        <v>432594.00000000006</v>
      </c>
      <c r="I978" s="16">
        <f>IFERROR(VLOOKUP($C978,[1]dados_2023!$C$3:$H$357,4,0),"-")</f>
        <v>39258</v>
      </c>
      <c r="J978" s="16">
        <f>IFERROR(VLOOKUP($C978,[1]dados_2023!$C$3:$H$357,6,0),"-")</f>
        <v>91602</v>
      </c>
    </row>
    <row r="979" spans="1:10" ht="18" customHeight="1" x14ac:dyDescent="0.3">
      <c r="A979" s="11">
        <v>26</v>
      </c>
      <c r="B979" s="12" t="s">
        <v>1168</v>
      </c>
      <c r="C979" s="13">
        <v>1176392</v>
      </c>
      <c r="D979" s="14" t="s">
        <v>1332</v>
      </c>
      <c r="E979" s="15">
        <v>10719.400000000001</v>
      </c>
      <c r="F979" s="15">
        <f t="shared" si="47"/>
        <v>126541.00000000001</v>
      </c>
      <c r="G979" s="15">
        <v>31145.000000000004</v>
      </c>
      <c r="H979" s="15">
        <f t="shared" si="48"/>
        <v>356593.00000000006</v>
      </c>
      <c r="I979" s="16">
        <f>IFERROR(VLOOKUP($C979,[1]dados_2023!$C$3:$H$357,4,0),"-")</f>
        <v>19347</v>
      </c>
      <c r="J979" s="16">
        <f>IFERROR(VLOOKUP($C979,[1]dados_2023!$C$3:$H$357,6,0),"-")</f>
        <v>45143</v>
      </c>
    </row>
    <row r="980" spans="1:10" ht="18" customHeight="1" x14ac:dyDescent="0.3">
      <c r="A980" s="11">
        <v>26</v>
      </c>
      <c r="B980" s="12" t="s">
        <v>1168</v>
      </c>
      <c r="C980" s="13">
        <v>1104022</v>
      </c>
      <c r="D980" s="14" t="s">
        <v>1333</v>
      </c>
      <c r="E980" s="15">
        <v>8533.6</v>
      </c>
      <c r="F980" s="15">
        <f t="shared" si="47"/>
        <v>124432</v>
      </c>
      <c r="G980" s="15">
        <v>38207.599999999999</v>
      </c>
      <c r="H980" s="15">
        <f t="shared" si="48"/>
        <v>473300</v>
      </c>
      <c r="I980" s="16">
        <f>IFERROR(VLOOKUP($C980,[1]dados_2023!$C$3:$H$357,4,0),"-")</f>
        <v>39096</v>
      </c>
      <c r="J980" s="16">
        <f>IFERROR(VLOOKUP($C980,[1]dados_2023!$C$3:$H$357,6,0),"-")</f>
        <v>91224</v>
      </c>
    </row>
    <row r="981" spans="1:10" ht="18" customHeight="1" x14ac:dyDescent="0.3">
      <c r="A981" s="11">
        <v>26</v>
      </c>
      <c r="B981" s="12" t="s">
        <v>1168</v>
      </c>
      <c r="C981" s="13">
        <v>1103506</v>
      </c>
      <c r="D981" s="14" t="s">
        <v>1334</v>
      </c>
      <c r="E981" s="15">
        <v>3925</v>
      </c>
      <c r="F981" s="15">
        <f t="shared" si="47"/>
        <v>62818</v>
      </c>
      <c r="G981" s="15">
        <v>17436.800000000003</v>
      </c>
      <c r="H981" s="15">
        <f t="shared" si="48"/>
        <v>229360.00000000003</v>
      </c>
      <c r="I981" s="16">
        <f>IFERROR(VLOOKUP($C981,[1]dados_2023!$C$3:$H$357,4,0),"-")</f>
        <v>23568</v>
      </c>
      <c r="J981" s="16">
        <f>IFERROR(VLOOKUP($C981,[1]dados_2023!$C$3:$H$357,6,0),"-")</f>
        <v>54992</v>
      </c>
    </row>
    <row r="982" spans="1:10" ht="18" customHeight="1" x14ac:dyDescent="0.3">
      <c r="A982" s="11">
        <v>26</v>
      </c>
      <c r="B982" s="12" t="s">
        <v>1168</v>
      </c>
      <c r="C982" s="13">
        <v>1101090</v>
      </c>
      <c r="D982" s="14" t="s">
        <v>1335</v>
      </c>
      <c r="E982" s="15">
        <v>8987.2000000000007</v>
      </c>
      <c r="F982" s="15">
        <f t="shared" si="47"/>
        <v>105490</v>
      </c>
      <c r="G982" s="15">
        <v>25780.799999999999</v>
      </c>
      <c r="H982" s="15">
        <f t="shared" si="48"/>
        <v>294250</v>
      </c>
      <c r="I982" s="16">
        <f>IFERROR(VLOOKUP($C982,[1]dados_2023!$C$3:$H$357,4,0),"-")</f>
        <v>15618</v>
      </c>
      <c r="J982" s="16">
        <f>IFERROR(VLOOKUP($C982,[1]dados_2023!$C$3:$H$357,6,0),"-")</f>
        <v>36442</v>
      </c>
    </row>
    <row r="983" spans="1:10" ht="18" customHeight="1" x14ac:dyDescent="0.3">
      <c r="A983" s="11">
        <v>26</v>
      </c>
      <c r="B983" s="12" t="s">
        <v>1168</v>
      </c>
      <c r="C983" s="13">
        <v>1101490</v>
      </c>
      <c r="D983" s="14" t="s">
        <v>1336</v>
      </c>
      <c r="E983" s="15">
        <v>5977.4</v>
      </c>
      <c r="F983" s="15">
        <f t="shared" si="47"/>
        <v>100451</v>
      </c>
      <c r="G983" s="15">
        <v>26918.400000000001</v>
      </c>
      <c r="H983" s="15">
        <f t="shared" si="48"/>
        <v>364097</v>
      </c>
      <c r="I983" s="16">
        <f>IFERROR(VLOOKUP($C983,[1]dados_2023!$C$3:$H$357,4,0),"-")</f>
        <v>40677</v>
      </c>
      <c r="J983" s="16">
        <f>IFERROR(VLOOKUP($C983,[1]dados_2023!$C$3:$H$357,6,0),"-")</f>
        <v>94913</v>
      </c>
    </row>
    <row r="984" spans="1:10" ht="18" customHeight="1" x14ac:dyDescent="0.3">
      <c r="A984" s="11">
        <v>26</v>
      </c>
      <c r="B984" s="12" t="s">
        <v>1337</v>
      </c>
      <c r="C984" s="13">
        <v>1176408</v>
      </c>
      <c r="D984" s="14" t="s">
        <v>1338</v>
      </c>
      <c r="E984" s="15">
        <v>8244.4</v>
      </c>
      <c r="F984" s="15">
        <f t="shared" si="47"/>
        <v>102397</v>
      </c>
      <c r="G984" s="15">
        <v>33870.600000000006</v>
      </c>
      <c r="H984" s="15">
        <f t="shared" si="48"/>
        <v>385263.00000000006</v>
      </c>
      <c r="I984" s="16">
        <f>IFERROR(VLOOKUP($C984,[1]dados_2023!$C$3:$H$357,4,0),"-")</f>
        <v>19953</v>
      </c>
      <c r="J984" s="16">
        <f>IFERROR(VLOOKUP($C984,[1]dados_2023!$C$3:$H$357,6,0),"-")</f>
        <v>46557</v>
      </c>
    </row>
    <row r="985" spans="1:10" ht="18" customHeight="1" x14ac:dyDescent="0.3">
      <c r="A985" s="11">
        <v>26</v>
      </c>
      <c r="B985" s="12" t="s">
        <v>1337</v>
      </c>
      <c r="C985" s="13">
        <v>1134851</v>
      </c>
      <c r="D985" s="14" t="s">
        <v>1339</v>
      </c>
      <c r="E985" s="15">
        <v>16646.600000000002</v>
      </c>
      <c r="F985" s="15">
        <f t="shared" si="47"/>
        <v>222896.00000000003</v>
      </c>
      <c r="G985" s="15">
        <v>60898.400000000001</v>
      </c>
      <c r="H985" s="15">
        <f t="shared" si="48"/>
        <v>740654</v>
      </c>
      <c r="I985" s="16">
        <f>IFERROR(VLOOKUP($C985,[1]dados_2023!$C$3:$H$357,4,0),"-")</f>
        <v>56430</v>
      </c>
      <c r="J985" s="16">
        <f>IFERROR(VLOOKUP($C985,[1]dados_2023!$C$3:$H$357,6,0),"-")</f>
        <v>131670</v>
      </c>
    </row>
    <row r="986" spans="1:10" ht="18" customHeight="1" x14ac:dyDescent="0.3">
      <c r="A986" s="11">
        <v>26</v>
      </c>
      <c r="B986" s="12" t="s">
        <v>1340</v>
      </c>
      <c r="C986" s="13">
        <v>1176915</v>
      </c>
      <c r="D986" s="14" t="s">
        <v>768</v>
      </c>
      <c r="E986" s="15">
        <v>6638.2</v>
      </c>
      <c r="F986" s="15">
        <f t="shared" si="47"/>
        <v>101590</v>
      </c>
      <c r="G986" s="15">
        <v>29498.200000000004</v>
      </c>
      <c r="H986" s="15">
        <f t="shared" si="48"/>
        <v>377134.00000000006</v>
      </c>
      <c r="I986" s="16">
        <f>IFERROR(VLOOKUP($C986,[1]dados_2023!$C$3:$H$357,4,0),"-")</f>
        <v>35208</v>
      </c>
      <c r="J986" s="16">
        <f>IFERROR(VLOOKUP($C986,[1]dados_2023!$C$3:$H$357,6,0),"-")</f>
        <v>82152</v>
      </c>
    </row>
    <row r="987" spans="1:10" ht="18" customHeight="1" x14ac:dyDescent="0.3">
      <c r="A987" s="11">
        <v>26</v>
      </c>
      <c r="B987" s="12" t="s">
        <v>1340</v>
      </c>
      <c r="C987" s="13">
        <v>1135190</v>
      </c>
      <c r="D987" s="14" t="s">
        <v>1341</v>
      </c>
      <c r="E987" s="15">
        <v>9262.4</v>
      </c>
      <c r="F987" s="15">
        <f t="shared" si="47"/>
        <v>130547</v>
      </c>
      <c r="G987" s="15">
        <v>37259.800000000003</v>
      </c>
      <c r="H987" s="15">
        <f t="shared" si="48"/>
        <v>461085</v>
      </c>
      <c r="I987" s="16">
        <f>IFERROR(VLOOKUP($C987,[1]dados_2023!$C$3:$H$357,4,0),"-")</f>
        <v>37923</v>
      </c>
      <c r="J987" s="16">
        <f>IFERROR(VLOOKUP($C987,[1]dados_2023!$C$3:$H$357,6,0),"-")</f>
        <v>88487</v>
      </c>
    </row>
    <row r="988" spans="1:10" ht="18" customHeight="1" x14ac:dyDescent="0.3">
      <c r="A988" s="11">
        <v>26</v>
      </c>
      <c r="B988" s="12" t="s">
        <v>1342</v>
      </c>
      <c r="C988" s="13">
        <v>1144520</v>
      </c>
      <c r="D988" s="14" t="s">
        <v>1343</v>
      </c>
      <c r="E988" s="15">
        <v>5100</v>
      </c>
      <c r="F988" s="15">
        <f t="shared" si="47"/>
        <v>75516</v>
      </c>
      <c r="G988" s="15">
        <v>21828</v>
      </c>
      <c r="H988" s="15">
        <f t="shared" si="48"/>
        <v>275484</v>
      </c>
      <c r="I988" s="16">
        <f>IFERROR(VLOOKUP($C988,[1]dados_2023!$C$3:$H$357,4,0),"-")</f>
        <v>24516</v>
      </c>
      <c r="J988" s="16">
        <f>IFERROR(VLOOKUP($C988,[1]dados_2023!$C$3:$H$357,6,0),"-")</f>
        <v>57204</v>
      </c>
    </row>
    <row r="989" spans="1:10" ht="18" customHeight="1" x14ac:dyDescent="0.3">
      <c r="A989" s="11">
        <v>26</v>
      </c>
      <c r="B989" s="12" t="s">
        <v>1342</v>
      </c>
      <c r="C989" s="13">
        <v>1176072</v>
      </c>
      <c r="D989" s="14" t="s">
        <v>1344</v>
      </c>
      <c r="E989" s="15">
        <v>11610</v>
      </c>
      <c r="F989" s="15">
        <f t="shared" si="47"/>
        <v>157449</v>
      </c>
      <c r="G989" s="15">
        <v>49690.8</v>
      </c>
      <c r="H989" s="15">
        <f t="shared" si="48"/>
        <v>593389</v>
      </c>
      <c r="I989" s="16">
        <f>IFERROR(VLOOKUP($C989,[1]dados_2023!$C$3:$H$357,4,0),"-")</f>
        <v>41349</v>
      </c>
      <c r="J989" s="16">
        <f>IFERROR(VLOOKUP($C989,[1]dados_2023!$C$3:$H$357,6,0),"-")</f>
        <v>96481</v>
      </c>
    </row>
    <row r="990" spans="1:10" ht="18" customHeight="1" x14ac:dyDescent="0.3">
      <c r="A990" s="11">
        <v>26</v>
      </c>
      <c r="B990" s="12" t="s">
        <v>1342</v>
      </c>
      <c r="C990" s="13">
        <v>1100159</v>
      </c>
      <c r="D990" s="14" t="s">
        <v>1345</v>
      </c>
      <c r="E990" s="15">
        <v>11433.8</v>
      </c>
      <c r="F990" s="15">
        <f t="shared" si="47"/>
        <v>177446</v>
      </c>
      <c r="G990" s="15">
        <v>51564.4</v>
      </c>
      <c r="H990" s="15">
        <f t="shared" si="48"/>
        <v>662896</v>
      </c>
      <c r="I990" s="16">
        <f>IFERROR(VLOOKUP($C990,[1]dados_2023!$C$3:$H$357,4,0),"-")</f>
        <v>63108</v>
      </c>
      <c r="J990" s="16">
        <f>IFERROR(VLOOKUP($C990,[1]dados_2023!$C$3:$H$357,6,0),"-")</f>
        <v>147252</v>
      </c>
    </row>
    <row r="991" spans="1:10" ht="18" customHeight="1" x14ac:dyDescent="0.3">
      <c r="A991" s="11">
        <v>26</v>
      </c>
      <c r="B991" s="12" t="s">
        <v>1342</v>
      </c>
      <c r="C991" s="13">
        <v>1100655</v>
      </c>
      <c r="D991" s="14" t="s">
        <v>1346</v>
      </c>
      <c r="E991" s="15">
        <v>8141.2</v>
      </c>
      <c r="F991" s="15">
        <f t="shared" si="47"/>
        <v>127183</v>
      </c>
      <c r="G991" s="15">
        <v>36256</v>
      </c>
      <c r="H991" s="15">
        <f t="shared" si="48"/>
        <v>469359</v>
      </c>
      <c r="I991" s="16">
        <f>IFERROR(VLOOKUP($C991,[1]dados_2023!$C$3:$H$357,4,0),"-")</f>
        <v>45771</v>
      </c>
      <c r="J991" s="16">
        <f>IFERROR(VLOOKUP($C991,[1]dados_2023!$C$3:$H$357,6,0),"-")</f>
        <v>106799</v>
      </c>
    </row>
    <row r="992" spans="1:10" ht="18" customHeight="1" x14ac:dyDescent="0.3">
      <c r="A992" s="11">
        <v>26</v>
      </c>
      <c r="B992" s="12" t="s">
        <v>1342</v>
      </c>
      <c r="C992" s="13">
        <v>1100930</v>
      </c>
      <c r="D992" s="14" t="s">
        <v>1347</v>
      </c>
      <c r="E992" s="15">
        <v>4424</v>
      </c>
      <c r="F992" s="15">
        <f t="shared" si="47"/>
        <v>65072</v>
      </c>
      <c r="G992" s="15">
        <v>19104.800000000003</v>
      </c>
      <c r="H992" s="15">
        <f t="shared" si="48"/>
        <v>239656.00000000003</v>
      </c>
      <c r="I992" s="16">
        <f>IFERROR(VLOOKUP($C992,[1]dados_2023!$C$3:$H$357,4,0),"-")</f>
        <v>20832</v>
      </c>
      <c r="J992" s="16">
        <f>IFERROR(VLOOKUP($C992,[1]dados_2023!$C$3:$H$357,6,0),"-")</f>
        <v>48608</v>
      </c>
    </row>
    <row r="993" spans="1:10" ht="18" customHeight="1" x14ac:dyDescent="0.3">
      <c r="A993" s="11">
        <v>26</v>
      </c>
      <c r="B993" s="12" t="s">
        <v>1342</v>
      </c>
      <c r="C993" s="13">
        <v>1104928</v>
      </c>
      <c r="D993" s="14" t="s">
        <v>811</v>
      </c>
      <c r="E993" s="15">
        <v>4019.6</v>
      </c>
      <c r="F993" s="15">
        <f t="shared" si="47"/>
        <v>54149</v>
      </c>
      <c r="G993" s="15">
        <v>18061.600000000002</v>
      </c>
      <c r="H993" s="15">
        <f t="shared" si="48"/>
        <v>213173.00000000003</v>
      </c>
      <c r="I993" s="16">
        <f>IFERROR(VLOOKUP($C993,[1]dados_2023!$C$3:$H$357,4,0),"-")</f>
        <v>13953</v>
      </c>
      <c r="J993" s="16">
        <f>IFERROR(VLOOKUP($C993,[1]dados_2023!$C$3:$H$357,6,0),"-")</f>
        <v>32557</v>
      </c>
    </row>
    <row r="994" spans="1:10" ht="18" customHeight="1" x14ac:dyDescent="0.3">
      <c r="A994" s="11">
        <v>26</v>
      </c>
      <c r="B994" s="12" t="s">
        <v>1342</v>
      </c>
      <c r="C994" s="13">
        <v>1177009</v>
      </c>
      <c r="D994" s="14" t="s">
        <v>1348</v>
      </c>
      <c r="E994" s="15">
        <v>8310.7999999999993</v>
      </c>
      <c r="F994" s="15">
        <f t="shared" si="47"/>
        <v>121094</v>
      </c>
      <c r="G994" s="15">
        <v>38070.400000000009</v>
      </c>
      <c r="H994" s="15">
        <f t="shared" si="48"/>
        <v>469338.00000000012</v>
      </c>
      <c r="I994" s="16">
        <f>IFERROR(VLOOKUP($C994,[1]dados_2023!$C$3:$H$357,4,0),"-")</f>
        <v>37986</v>
      </c>
      <c r="J994" s="16">
        <f>IFERROR(VLOOKUP($C994,[1]dados_2023!$C$3:$H$357,6,0),"-")</f>
        <v>88634</v>
      </c>
    </row>
    <row r="995" spans="1:10" ht="18" customHeight="1" x14ac:dyDescent="0.3">
      <c r="A995" s="11">
        <v>26</v>
      </c>
      <c r="B995" s="12" t="s">
        <v>1342</v>
      </c>
      <c r="C995" s="13">
        <v>1104723</v>
      </c>
      <c r="D995" s="14" t="s">
        <v>1349</v>
      </c>
      <c r="E995" s="15">
        <v>8098.4</v>
      </c>
      <c r="F995" s="15">
        <f t="shared" si="47"/>
        <v>115853</v>
      </c>
      <c r="G995" s="15">
        <v>36038.800000000003</v>
      </c>
      <c r="H995" s="15">
        <f t="shared" si="48"/>
        <v>441749</v>
      </c>
      <c r="I995" s="16">
        <f>IFERROR(VLOOKUP($C995,[1]dados_2023!$C$3:$H$357,4,0),"-")</f>
        <v>34869</v>
      </c>
      <c r="J995" s="16">
        <f>IFERROR(VLOOKUP($C995,[1]dados_2023!$C$3:$H$357,6,0),"-")</f>
        <v>81361</v>
      </c>
    </row>
    <row r="996" spans="1:10" ht="18" customHeight="1" x14ac:dyDescent="0.3">
      <c r="A996" s="11">
        <v>26</v>
      </c>
      <c r="B996" s="12" t="s">
        <v>1342</v>
      </c>
      <c r="C996" s="13">
        <v>1103395</v>
      </c>
      <c r="D996" s="14" t="s">
        <v>1350</v>
      </c>
      <c r="E996" s="15">
        <v>6172.4</v>
      </c>
      <c r="F996" s="15">
        <f t="shared" si="47"/>
        <v>94697</v>
      </c>
      <c r="G996" s="15">
        <v>27540.400000000001</v>
      </c>
      <c r="H996" s="15">
        <f t="shared" si="48"/>
        <v>352341</v>
      </c>
      <c r="I996" s="16">
        <f>IFERROR(VLOOKUP($C996,[1]dados_2023!$C$3:$H$357,4,0),"-")</f>
        <v>32973</v>
      </c>
      <c r="J996" s="16">
        <f>IFERROR(VLOOKUP($C996,[1]dados_2023!$C$3:$H$357,6,0),"-")</f>
        <v>76937</v>
      </c>
    </row>
    <row r="997" spans="1:10" ht="18" customHeight="1" x14ac:dyDescent="0.3">
      <c r="A997" s="11">
        <v>26</v>
      </c>
      <c r="B997" s="12" t="s">
        <v>1342</v>
      </c>
      <c r="C997" s="13">
        <v>1103000</v>
      </c>
      <c r="D997" s="14" t="s">
        <v>1351</v>
      </c>
      <c r="E997" s="15">
        <v>12244.8</v>
      </c>
      <c r="F997" s="15">
        <f t="shared" si="47"/>
        <v>183099</v>
      </c>
      <c r="G997" s="15">
        <v>52952</v>
      </c>
      <c r="H997" s="15">
        <f t="shared" si="48"/>
        <v>671039</v>
      </c>
      <c r="I997" s="16">
        <f>IFERROR(VLOOKUP($C997,[1]dados_2023!$C$3:$H$357,4,0),"-")</f>
        <v>60651</v>
      </c>
      <c r="J997" s="16">
        <f>IFERROR(VLOOKUP($C997,[1]dados_2023!$C$3:$H$357,6,0),"-")</f>
        <v>141519</v>
      </c>
    </row>
    <row r="998" spans="1:10" ht="18" customHeight="1" x14ac:dyDescent="0.3">
      <c r="A998" s="32">
        <v>26</v>
      </c>
      <c r="B998" s="33" t="s">
        <v>1352</v>
      </c>
      <c r="C998" s="34">
        <v>1178430</v>
      </c>
      <c r="D998" s="14" t="s">
        <v>1353</v>
      </c>
      <c r="E998" s="15">
        <v>3740</v>
      </c>
      <c r="F998" s="15">
        <f t="shared" si="47"/>
        <v>54599</v>
      </c>
      <c r="G998" s="15">
        <v>16007.2</v>
      </c>
      <c r="H998" s="15">
        <f t="shared" si="48"/>
        <v>200203</v>
      </c>
      <c r="I998" s="16">
        <f>IFERROR(VLOOKUP($C998,[1]dados_2023!$C$3:$H$357,4,0),"-")</f>
        <v>17199</v>
      </c>
      <c r="J998" s="16">
        <f>IFERROR(VLOOKUP($C998,[1]dados_2023!$C$3:$H$357,6,0),"-")</f>
        <v>40131</v>
      </c>
    </row>
    <row r="999" spans="1:10" ht="18" customHeight="1" x14ac:dyDescent="0.3">
      <c r="A999" s="11">
        <v>26</v>
      </c>
      <c r="B999" s="12" t="s">
        <v>1352</v>
      </c>
      <c r="C999" s="13">
        <v>1102402</v>
      </c>
      <c r="D999" s="14" t="s">
        <v>1354</v>
      </c>
      <c r="E999" s="15">
        <v>15441.8</v>
      </c>
      <c r="F999" s="15">
        <f t="shared" si="47"/>
        <v>243011</v>
      </c>
      <c r="G999" s="15">
        <v>61457</v>
      </c>
      <c r="H999" s="15">
        <f t="shared" si="48"/>
        <v>821287</v>
      </c>
      <c r="I999" s="16">
        <f>IFERROR(VLOOKUP($C999,[1]dados_2023!$C$3:$H$357,4,0),"-")</f>
        <v>88593</v>
      </c>
      <c r="J999" s="16">
        <f>IFERROR(VLOOKUP($C999,[1]dados_2023!$C$3:$H$357,6,0),"-")</f>
        <v>206717</v>
      </c>
    </row>
    <row r="1000" spans="1:10" ht="18" customHeight="1" x14ac:dyDescent="0.3">
      <c r="A1000" s="11">
        <v>26</v>
      </c>
      <c r="B1000" s="12" t="s">
        <v>1352</v>
      </c>
      <c r="C1000" s="13">
        <v>1102410</v>
      </c>
      <c r="D1000" s="14" t="s">
        <v>1355</v>
      </c>
      <c r="E1000" s="15">
        <v>1874.2</v>
      </c>
      <c r="F1000" s="15">
        <f t="shared" si="47"/>
        <v>31294</v>
      </c>
      <c r="G1000" s="15">
        <v>8285.2000000000007</v>
      </c>
      <c r="H1000" s="15">
        <f t="shared" si="48"/>
        <v>112140</v>
      </c>
      <c r="I1000" s="16">
        <f>IFERROR(VLOOKUP($C1000,[1]dados_2023!$C$3:$H$357,4,0),"-")</f>
        <v>12552</v>
      </c>
      <c r="J1000" s="16">
        <f>IFERROR(VLOOKUP($C1000,[1]dados_2023!$C$3:$H$357,6,0),"-")</f>
        <v>29288</v>
      </c>
    </row>
    <row r="1001" spans="1:10" ht="18" customHeight="1" x14ac:dyDescent="0.3">
      <c r="A1001" s="11">
        <v>26</v>
      </c>
      <c r="B1001" s="12" t="s">
        <v>1134</v>
      </c>
      <c r="C1001" s="13">
        <v>1178400</v>
      </c>
      <c r="D1001" s="14" t="s">
        <v>1356</v>
      </c>
      <c r="E1001" s="15">
        <v>39233.199999999997</v>
      </c>
      <c r="F1001" s="15">
        <f t="shared" si="47"/>
        <v>480901</v>
      </c>
      <c r="G1001" s="15">
        <v>96495.6</v>
      </c>
      <c r="H1001" s="15">
        <f t="shared" si="48"/>
        <v>1171617</v>
      </c>
      <c r="I1001" s="16">
        <f>IFERROR(VLOOKUP($C1001,[1]dados_2023!$C$3:$H$357,4,0),"-")</f>
        <v>88569</v>
      </c>
      <c r="J1001" s="16">
        <f>IFERROR(VLOOKUP($C1001,[1]dados_2023!$C$3:$H$357,6,0),"-")</f>
        <v>206661</v>
      </c>
    </row>
    <row r="1002" spans="1:10" ht="18" customHeight="1" x14ac:dyDescent="0.3">
      <c r="A1002" s="11">
        <v>26</v>
      </c>
      <c r="B1002" s="12" t="s">
        <v>1154</v>
      </c>
      <c r="C1002" s="13">
        <v>1102470</v>
      </c>
      <c r="D1002" s="14" t="s">
        <v>1357</v>
      </c>
      <c r="E1002" s="15">
        <v>17742.800000000003</v>
      </c>
      <c r="F1002" s="15">
        <f t="shared" si="47"/>
        <v>225347.00000000003</v>
      </c>
      <c r="G1002" s="15">
        <v>43479.600000000006</v>
      </c>
      <c r="H1002" s="15">
        <f t="shared" si="48"/>
        <v>546607</v>
      </c>
      <c r="I1002" s="16">
        <f>IFERROR(VLOOKUP($C1002,[1]dados_2023!$C$3:$H$357,4,0),"-")</f>
        <v>47919</v>
      </c>
      <c r="J1002" s="16">
        <f>IFERROR(VLOOKUP($C1002,[1]dados_2023!$C$3:$H$357,6,0),"-")</f>
        <v>111811</v>
      </c>
    </row>
    <row r="1003" spans="1:10" ht="18" customHeight="1" x14ac:dyDescent="0.3">
      <c r="A1003" s="11">
        <v>26</v>
      </c>
      <c r="B1003" s="12" t="s">
        <v>1168</v>
      </c>
      <c r="C1003" s="13">
        <v>1176205</v>
      </c>
      <c r="D1003" s="14" t="s">
        <v>1004</v>
      </c>
      <c r="E1003" s="15">
        <v>8410.8000000000011</v>
      </c>
      <c r="F1003" s="15">
        <f t="shared" si="47"/>
        <v>109905.00000000001</v>
      </c>
      <c r="G1003" s="15">
        <v>18190.800000000003</v>
      </c>
      <c r="H1003" s="15">
        <f t="shared" si="48"/>
        <v>242101.00000000003</v>
      </c>
      <c r="I1003" s="16">
        <f>IFERROR(VLOOKUP($C1003,[1]dados_2023!$C$3:$H$357,4,0),"-")</f>
        <v>25797</v>
      </c>
      <c r="J1003" s="16">
        <f>IFERROR(VLOOKUP($C1003,[1]dados_2023!$C$3:$H$357,6,0),"-")</f>
        <v>60193</v>
      </c>
    </row>
    <row r="1004" spans="1:10" ht="18" customHeight="1" x14ac:dyDescent="0.3">
      <c r="A1004" s="11">
        <v>26</v>
      </c>
      <c r="B1004" s="12" t="s">
        <v>1168</v>
      </c>
      <c r="C1004" s="13">
        <v>1136498</v>
      </c>
      <c r="D1004" s="14" t="s">
        <v>1358</v>
      </c>
      <c r="E1004" s="15">
        <v>8840.8000000000011</v>
      </c>
      <c r="F1004" s="15">
        <f t="shared" si="47"/>
        <v>117793.00000000001</v>
      </c>
      <c r="G1004" s="15">
        <v>19120.800000000003</v>
      </c>
      <c r="H1004" s="15">
        <f t="shared" si="48"/>
        <v>259773.00000000003</v>
      </c>
      <c r="I1004" s="16">
        <f>IFERROR(VLOOKUP($C1004,[1]dados_2023!$C$3:$H$357,4,0),"-")</f>
        <v>29385</v>
      </c>
      <c r="J1004" s="16">
        <f>IFERROR(VLOOKUP($C1004,[1]dados_2023!$C$3:$H$357,6,0),"-")</f>
        <v>68565</v>
      </c>
    </row>
    <row r="1005" spans="1:10" ht="18" customHeight="1" x14ac:dyDescent="0.3">
      <c r="A1005" s="11">
        <v>26</v>
      </c>
      <c r="B1005" s="12" t="s">
        <v>1168</v>
      </c>
      <c r="C1005" s="13">
        <v>1103786</v>
      </c>
      <c r="D1005" s="14" t="s">
        <v>1359</v>
      </c>
      <c r="E1005" s="15">
        <v>28861.599999999999</v>
      </c>
      <c r="F1005" s="15">
        <f t="shared" si="47"/>
        <v>393466</v>
      </c>
      <c r="G1005" s="15">
        <v>62421.600000000006</v>
      </c>
      <c r="H1005" s="15">
        <f t="shared" si="48"/>
        <v>868866</v>
      </c>
      <c r="I1005" s="16">
        <f>IFERROR(VLOOKUP($C1005,[1]dados_2023!$C$3:$H$357,4,0),"-")</f>
        <v>104850</v>
      </c>
      <c r="J1005" s="16">
        <f>IFERROR(VLOOKUP($C1005,[1]dados_2023!$C$3:$H$357,6,0),"-")</f>
        <v>244650</v>
      </c>
    </row>
    <row r="1006" spans="1:10" ht="18" customHeight="1" x14ac:dyDescent="0.3">
      <c r="A1006" s="11">
        <v>26</v>
      </c>
      <c r="B1006" s="12" t="s">
        <v>1168</v>
      </c>
      <c r="C1006" s="13">
        <v>1141939</v>
      </c>
      <c r="D1006" s="14" t="s">
        <v>1360</v>
      </c>
      <c r="E1006" s="15">
        <v>20158.399999999998</v>
      </c>
      <c r="F1006" s="15">
        <f t="shared" si="47"/>
        <v>259843.99999999997</v>
      </c>
      <c r="G1006" s="15">
        <v>43598.400000000001</v>
      </c>
      <c r="H1006" s="15">
        <f t="shared" si="48"/>
        <v>571924</v>
      </c>
      <c r="I1006" s="16">
        <f>IFERROR(VLOOKUP($C1006,[1]dados_2023!$C$3:$H$357,4,0),"-")</f>
        <v>58260</v>
      </c>
      <c r="J1006" s="16">
        <f>IFERROR(VLOOKUP($C1006,[1]dados_2023!$C$3:$H$357,6,0),"-")</f>
        <v>135940</v>
      </c>
    </row>
    <row r="1007" spans="1:10" ht="18" customHeight="1" x14ac:dyDescent="0.3">
      <c r="A1007" s="11">
        <v>26</v>
      </c>
      <c r="B1007" s="12" t="s">
        <v>1168</v>
      </c>
      <c r="C1007" s="13">
        <v>1175280</v>
      </c>
      <c r="D1007" s="14" t="s">
        <v>1361</v>
      </c>
      <c r="E1007" s="15">
        <v>16434</v>
      </c>
      <c r="F1007" s="15">
        <f t="shared" si="47"/>
        <v>212598</v>
      </c>
      <c r="G1007" s="15">
        <v>36471.600000000006</v>
      </c>
      <c r="H1007" s="15">
        <f t="shared" si="48"/>
        <v>477318.00000000006</v>
      </c>
      <c r="I1007" s="16">
        <f>IFERROR(VLOOKUP($C1007,[1]dados_2023!$C$3:$H$357,4,0),"-")</f>
        <v>48258</v>
      </c>
      <c r="J1007" s="16">
        <f>IFERROR(VLOOKUP($C1007,[1]dados_2023!$C$3:$H$357,6,0),"-")</f>
        <v>112602</v>
      </c>
    </row>
    <row r="1008" spans="1:10" ht="18" customHeight="1" x14ac:dyDescent="0.3">
      <c r="A1008" s="11">
        <v>26</v>
      </c>
      <c r="B1008" s="12" t="s">
        <v>1168</v>
      </c>
      <c r="C1008" s="13">
        <v>1100701</v>
      </c>
      <c r="D1008" s="14" t="s">
        <v>1362</v>
      </c>
      <c r="E1008" s="15">
        <v>7702.4</v>
      </c>
      <c r="F1008" s="15">
        <f t="shared" si="47"/>
        <v>85040</v>
      </c>
      <c r="G1008" s="15">
        <v>19946.400000000001</v>
      </c>
      <c r="H1008" s="15">
        <f t="shared" si="48"/>
        <v>218168</v>
      </c>
      <c r="I1008" s="16">
        <f>IFERROR(VLOOKUP($C1008,[1]dados_2023!$C$3:$H$357,4,0),"-")</f>
        <v>8016</v>
      </c>
      <c r="J1008" s="16">
        <f>IFERROR(VLOOKUP($C1008,[1]dados_2023!$C$3:$H$357,6,0),"-")</f>
        <v>18704</v>
      </c>
    </row>
    <row r="1009" spans="1:10" ht="20.399999999999999" customHeight="1" x14ac:dyDescent="0.3">
      <c r="A1009" s="11">
        <v>26</v>
      </c>
      <c r="B1009" s="12" t="s">
        <v>1168</v>
      </c>
      <c r="C1009" s="13">
        <v>1104111</v>
      </c>
      <c r="D1009" s="14" t="s">
        <v>1268</v>
      </c>
      <c r="E1009" s="15">
        <v>10664</v>
      </c>
      <c r="F1009" s="15">
        <f t="shared" si="47"/>
        <v>137747</v>
      </c>
      <c r="G1009" s="15">
        <v>23064</v>
      </c>
      <c r="H1009" s="15">
        <f t="shared" si="48"/>
        <v>303223</v>
      </c>
      <c r="I1009" s="16">
        <f>IFERROR(VLOOKUP($C1009,[1]dados_2023!$C$3:$H$357,4,0),"-")</f>
        <v>31107</v>
      </c>
      <c r="J1009" s="16">
        <f>IFERROR(VLOOKUP($C1009,[1]dados_2023!$C$3:$H$357,6,0),"-")</f>
        <v>72583</v>
      </c>
    </row>
    <row r="1010" spans="1:10" ht="18" customHeight="1" x14ac:dyDescent="0.3">
      <c r="A1010" s="11">
        <v>26</v>
      </c>
      <c r="B1010" s="12" t="s">
        <v>1168</v>
      </c>
      <c r="C1010" s="13">
        <v>1101120</v>
      </c>
      <c r="D1010" s="14" t="s">
        <v>1363</v>
      </c>
      <c r="E1010" s="15">
        <v>10492</v>
      </c>
      <c r="F1010" s="15">
        <f t="shared" si="47"/>
        <v>147103</v>
      </c>
      <c r="G1010" s="15">
        <v>22692</v>
      </c>
      <c r="H1010" s="15">
        <f t="shared" si="48"/>
        <v>325347</v>
      </c>
      <c r="I1010" s="16">
        <f>IFERROR(VLOOKUP($C1010,[1]dados_2023!$C$3:$H$357,4,0),"-")</f>
        <v>42183</v>
      </c>
      <c r="J1010" s="16">
        <f>IFERROR(VLOOKUP($C1010,[1]dados_2023!$C$3:$H$357,6,0),"-")</f>
        <v>98427</v>
      </c>
    </row>
    <row r="1011" spans="1:10" ht="18" customHeight="1" x14ac:dyDescent="0.3">
      <c r="A1011" s="11">
        <v>26</v>
      </c>
      <c r="B1011" s="12" t="s">
        <v>1168</v>
      </c>
      <c r="C1011" s="13">
        <v>1176071</v>
      </c>
      <c r="D1011" s="14" t="s">
        <v>1364</v>
      </c>
      <c r="E1011" s="15">
        <v>16374.399999999998</v>
      </c>
      <c r="F1011" s="15">
        <f t="shared" si="47"/>
        <v>208035.99999999997</v>
      </c>
      <c r="G1011" s="15">
        <v>35414.400000000001</v>
      </c>
      <c r="H1011" s="15">
        <f t="shared" si="48"/>
        <v>457492</v>
      </c>
      <c r="I1011" s="16">
        <f>IFERROR(VLOOKUP($C1011,[1]dados_2023!$C$3:$H$357,4,0),"-")</f>
        <v>44292</v>
      </c>
      <c r="J1011" s="16">
        <f>IFERROR(VLOOKUP($C1011,[1]dados_2023!$C$3:$H$357,6,0),"-")</f>
        <v>103348</v>
      </c>
    </row>
    <row r="1012" spans="1:10" ht="18" customHeight="1" x14ac:dyDescent="0.3">
      <c r="A1012" s="11">
        <v>26</v>
      </c>
      <c r="B1012" s="12" t="s">
        <v>1168</v>
      </c>
      <c r="C1012" s="13">
        <v>1103417</v>
      </c>
      <c r="D1012" s="14" t="s">
        <v>1365</v>
      </c>
      <c r="E1012" s="15">
        <v>15445.6</v>
      </c>
      <c r="F1012" s="15">
        <f t="shared" si="47"/>
        <v>196918</v>
      </c>
      <c r="G1012" s="15">
        <v>33405.599999999999</v>
      </c>
      <c r="H1012" s="15">
        <f t="shared" si="48"/>
        <v>433134</v>
      </c>
      <c r="I1012" s="16">
        <f>IFERROR(VLOOKUP($C1012,[1]dados_2023!$C$3:$H$357,4,0),"-")</f>
        <v>42462</v>
      </c>
      <c r="J1012" s="16">
        <f>IFERROR(VLOOKUP($C1012,[1]dados_2023!$C$3:$H$357,6,0),"-")</f>
        <v>99078</v>
      </c>
    </row>
    <row r="1013" spans="1:10" ht="18" customHeight="1" x14ac:dyDescent="0.3">
      <c r="A1013" s="11">
        <v>26</v>
      </c>
      <c r="B1013" s="12" t="s">
        <v>1168</v>
      </c>
      <c r="C1013" s="13">
        <v>1103492</v>
      </c>
      <c r="D1013" s="14" t="s">
        <v>1366</v>
      </c>
      <c r="E1013" s="15">
        <v>12659.2</v>
      </c>
      <c r="F1013" s="15">
        <f t="shared" si="47"/>
        <v>164047</v>
      </c>
      <c r="G1013" s="15">
        <v>27379.200000000001</v>
      </c>
      <c r="H1013" s="15">
        <f t="shared" si="48"/>
        <v>361187</v>
      </c>
      <c r="I1013" s="16">
        <f>IFERROR(VLOOKUP($C1013,[1]dados_2023!$C$3:$H$357,4,0),"-")</f>
        <v>37455</v>
      </c>
      <c r="J1013" s="16">
        <f>IFERROR(VLOOKUP($C1013,[1]dados_2023!$C$3:$H$357,6,0),"-")</f>
        <v>87395</v>
      </c>
    </row>
    <row r="1014" spans="1:10" ht="18" customHeight="1" x14ac:dyDescent="0.3">
      <c r="A1014" s="11">
        <v>26</v>
      </c>
      <c r="B1014" s="12" t="s">
        <v>1168</v>
      </c>
      <c r="C1014" s="13">
        <v>1176420</v>
      </c>
      <c r="D1014" s="14" t="s">
        <v>1367</v>
      </c>
      <c r="E1014" s="23">
        <v>4025.6</v>
      </c>
      <c r="F1014" s="15">
        <f t="shared" ref="F1014:F1035" si="49">E1014*10</f>
        <v>40256</v>
      </c>
      <c r="G1014" s="23">
        <v>11662.4</v>
      </c>
      <c r="H1014" s="15">
        <f t="shared" ref="H1014:H1035" si="50">G1014*10</f>
        <v>116624</v>
      </c>
      <c r="I1014" s="16" t="str">
        <f>IFERROR(VLOOKUP($C1014,[1]dados_2023!$C$3:$H$357,4,0),"-")</f>
        <v>-</v>
      </c>
      <c r="J1014" s="16" t="str">
        <f>IFERROR(VLOOKUP($C1014,[1]dados_2023!$C$3:$H$357,6,0),"-")</f>
        <v>-</v>
      </c>
    </row>
    <row r="1015" spans="1:10" ht="18" customHeight="1" x14ac:dyDescent="0.3">
      <c r="A1015" s="11">
        <v>26</v>
      </c>
      <c r="B1015" s="12" t="s">
        <v>1168</v>
      </c>
      <c r="C1015" s="13">
        <v>1174500</v>
      </c>
      <c r="D1015" s="14" t="s">
        <v>1368</v>
      </c>
      <c r="E1015" s="23">
        <v>9751.2000000000007</v>
      </c>
      <c r="F1015" s="15">
        <f t="shared" si="49"/>
        <v>97512</v>
      </c>
      <c r="G1015" s="23">
        <v>28249.8</v>
      </c>
      <c r="H1015" s="15">
        <f t="shared" si="50"/>
        <v>282498</v>
      </c>
      <c r="I1015" s="16" t="str">
        <f>IFERROR(VLOOKUP($C1015,[1]dados_2023!$C$3:$H$357,4,0),"-")</f>
        <v>-</v>
      </c>
      <c r="J1015" s="16" t="str">
        <f>IFERROR(VLOOKUP($C1015,[1]dados_2023!$C$3:$H$357,6,0),"-")</f>
        <v>-</v>
      </c>
    </row>
    <row r="1016" spans="1:10" ht="18" customHeight="1" x14ac:dyDescent="0.3">
      <c r="A1016" s="11">
        <v>26</v>
      </c>
      <c r="B1016" s="12" t="s">
        <v>1168</v>
      </c>
      <c r="C1016" s="13">
        <v>1103441</v>
      </c>
      <c r="D1016" s="14" t="s">
        <v>1369</v>
      </c>
      <c r="E1016" s="23">
        <v>6079.2000000000007</v>
      </c>
      <c r="F1016" s="15">
        <f t="shared" si="49"/>
        <v>60792.000000000007</v>
      </c>
      <c r="G1016" s="23">
        <v>17611.8</v>
      </c>
      <c r="H1016" s="15">
        <f t="shared" si="50"/>
        <v>176118</v>
      </c>
      <c r="I1016" s="16" t="str">
        <f>IFERROR(VLOOKUP($C1016,[1]dados_2023!$C$3:$H$357,4,0),"-")</f>
        <v>-</v>
      </c>
      <c r="J1016" s="16" t="str">
        <f>IFERROR(VLOOKUP($C1016,[1]dados_2023!$C$3:$H$357,6,0),"-")</f>
        <v>-</v>
      </c>
    </row>
    <row r="1017" spans="1:10" ht="18" customHeight="1" x14ac:dyDescent="0.3">
      <c r="A1017" s="11">
        <v>26</v>
      </c>
      <c r="B1017" s="12" t="s">
        <v>1168</v>
      </c>
      <c r="C1017" s="13">
        <v>1104049</v>
      </c>
      <c r="D1017" s="14" t="s">
        <v>1370</v>
      </c>
      <c r="E1017" s="23">
        <v>5589.6</v>
      </c>
      <c r="F1017" s="15">
        <f t="shared" si="49"/>
        <v>55896</v>
      </c>
      <c r="G1017" s="23">
        <v>16193.4</v>
      </c>
      <c r="H1017" s="15">
        <f t="shared" si="50"/>
        <v>161934</v>
      </c>
      <c r="I1017" s="16" t="str">
        <f>IFERROR(VLOOKUP($C1017,[1]dados_2023!$C$3:$H$357,4,0),"-")</f>
        <v>-</v>
      </c>
      <c r="J1017" s="16" t="str">
        <f>IFERROR(VLOOKUP($C1017,[1]dados_2023!$C$3:$H$357,6,0),"-")</f>
        <v>-</v>
      </c>
    </row>
    <row r="1018" spans="1:10" ht="18" customHeight="1" x14ac:dyDescent="0.3">
      <c r="A1018" s="11">
        <v>26</v>
      </c>
      <c r="B1018" s="12" t="s">
        <v>1168</v>
      </c>
      <c r="C1018" s="13">
        <v>1104340</v>
      </c>
      <c r="D1018" s="14" t="s">
        <v>1371</v>
      </c>
      <c r="E1018" s="23">
        <v>5181.6000000000004</v>
      </c>
      <c r="F1018" s="15">
        <f>E1018*10+I1018</f>
        <v>103101</v>
      </c>
      <c r="G1018" s="23">
        <v>15011.399999999998</v>
      </c>
      <c r="H1018" s="15">
        <f>G1018*10+J1018</f>
        <v>269779</v>
      </c>
      <c r="I1018" s="16">
        <f>IFERROR(VLOOKUP($C1018,[1]dados_2023!$C$3:$H$357,4,0),"-")</f>
        <v>51285</v>
      </c>
      <c r="J1018" s="16">
        <f>IFERROR(VLOOKUP($C1018,[1]dados_2023!$C$3:$H$357,6,0),"-")</f>
        <v>119665</v>
      </c>
    </row>
    <row r="1019" spans="1:10" ht="18" customHeight="1" x14ac:dyDescent="0.3">
      <c r="A1019" s="11">
        <v>27</v>
      </c>
      <c r="B1019" s="12" t="s">
        <v>1372</v>
      </c>
      <c r="C1019" s="13">
        <v>1112998</v>
      </c>
      <c r="D1019" s="14" t="s">
        <v>1373</v>
      </c>
      <c r="E1019" s="15">
        <v>6934.7999999999993</v>
      </c>
      <c r="F1019" s="15">
        <f t="shared" si="49"/>
        <v>69348</v>
      </c>
      <c r="G1019" s="15">
        <v>31926.000000000004</v>
      </c>
      <c r="H1019" s="15">
        <f t="shared" si="50"/>
        <v>319260.00000000006</v>
      </c>
      <c r="I1019" s="16" t="str">
        <f>IFERROR(VLOOKUP($C1019,[1]dados_2023!$C$3:$H$357,4,0),"-")</f>
        <v>-</v>
      </c>
      <c r="J1019" s="16" t="str">
        <f>IFERROR(VLOOKUP($C1019,[1]dados_2023!$C$3:$H$357,6,0),"-")</f>
        <v>-</v>
      </c>
    </row>
    <row r="1020" spans="1:10" ht="18" customHeight="1" x14ac:dyDescent="0.3">
      <c r="A1020" s="11">
        <v>27</v>
      </c>
      <c r="B1020" s="12" t="s">
        <v>1374</v>
      </c>
      <c r="C1020" s="13">
        <v>1178012</v>
      </c>
      <c r="D1020" s="14" t="s">
        <v>1375</v>
      </c>
      <c r="E1020" s="15">
        <v>10510</v>
      </c>
      <c r="F1020" s="15">
        <f t="shared" si="49"/>
        <v>105100</v>
      </c>
      <c r="G1020" s="15">
        <v>44982.8</v>
      </c>
      <c r="H1020" s="15">
        <f t="shared" si="50"/>
        <v>449828</v>
      </c>
      <c r="I1020" s="16" t="str">
        <f>IFERROR(VLOOKUP($C1020,[1]dados_2023!$C$3:$H$357,4,0),"-")</f>
        <v>-</v>
      </c>
      <c r="J1020" s="16" t="str">
        <f>IFERROR(VLOOKUP($C1020,[1]dados_2023!$C$3:$H$357,6,0),"-")</f>
        <v>-</v>
      </c>
    </row>
    <row r="1021" spans="1:10" ht="18" customHeight="1" x14ac:dyDescent="0.3">
      <c r="A1021" s="11">
        <v>27</v>
      </c>
      <c r="B1021" s="12" t="s">
        <v>1374</v>
      </c>
      <c r="C1021" s="13">
        <v>1146264</v>
      </c>
      <c r="D1021" s="14" t="s">
        <v>1376</v>
      </c>
      <c r="E1021" s="15">
        <v>8089.6</v>
      </c>
      <c r="F1021" s="15">
        <f t="shared" si="49"/>
        <v>80896</v>
      </c>
      <c r="G1021" s="15">
        <v>37838.000000000007</v>
      </c>
      <c r="H1021" s="15">
        <f t="shared" si="50"/>
        <v>378380.00000000006</v>
      </c>
      <c r="I1021" s="16" t="str">
        <f>IFERROR(VLOOKUP($C1021,[1]dados_2023!$C$3:$H$357,4,0),"-")</f>
        <v>-</v>
      </c>
      <c r="J1021" s="16" t="str">
        <f>IFERROR(VLOOKUP($C1021,[1]dados_2023!$C$3:$H$357,6,0),"-")</f>
        <v>-</v>
      </c>
    </row>
    <row r="1022" spans="1:10" ht="18" customHeight="1" x14ac:dyDescent="0.3">
      <c r="A1022" s="11">
        <v>27</v>
      </c>
      <c r="B1022" s="12" t="s">
        <v>1374</v>
      </c>
      <c r="C1022" s="13">
        <v>1146183</v>
      </c>
      <c r="D1022" s="14" t="s">
        <v>1377</v>
      </c>
      <c r="E1022" s="35">
        <v>9096.2000000000007</v>
      </c>
      <c r="F1022" s="15">
        <f t="shared" si="49"/>
        <v>90962</v>
      </c>
      <c r="G1022" s="15">
        <v>31444.799999999999</v>
      </c>
      <c r="H1022" s="15">
        <f t="shared" si="50"/>
        <v>314448</v>
      </c>
      <c r="I1022" s="16" t="str">
        <f>IFERROR(VLOOKUP($C1022,[1]dados_2023!$C$3:$H$357,4,0),"-")</f>
        <v>-</v>
      </c>
      <c r="J1022" s="16" t="str">
        <f>IFERROR(VLOOKUP($C1022,[1]dados_2023!$C$3:$H$357,6,0),"-")</f>
        <v>-</v>
      </c>
    </row>
    <row r="1023" spans="1:10" ht="19.2" customHeight="1" x14ac:dyDescent="0.3">
      <c r="A1023" s="11">
        <v>27</v>
      </c>
      <c r="B1023" s="12" t="s">
        <v>1374</v>
      </c>
      <c r="C1023" s="13">
        <v>1146167</v>
      </c>
      <c r="D1023" s="14" t="s">
        <v>1378</v>
      </c>
      <c r="E1023" s="15">
        <v>24469.200000000001</v>
      </c>
      <c r="F1023" s="15">
        <f t="shared" si="49"/>
        <v>244692</v>
      </c>
      <c r="G1023" s="15">
        <v>80030.2</v>
      </c>
      <c r="H1023" s="15">
        <f t="shared" si="50"/>
        <v>800302</v>
      </c>
      <c r="I1023" s="16" t="str">
        <f>IFERROR(VLOOKUP($C1023,[1]dados_2023!$C$3:$H$357,4,0),"-")</f>
        <v>-</v>
      </c>
      <c r="J1023" s="16" t="str">
        <f>IFERROR(VLOOKUP($C1023,[1]dados_2023!$C$3:$H$357,6,0),"-")</f>
        <v>-</v>
      </c>
    </row>
    <row r="1024" spans="1:10" ht="22.95" customHeight="1" x14ac:dyDescent="0.3">
      <c r="A1024" s="11">
        <v>27</v>
      </c>
      <c r="B1024" s="12" t="s">
        <v>1379</v>
      </c>
      <c r="C1024" s="13">
        <v>1112890</v>
      </c>
      <c r="D1024" s="14" t="s">
        <v>1380</v>
      </c>
      <c r="E1024" s="15">
        <v>6290</v>
      </c>
      <c r="F1024" s="15">
        <f t="shared" si="49"/>
        <v>62900</v>
      </c>
      <c r="G1024" s="15">
        <v>29047.200000000001</v>
      </c>
      <c r="H1024" s="15">
        <f t="shared" si="50"/>
        <v>290472</v>
      </c>
      <c r="I1024" s="16" t="str">
        <f>IFERROR(VLOOKUP($C1024,[1]dados_2023!$C$3:$H$357,4,0),"-")</f>
        <v>-</v>
      </c>
      <c r="J1024" s="16" t="str">
        <f>IFERROR(VLOOKUP($C1024,[1]dados_2023!$C$3:$H$357,6,0),"-")</f>
        <v>-</v>
      </c>
    </row>
    <row r="1025" spans="1:10" ht="22.95" customHeight="1" x14ac:dyDescent="0.3">
      <c r="A1025" s="11">
        <v>27</v>
      </c>
      <c r="B1025" s="12" t="s">
        <v>1381</v>
      </c>
      <c r="C1025" s="13">
        <v>1170181</v>
      </c>
      <c r="D1025" s="14" t="s">
        <v>1049</v>
      </c>
      <c r="E1025" s="15">
        <v>9777.4</v>
      </c>
      <c r="F1025" s="15">
        <f t="shared" si="49"/>
        <v>97774</v>
      </c>
      <c r="G1025" s="15">
        <v>44883.200000000004</v>
      </c>
      <c r="H1025" s="15">
        <f t="shared" si="50"/>
        <v>448832.00000000006</v>
      </c>
      <c r="I1025" s="16" t="str">
        <f>IFERROR(VLOOKUP($C1025,[1]dados_2023!$C$3:$H$357,4,0),"-")</f>
        <v>-</v>
      </c>
      <c r="J1025" s="16" t="str">
        <f>IFERROR(VLOOKUP($C1025,[1]dados_2023!$C$3:$H$357,6,0),"-")</f>
        <v>-</v>
      </c>
    </row>
    <row r="1026" spans="1:10" ht="22.95" customHeight="1" x14ac:dyDescent="0.3">
      <c r="A1026" s="11">
        <v>27</v>
      </c>
      <c r="B1026" s="12" t="s">
        <v>1382</v>
      </c>
      <c r="C1026" s="13">
        <v>1146493</v>
      </c>
      <c r="D1026" s="14" t="s">
        <v>1383</v>
      </c>
      <c r="E1026" s="15">
        <v>2255.1999999999998</v>
      </c>
      <c r="F1026" s="15">
        <f t="shared" si="49"/>
        <v>22552</v>
      </c>
      <c r="G1026" s="15">
        <v>10383.600000000002</v>
      </c>
      <c r="H1026" s="15">
        <f t="shared" si="50"/>
        <v>103836.00000000003</v>
      </c>
      <c r="I1026" s="16" t="str">
        <f>IFERROR(VLOOKUP($C1026,[1]dados_2023!$C$3:$H$357,4,0),"-")</f>
        <v>-</v>
      </c>
      <c r="J1026" s="16" t="str">
        <f>IFERROR(VLOOKUP($C1026,[1]dados_2023!$C$3:$H$357,6,0),"-")</f>
        <v>-</v>
      </c>
    </row>
    <row r="1027" spans="1:10" ht="22.95" customHeight="1" x14ac:dyDescent="0.3">
      <c r="A1027" s="11">
        <v>27</v>
      </c>
      <c r="B1027" s="12" t="s">
        <v>1384</v>
      </c>
      <c r="C1027" s="13">
        <v>1146523</v>
      </c>
      <c r="D1027" s="14" t="s">
        <v>1385</v>
      </c>
      <c r="E1027" s="15">
        <v>5548.5999999999995</v>
      </c>
      <c r="F1027" s="15">
        <f t="shared" si="49"/>
        <v>55485.999999999993</v>
      </c>
      <c r="G1027" s="15">
        <v>18895.000000000004</v>
      </c>
      <c r="H1027" s="15">
        <f t="shared" si="50"/>
        <v>188950.00000000003</v>
      </c>
      <c r="I1027" s="16" t="str">
        <f>IFERROR(VLOOKUP($C1027,[1]dados_2023!$C$3:$H$357,4,0),"-")</f>
        <v>-</v>
      </c>
      <c r="J1027" s="16" t="str">
        <f>IFERROR(VLOOKUP($C1027,[1]dados_2023!$C$3:$H$357,6,0),"-")</f>
        <v>-</v>
      </c>
    </row>
    <row r="1028" spans="1:10" s="36" customFormat="1" ht="22.95" customHeight="1" x14ac:dyDescent="0.3">
      <c r="A1028" s="11">
        <v>27</v>
      </c>
      <c r="B1028" s="12" t="s">
        <v>1386</v>
      </c>
      <c r="C1028" s="13">
        <v>1178067</v>
      </c>
      <c r="D1028" s="14" t="s">
        <v>1387</v>
      </c>
      <c r="E1028" s="15">
        <v>8250.7999999999993</v>
      </c>
      <c r="F1028" s="15">
        <f t="shared" si="49"/>
        <v>82508</v>
      </c>
      <c r="G1028" s="15">
        <v>36963.199999999997</v>
      </c>
      <c r="H1028" s="15">
        <f t="shared" si="50"/>
        <v>369632</v>
      </c>
      <c r="I1028" s="16" t="str">
        <f>IFERROR(VLOOKUP($C1028,[1]dados_2023!$C$3:$H$357,4,0),"-")</f>
        <v>-</v>
      </c>
      <c r="J1028" s="16" t="str">
        <f>IFERROR(VLOOKUP($C1028,[1]dados_2023!$C$3:$H$357,6,0),"-")</f>
        <v>-</v>
      </c>
    </row>
    <row r="1029" spans="1:10" s="36" customFormat="1" ht="22.95" customHeight="1" x14ac:dyDescent="0.3">
      <c r="A1029" s="11">
        <v>27</v>
      </c>
      <c r="B1029" s="12" t="s">
        <v>1386</v>
      </c>
      <c r="C1029" s="13">
        <v>1177093</v>
      </c>
      <c r="D1029" s="14" t="s">
        <v>1388</v>
      </c>
      <c r="E1029" s="15">
        <v>24315.8</v>
      </c>
      <c r="F1029" s="15">
        <f t="shared" si="49"/>
        <v>243158</v>
      </c>
      <c r="G1029" s="15">
        <v>100522.00000000001</v>
      </c>
      <c r="H1029" s="15">
        <f t="shared" si="50"/>
        <v>1005220.0000000001</v>
      </c>
      <c r="I1029" s="16" t="str">
        <f>IFERROR(VLOOKUP($C1029,[1]dados_2023!$C$3:$H$357,4,0),"-")</f>
        <v>-</v>
      </c>
      <c r="J1029" s="16" t="str">
        <f>IFERROR(VLOOKUP($C1029,[1]dados_2023!$C$3:$H$357,6,0),"-")</f>
        <v>-</v>
      </c>
    </row>
    <row r="1030" spans="1:10" s="36" customFormat="1" ht="22.95" customHeight="1" x14ac:dyDescent="0.3">
      <c r="A1030" s="11">
        <v>27</v>
      </c>
      <c r="B1030" s="12" t="s">
        <v>1386</v>
      </c>
      <c r="C1030" s="13">
        <v>1178043</v>
      </c>
      <c r="D1030" s="14" t="s">
        <v>1389</v>
      </c>
      <c r="E1030" s="15">
        <v>7954</v>
      </c>
      <c r="F1030" s="15">
        <f t="shared" si="49"/>
        <v>79540</v>
      </c>
      <c r="G1030" s="15">
        <v>36339.200000000004</v>
      </c>
      <c r="H1030" s="15">
        <f t="shared" si="50"/>
        <v>363392.00000000006</v>
      </c>
      <c r="I1030" s="16" t="str">
        <f>IFERROR(VLOOKUP($C1030,[1]dados_2023!$C$3:$H$357,4,0),"-")</f>
        <v>-</v>
      </c>
      <c r="J1030" s="16" t="str">
        <f>IFERROR(VLOOKUP($C1030,[1]dados_2023!$C$3:$H$357,6,0),"-")</f>
        <v>-</v>
      </c>
    </row>
    <row r="1031" spans="1:10" s="36" customFormat="1" ht="22.95" customHeight="1" x14ac:dyDescent="0.3">
      <c r="A1031" s="11">
        <v>27</v>
      </c>
      <c r="B1031" s="12" t="s">
        <v>1386</v>
      </c>
      <c r="C1031" s="13">
        <v>1178042</v>
      </c>
      <c r="D1031" s="14" t="s">
        <v>1390</v>
      </c>
      <c r="E1031" s="15">
        <v>3638.6</v>
      </c>
      <c r="F1031" s="15">
        <f t="shared" si="49"/>
        <v>36386</v>
      </c>
      <c r="G1031" s="15">
        <v>17044.400000000001</v>
      </c>
      <c r="H1031" s="15">
        <f t="shared" si="50"/>
        <v>170444</v>
      </c>
      <c r="I1031" s="16" t="str">
        <f>IFERROR(VLOOKUP($C1031,[1]dados_2023!$C$3:$H$357,4,0),"-")</f>
        <v>-</v>
      </c>
      <c r="J1031" s="16" t="str">
        <f>IFERROR(VLOOKUP($C1031,[1]dados_2023!$C$3:$H$357,6,0),"-")</f>
        <v>-</v>
      </c>
    </row>
    <row r="1032" spans="1:10" s="36" customFormat="1" ht="22.95" customHeight="1" x14ac:dyDescent="0.3">
      <c r="A1032" s="11">
        <v>27</v>
      </c>
      <c r="B1032" s="12" t="s">
        <v>1386</v>
      </c>
      <c r="C1032" s="13">
        <v>1141149</v>
      </c>
      <c r="D1032" s="14" t="s">
        <v>1391</v>
      </c>
      <c r="E1032" s="15">
        <v>17868.2</v>
      </c>
      <c r="F1032" s="15">
        <f t="shared" si="49"/>
        <v>178682</v>
      </c>
      <c r="G1032" s="15">
        <v>61501.599999999999</v>
      </c>
      <c r="H1032" s="15">
        <f t="shared" si="50"/>
        <v>615016</v>
      </c>
      <c r="I1032" s="16" t="str">
        <f>IFERROR(VLOOKUP($C1032,[1]dados_2023!$C$3:$H$357,4,0),"-")</f>
        <v>-</v>
      </c>
      <c r="J1032" s="16" t="str">
        <f>IFERROR(VLOOKUP($C1032,[1]dados_2023!$C$3:$H$357,6,0),"-")</f>
        <v>-</v>
      </c>
    </row>
    <row r="1033" spans="1:10" s="36" customFormat="1" ht="22.95" customHeight="1" x14ac:dyDescent="0.3">
      <c r="A1033" s="11">
        <v>27</v>
      </c>
      <c r="B1033" s="12" t="s">
        <v>1386</v>
      </c>
      <c r="C1033" s="13">
        <v>1146434</v>
      </c>
      <c r="D1033" s="14" t="s">
        <v>1392</v>
      </c>
      <c r="E1033" s="15">
        <v>9903.8000000000011</v>
      </c>
      <c r="F1033" s="15">
        <f t="shared" si="49"/>
        <v>99038.000000000015</v>
      </c>
      <c r="G1033" s="15">
        <v>31289.4</v>
      </c>
      <c r="H1033" s="15">
        <f t="shared" si="50"/>
        <v>312894</v>
      </c>
      <c r="I1033" s="16" t="str">
        <f>IFERROR(VLOOKUP($C1033,[1]dados_2023!$C$3:$H$357,4,0),"-")</f>
        <v>-</v>
      </c>
      <c r="J1033" s="16" t="str">
        <f>IFERROR(VLOOKUP($C1033,[1]dados_2023!$C$3:$H$357,6,0),"-")</f>
        <v>-</v>
      </c>
    </row>
    <row r="1034" spans="1:10" s="36" customFormat="1" ht="22.95" customHeight="1" x14ac:dyDescent="0.3">
      <c r="A1034" s="11">
        <v>27</v>
      </c>
      <c r="B1034" s="12" t="s">
        <v>1393</v>
      </c>
      <c r="C1034" s="13">
        <v>1178037</v>
      </c>
      <c r="D1034" s="14" t="s">
        <v>1394</v>
      </c>
      <c r="E1034" s="15">
        <v>6785</v>
      </c>
      <c r="F1034" s="15">
        <f t="shared" si="49"/>
        <v>67850</v>
      </c>
      <c r="G1034" s="15">
        <v>30953.200000000004</v>
      </c>
      <c r="H1034" s="15">
        <f t="shared" si="50"/>
        <v>309532.00000000006</v>
      </c>
      <c r="I1034" s="16" t="str">
        <f>IFERROR(VLOOKUP($C1034,[1]dados_2023!$C$3:$H$357,4,0),"-")</f>
        <v>-</v>
      </c>
      <c r="J1034" s="16" t="str">
        <f>IFERROR(VLOOKUP($C1034,[1]dados_2023!$C$3:$H$357,6,0),"-")</f>
        <v>-</v>
      </c>
    </row>
    <row r="1035" spans="1:10" s="36" customFormat="1" ht="22.95" customHeight="1" x14ac:dyDescent="0.3">
      <c r="A1035" s="11">
        <v>27</v>
      </c>
      <c r="B1035" s="12" t="s">
        <v>1393</v>
      </c>
      <c r="C1035" s="13">
        <v>1178401</v>
      </c>
      <c r="D1035" s="14" t="s">
        <v>1395</v>
      </c>
      <c r="E1035" s="15">
        <v>11337.199999999999</v>
      </c>
      <c r="F1035" s="15">
        <f t="shared" si="49"/>
        <v>113371.99999999999</v>
      </c>
      <c r="G1035" s="15">
        <v>25796.400000000001</v>
      </c>
      <c r="H1035" s="15">
        <f t="shared" si="50"/>
        <v>257964</v>
      </c>
      <c r="I1035" s="16" t="str">
        <f>IFERROR(VLOOKUP($C1035,[1]dados_2023!$C$3:$H$357,4,0),"-")</f>
        <v>-</v>
      </c>
      <c r="J1035" s="16" t="str">
        <f>IFERROR(VLOOKUP($C1035,[1]dados_2023!$C$3:$H$357,6,0),"-")</f>
        <v>-</v>
      </c>
    </row>
    <row r="1036" spans="1:10" ht="18" customHeight="1" x14ac:dyDescent="0.3">
      <c r="A1036" s="37"/>
      <c r="B1036" s="38"/>
      <c r="C1036" s="38"/>
      <c r="D1036" s="38"/>
      <c r="E1036" s="39">
        <f t="shared" ref="E1036:H1036" si="51">SUM(E3:E1035)</f>
        <v>8889065.0000000019</v>
      </c>
      <c r="F1036" s="39">
        <f t="shared" si="51"/>
        <v>103315562</v>
      </c>
      <c r="G1036" s="39">
        <f t="shared" si="51"/>
        <v>34415661.599999964</v>
      </c>
      <c r="H1036" s="39">
        <f t="shared" si="51"/>
        <v>377814744</v>
      </c>
    </row>
    <row r="1038" spans="1:10" ht="18" customHeight="1" x14ac:dyDescent="0.3">
      <c r="E1038" s="42"/>
      <c r="F1038" s="42"/>
      <c r="G1038" s="43"/>
      <c r="I1038" s="44"/>
    </row>
    <row r="1039" spans="1:10" ht="18" customHeight="1" x14ac:dyDescent="0.3">
      <c r="E1039" s="45"/>
      <c r="F1039" s="45"/>
      <c r="G1039" s="46"/>
    </row>
    <row r="1040" spans="1:10" ht="18" customHeight="1" x14ac:dyDescent="0.3">
      <c r="E1040" s="47"/>
      <c r="F1040" s="47"/>
      <c r="G1040" s="47"/>
    </row>
    <row r="1041" spans="5:7" ht="18" customHeight="1" x14ac:dyDescent="0.3">
      <c r="E1041" s="47"/>
      <c r="F1041" s="47"/>
    </row>
    <row r="1042" spans="5:7" ht="18" customHeight="1" x14ac:dyDescent="0.3">
      <c r="E1042" s="45"/>
      <c r="F1042" s="45"/>
      <c r="G1042" s="46"/>
    </row>
    <row r="1043" spans="5:7" ht="18" customHeight="1" x14ac:dyDescent="0.3">
      <c r="E1043" s="47"/>
      <c r="F1043" s="47"/>
    </row>
    <row r="1044" spans="5:7" ht="18" customHeight="1" x14ac:dyDescent="0.3">
      <c r="E1044" s="47"/>
      <c r="F1044" s="47"/>
    </row>
    <row r="1045" spans="5:7" ht="18" customHeight="1" x14ac:dyDescent="0.3">
      <c r="E1045" s="47"/>
      <c r="F1045" s="47"/>
      <c r="G1045" s="47"/>
    </row>
    <row r="1046" spans="5:7" ht="18" customHeight="1" x14ac:dyDescent="0.3">
      <c r="E1046" s="48"/>
      <c r="F1046" s="48"/>
    </row>
    <row r="1047" spans="5:7" ht="18" customHeight="1" x14ac:dyDescent="0.3">
      <c r="E1047" s="47"/>
      <c r="F1047" s="47"/>
      <c r="G1047" s="47"/>
    </row>
    <row r="1050" spans="5:7" ht="18" customHeight="1" x14ac:dyDescent="0.3">
      <c r="E1050" s="17" t="s">
        <v>1396</v>
      </c>
    </row>
  </sheetData>
  <mergeCells count="1">
    <mergeCell ref="A1:J1"/>
  </mergeCells>
  <conditionalFormatting sqref="C176">
    <cfRule type="duplicateValues" dxfId="3" priority="2"/>
  </conditionalFormatting>
  <conditionalFormatting sqref="C176">
    <cfRule type="duplicateValues" dxfId="2" priority="3" stopIfTrue="1"/>
  </conditionalFormatting>
  <conditionalFormatting sqref="C314">
    <cfRule type="duplicateValues" dxfId="1" priority="1"/>
  </conditionalFormatting>
  <conditionalFormatting sqref="C3:C313 C315:C593 C595:C970">
    <cfRule type="duplicateValues" dxfId="0" priority="4"/>
  </conditionalFormatting>
  <pageMargins left="0.511811024" right="0.511811024" top="0.78740157499999996" bottom="0.78740157499999996" header="0.31496062000000002" footer="0.31496062000000002"/>
  <pageSetup paperSize="9"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dados_2024</vt:lpstr>
      <vt:lpstr>dados_2024!Area_de_impressao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2026-03-18T21:26:24Z</dcterms:created>
  <dcterms:modified xsi:type="dcterms:W3CDTF">2026-03-18T21:26:25Z</dcterms:modified>
</cp:coreProperties>
</file>