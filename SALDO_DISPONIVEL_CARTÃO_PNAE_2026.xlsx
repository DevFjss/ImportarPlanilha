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G\CE\CDF\REPASSE DE RECURSOS 2026\RETORNOS_REMESSA_CARTÃO_PNAE_FAED 2026\SALDO DISPONIVEL DOS CARTÕES 2026\"/>
    </mc:Choice>
  </mc:AlternateContent>
  <bookViews>
    <workbookView xWindow="0" yWindow="0" windowWidth="28800" windowHeight="11055"/>
  </bookViews>
  <sheets>
    <sheet name="Saldo disponivel PNAE" sheetId="1" r:id="rId1"/>
  </sheets>
  <externalReferences>
    <externalReference r:id="rId2"/>
  </externalReferences>
  <definedNames>
    <definedName name="_xlnm._FilterDatabase" localSheetId="0" hidden="1">'Saldo disponivel PNAE'!$A$2:$O$2115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115" i="1" l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<sst xmlns="http://schemas.openxmlformats.org/spreadsheetml/2006/main" count="5751" uniqueCount="3724">
  <si>
    <t>SALDO DISPONÍVEL PORTADORES CARTÃO PNAE 2026 - 13/03/2026 08:06:13</t>
  </si>
  <si>
    <t>Nº</t>
  </si>
  <si>
    <t>NTE</t>
  </si>
  <si>
    <t>Municipio</t>
  </si>
  <si>
    <t>Codigo SEC</t>
  </si>
  <si>
    <t>Codigo INEP</t>
  </si>
  <si>
    <t>Unidade Escolar</t>
  </si>
  <si>
    <t>Nº Cartão</t>
  </si>
  <si>
    <t>NOME DO PORTADOR</t>
  </si>
  <si>
    <t>CPF DO PORTADOR</t>
  </si>
  <si>
    <t>LIMITE ATUAL IMPLANTADO</t>
  </si>
  <si>
    <t>LIMITE DISPONIVEL</t>
  </si>
  <si>
    <t>CENTRO DE CUSTO</t>
  </si>
  <si>
    <t>DESPESAS PORTADOR</t>
  </si>
  <si>
    <t>GRAFICO</t>
  </si>
  <si>
    <t>Cartão NTE</t>
  </si>
  <si>
    <t>JUAZEIRO</t>
  </si>
  <si>
    <t>CENT.REG.DE ENS.MEDIO COM INTERMEDIACAO TEC-CEMIT SERTAO DO S FRANCISC</t>
  </si>
  <si>
    <t>4098691109241167</t>
  </si>
  <si>
    <t>ADAILSON BARBOSA GOMES</t>
  </si>
  <si>
    <t>02417384582</t>
  </si>
  <si>
    <t>PNAE NTE10 JUAZEIRO</t>
  </si>
  <si>
    <t>CAETANOS</t>
  </si>
  <si>
    <t>COLEGIO ESTADUAL DE TEMPO INTEGRAL DE CAETANOS</t>
  </si>
  <si>
    <t>4098691109106097</t>
  </si>
  <si>
    <t>ADAILSON DE JESUS COSTA</t>
  </si>
  <si>
    <t>04169445589</t>
  </si>
  <si>
    <t>PNAE NTE20 V CONQUI</t>
  </si>
  <si>
    <t>TANHACU</t>
  </si>
  <si>
    <t>COLEGIO ESTADUAL DE TEMPO INTEGRAL EVA ROCHA</t>
  </si>
  <si>
    <t>4098699003650219</t>
  </si>
  <si>
    <t>ADEANNE BOMFIM SANTANA BRITTO</t>
  </si>
  <si>
    <t>02512729583</t>
  </si>
  <si>
    <t>PNAE NTE13 CAETITE</t>
  </si>
  <si>
    <t>BAIANOPOLIS</t>
  </si>
  <si>
    <t>COLEGIO ESTADUAL DO CAMPO VERONILDO MENDES PEREIRA</t>
  </si>
  <si>
    <t>4098690003072405</t>
  </si>
  <si>
    <t>ADEIR SOARES DE SOUZA SILVA</t>
  </si>
  <si>
    <t>00239564537</t>
  </si>
  <si>
    <t>PNAE NTE11 BARREIRA</t>
  </si>
  <si>
    <t>ILHEUS</t>
  </si>
  <si>
    <t>COLEGIO ESTADUAL PROFESSOR FABIO ARARIPE GOULART</t>
  </si>
  <si>
    <t>4098691103153087</t>
  </si>
  <si>
    <t>ADELINE GOMES DA SILVA</t>
  </si>
  <si>
    <t>PNAE NTE05 ITABUNA</t>
  </si>
  <si>
    <t>VALENCA</t>
  </si>
  <si>
    <t>COLEGIO ESTADUAL QUILOMBOLA BERNARDO BISPO DOS SANTOS</t>
  </si>
  <si>
    <t>4098691109107582</t>
  </si>
  <si>
    <t>ADEMARIO REIS OLIVEIRA</t>
  </si>
  <si>
    <t>PNAE NTE06 VALENCA</t>
  </si>
  <si>
    <t>VITORIA DA CONQUISTA</t>
  </si>
  <si>
    <t>INSTITUTO DE EDUCACAO EUCLIDES DANTAS</t>
  </si>
  <si>
    <t>4098698531553762</t>
  </si>
  <si>
    <t>ADEMARIO SILVA SOUSA</t>
  </si>
  <si>
    <t>QUIJINGUE</t>
  </si>
  <si>
    <t>COLEGIO ESTADUAL DO CAMPO DE TEMPO INTEGRAL SAO SEBASTIAO</t>
  </si>
  <si>
    <t>4098691104777579</t>
  </si>
  <si>
    <t>ADENILZA LUNA CAVALCANTE</t>
  </si>
  <si>
    <t>PNAE NTE04 SERRINHA</t>
  </si>
  <si>
    <t>VARZEDO</t>
  </si>
  <si>
    <t>COLEGIO ESTADUAL NOSSA SENHORA DA CONCEICAO</t>
  </si>
  <si>
    <t>4098690001645012</t>
  </si>
  <si>
    <t>ADENOR SIMOES CERQUEIRA</t>
  </si>
  <si>
    <t>PNAE NTE21 STO A JE</t>
  </si>
  <si>
    <t>ALAGOINHAS</t>
  </si>
  <si>
    <t>COLEGIO ESTADUAL DEPUTADO LUIS EDUARDO MAGALHAES</t>
  </si>
  <si>
    <t>4098699003242488</t>
  </si>
  <si>
    <t>ADRIANA CARLA DA SILVA NASCIMENTO</t>
  </si>
  <si>
    <t>PNAE NTE18 ALAGOINH</t>
  </si>
  <si>
    <t>CAEM</t>
  </si>
  <si>
    <t>COLEGIO ESTADUAL ARNALDO DE OLIVEIRA</t>
  </si>
  <si>
    <t>4098691105056866</t>
  </si>
  <si>
    <t>ADRIANA COSTA SILVA OLIVEIRA</t>
  </si>
  <si>
    <t>00110201566</t>
  </si>
  <si>
    <t>PNAE NTE16 JACOBINA</t>
  </si>
  <si>
    <t>JAGUARARI</t>
  </si>
  <si>
    <t>CENTRO TERRITORIAL DE EDUC PROFISSIONAL DO PIEMONTE NORTE DO ITAPICURU</t>
  </si>
  <si>
    <t>4098691427146957</t>
  </si>
  <si>
    <t>ADRIANA NASCIMENTO DE ARAUJO</t>
  </si>
  <si>
    <t>03182884514</t>
  </si>
  <si>
    <t>PNAE NTE25 SR BONFI</t>
  </si>
  <si>
    <t>GANDU</t>
  </si>
  <si>
    <t>COLEGIO ESTADUAL POLIVALENTE DE GANDU</t>
  </si>
  <si>
    <t>4098690006825932</t>
  </si>
  <si>
    <t>ADRIANA NUNES DE ALMEIDA</t>
  </si>
  <si>
    <t>02903439508</t>
  </si>
  <si>
    <t>MACAUBAS</t>
  </si>
  <si>
    <t>COLEGIO ESTADUAL CONEGO FIRMINO SOARES</t>
  </si>
  <si>
    <t>4098699003580739</t>
  </si>
  <si>
    <t>ADRIANA PEREIRA OLIVEIRA</t>
  </si>
  <si>
    <t>PNAE NTE12 MACAUBAS</t>
  </si>
  <si>
    <t>COARACI</t>
  </si>
  <si>
    <t>COLEGIO ESTADUAL ALMAKAZIR GALLY GALVAO</t>
  </si>
  <si>
    <t>4098691106174015</t>
  </si>
  <si>
    <t>ADRIANA SANTANA SILVA</t>
  </si>
  <si>
    <t>SALVADOR</t>
  </si>
  <si>
    <t>COLEGIO ESTADUAL ALMIRANTE BARROSO</t>
  </si>
  <si>
    <t>4098690005481463</t>
  </si>
  <si>
    <t>ADRIANA SILVA DO ROSARIO</t>
  </si>
  <si>
    <t>PNAE NTE26 SALVADOR</t>
  </si>
  <si>
    <t>MUQUEM DE SAO FRANCISCO</t>
  </si>
  <si>
    <t>COLEGIO ESTADUAL INDIGENA PAJE ROQUE MOISES DA SILVA</t>
  </si>
  <si>
    <t>4098699002269144</t>
  </si>
  <si>
    <t>ADRIELLY DE OLIVEIRA BARROS</t>
  </si>
  <si>
    <t>06441489503</t>
  </si>
  <si>
    <t>PNAE NTE02 B J LAPA</t>
  </si>
  <si>
    <t>COLEGIO ESTADUAL SATELITE</t>
  </si>
  <si>
    <t>4098699003580838</t>
  </si>
  <si>
    <t>ADRINA MENDES BARBOSA</t>
  </si>
  <si>
    <t>COLEGIO ESTADUAL GOVERNADOR ROBERTO SANTOS</t>
  </si>
  <si>
    <t>4098690000918816</t>
  </si>
  <si>
    <t>ADSON MORADILLO DA SILVA</t>
  </si>
  <si>
    <t>NOVO HORIZONTE</t>
  </si>
  <si>
    <t>COLEGIO ESTADUAL CASTRO ALVES</t>
  </si>
  <si>
    <t>4098690001098881</t>
  </si>
  <si>
    <t>AECIO ARAUJO DO PRADO</t>
  </si>
  <si>
    <t>01575935503</t>
  </si>
  <si>
    <t>PNAE NTE03 SEABRA</t>
  </si>
  <si>
    <t>COLEGIO ESTADUAL PROFESSOR JOSE BARRETO DE ARAUJO BASTOS</t>
  </si>
  <si>
    <t>4098697274126208</t>
  </si>
  <si>
    <t>AGDA CELESTE DOS SANTOS</t>
  </si>
  <si>
    <t>COLEGIO ESTADUAL MONTEIRO LOBATO</t>
  </si>
  <si>
    <t>4098690008566377</t>
  </si>
  <si>
    <t>AGILDO COSTA</t>
  </si>
  <si>
    <t>PARAMIRIM</t>
  </si>
  <si>
    <t>COLEGIO ESTADUAL DE PARAMIRIM</t>
  </si>
  <si>
    <t>4098691108205023</t>
  </si>
  <si>
    <t>AGNALDO DUARTE DA SILVA</t>
  </si>
  <si>
    <t>SEABRA</t>
  </si>
  <si>
    <t>COLEGIO ESTADUAL DO CAMPO FILINTO JUSTINIANO BASTOS</t>
  </si>
  <si>
    <t>4098699003650474</t>
  </si>
  <si>
    <t>AGUIDA RODRIGUES DE ARAUJO</t>
  </si>
  <si>
    <t>BOM JESUS DA LAPA</t>
  </si>
  <si>
    <t>COLEGIO ESTADUAL EVERTON OLIVEIRA DE SANTANA</t>
  </si>
  <si>
    <t>4098690000288129</t>
  </si>
  <si>
    <t>AILTON SILVA NASCIMENTO</t>
  </si>
  <si>
    <t>MARAGOGIPE</t>
  </si>
  <si>
    <t>CENTRO ESTADUAL DE EDUCACAO PROFISSIONAL DO VALE DO PARAGUACU</t>
  </si>
  <si>
    <t>4098699003580820</t>
  </si>
  <si>
    <t>ALAN FERNANDES PRAZERES</t>
  </si>
  <si>
    <t>CENTRO TERRITORIAL DE EDUCACAO PROFISSIONAL DA BACIA DO PARAMIRIM</t>
  </si>
  <si>
    <t>4098699324516040</t>
  </si>
  <si>
    <t>ALAN JOSE ALCANTARA DE FIGUEIREDO</t>
  </si>
  <si>
    <t>IBIQUERA</t>
  </si>
  <si>
    <t>COLEGIO ESTADUAL DE IBIQUERA</t>
  </si>
  <si>
    <t>4098690008592456</t>
  </si>
  <si>
    <t>ALANA CATARINA SILVA DE SOUZA TANAN</t>
  </si>
  <si>
    <t>PNAE NTE14 ITABERAB</t>
  </si>
  <si>
    <t>MUCURI</t>
  </si>
  <si>
    <t>COLEGIO ESTADUAL JACI FERREIRA DOS SANTOS</t>
  </si>
  <si>
    <t>4098699467024679</t>
  </si>
  <si>
    <t>ALDA MARIA DE OLIVEIRA QUINELATO</t>
  </si>
  <si>
    <t>02467251764</t>
  </si>
  <si>
    <t>PNAE NTE07 TX FREIT</t>
  </si>
  <si>
    <t>COLEGIO ESTADUAL DO STIEP CARLOS MARIGHELLA</t>
  </si>
  <si>
    <t>4098691109987587</t>
  </si>
  <si>
    <t>ALDAIR ALMEIDA DANTAS</t>
  </si>
  <si>
    <t>CRUZ DAS ALMAS</t>
  </si>
  <si>
    <t>CENTRO TERRITORIAL DE EDUCACAO PROFIS RECONCAVO II ALBERTO TORRES</t>
  </si>
  <si>
    <t>4098692633483630</t>
  </si>
  <si>
    <t>ALDEVANE DE ALMEIDA ARAUJO</t>
  </si>
  <si>
    <t>05293590570</t>
  </si>
  <si>
    <t>BREJOES</t>
  </si>
  <si>
    <t>COLEGIO ESTADUAL DO CAMPO DE TEMPO INTEGRAL DA TERRA DO CAFE</t>
  </si>
  <si>
    <t>4098691101315555</t>
  </si>
  <si>
    <t>ALDO BRITO DE JESUS</t>
  </si>
  <si>
    <t>05690581550</t>
  </si>
  <si>
    <t>PNAE NTE09 AMARGOSA</t>
  </si>
  <si>
    <t>CENT.REG.DE ENS.MEDIO COM INTERMEDIACAO TEC.- CEMIT DO VELHO CHICO</t>
  </si>
  <si>
    <t>4098691106170716</t>
  </si>
  <si>
    <t>ALECSANDRO MARCIEL CARVALHO DE CASTRO</t>
  </si>
  <si>
    <t>CONCEICAO DO COITE</t>
  </si>
  <si>
    <t>COLEGIO ESTADUAL DO CAMPO RIO BRANCO</t>
  </si>
  <si>
    <t>4098691101726561</t>
  </si>
  <si>
    <t>ALENAIDE LIMA DE ALMEIDA</t>
  </si>
  <si>
    <t>02779600535</t>
  </si>
  <si>
    <t>BOTUPORA</t>
  </si>
  <si>
    <t>COLEGIO ESTADUAL DO CAMPO DE BOTUPORA</t>
  </si>
  <si>
    <t>4098691104031514</t>
  </si>
  <si>
    <t>ALENI BONFIM QUEIROZ RIBEIRO</t>
  </si>
  <si>
    <t>CASA NOVA</t>
  </si>
  <si>
    <t>COLEGIO ESTADUAL DO CAMPO PROFESSORA MARIA TEREZA BRAGA CABRAL</t>
  </si>
  <si>
    <t>4098690006168929</t>
  </si>
  <si>
    <t>ALESSANDRA ALMEIDA E SILVA</t>
  </si>
  <si>
    <t>00501020527</t>
  </si>
  <si>
    <t>COLEGIO ESTADUAL DO CAMPO KLEBER PACHECO</t>
  </si>
  <si>
    <t>4098691106101281</t>
  </si>
  <si>
    <t>ALESSANDRA FERREIRA FAUSTO</t>
  </si>
  <si>
    <t>BARREIRAS</t>
  </si>
  <si>
    <t>COLEGIO ESTADUAL ANTONIO GERALDO</t>
  </si>
  <si>
    <t>4098696129437919</t>
  </si>
  <si>
    <t>ALESSANDRA NERY OLIVEIRA SILVA GUEDES</t>
  </si>
  <si>
    <t>CENTRO REG DE ENS MED COM INTER TECNO. DO LIT. SUL - CEMIT LITORAL SUL</t>
  </si>
  <si>
    <t>4098699002635815</t>
  </si>
  <si>
    <t>ALESSANDRO COELHO MARQUES</t>
  </si>
  <si>
    <t>APUAREMA</t>
  </si>
  <si>
    <t>COLEGIO ESTADUAL DE TEMPO INTEGRAL DOUTOR VASCO FILHO</t>
  </si>
  <si>
    <t>4098692286024798</t>
  </si>
  <si>
    <t>ALEX DOS SANTOS AMORIM</t>
  </si>
  <si>
    <t>05962647556</t>
  </si>
  <si>
    <t>PNAE NTE22 JEQUIE</t>
  </si>
  <si>
    <t>PRADO</t>
  </si>
  <si>
    <t>COLEGIO ESTADUAL INDIGENA AKSA PATAXO</t>
  </si>
  <si>
    <t>4098690008576673</t>
  </si>
  <si>
    <t>ALEX DOS SANTOS PEREIRA</t>
  </si>
  <si>
    <t>SANTO ANTONIO DE JESUS</t>
  </si>
  <si>
    <t>CENTRO DE APOIO PEDAGOGICO ESPECIALIZADO LEAO AURELIO PIRES</t>
  </si>
  <si>
    <t>4098691100028944</t>
  </si>
  <si>
    <t>ALEXANDRA VEIGA SANTOS MEIRA</t>
  </si>
  <si>
    <t>ITABUNA</t>
  </si>
  <si>
    <t>CENTRO ESTADUAL DE EDUCACAO PROFISSIONAL EM BIOTECNOLOGIA E SAUDE</t>
  </si>
  <si>
    <t>4098695488587793</t>
  </si>
  <si>
    <t>ALEXANDRE DAVID MOREIRA ASSIS</t>
  </si>
  <si>
    <t>TANQUE NOVO</t>
  </si>
  <si>
    <t>COLEGIO ESTADUAL DE TEMPO INTEGRAL DE TANQUE NOVO</t>
  </si>
  <si>
    <t>4098691102352458</t>
  </si>
  <si>
    <t>ALEXANDRO SOUSA CRUZ</t>
  </si>
  <si>
    <t>03754136500</t>
  </si>
  <si>
    <t>MARACAS</t>
  </si>
  <si>
    <t>COLEGIO EST DE TEMPO INTEG DE MARACAS IRACY MARLENE DA HORA PASSOS</t>
  </si>
  <si>
    <t>4098699003377284</t>
  </si>
  <si>
    <t>ALEXSANDRA DA SILVA OLIVEIRA D AQUINO DE SOUZA</t>
  </si>
  <si>
    <t>COLEGIO ESTADUAL ANISIO TEIXEIRA</t>
  </si>
  <si>
    <t>4098699002595423</t>
  </si>
  <si>
    <t>ALEXSANDRA DOS SANTOS RIBEIRO FROES</t>
  </si>
  <si>
    <t>IRAJUBA</t>
  </si>
  <si>
    <t>COLEGIO ESTADUAL PROFESSOR ISAIAS ALEIXO</t>
  </si>
  <si>
    <t>4098690001683948</t>
  </si>
  <si>
    <t>ALEXSANDRA SOUZA LOPES</t>
  </si>
  <si>
    <t>DIAS D AVILA</t>
  </si>
  <si>
    <t>CENTRO TERRITO. DE EDUC. PROFIS. DE DIAS D AVILA-CETEP DE DIAS D AVILA</t>
  </si>
  <si>
    <t>4098694128109654</t>
  </si>
  <si>
    <t>ALICE QUEIROZ OLIVEIRA</t>
  </si>
  <si>
    <t>PINDOBACU</t>
  </si>
  <si>
    <t>COLEGIO ESTADUAL DE TEMPO INTEGRAL DE PINDOBACU</t>
  </si>
  <si>
    <t>4098699002446601</t>
  </si>
  <si>
    <t>ALINE CAVALCANTE SANTOS</t>
  </si>
  <si>
    <t>não localizado</t>
  </si>
  <si>
    <t>ALINE D OLIVEIRA LOPES</t>
  </si>
  <si>
    <t>BRUMADO</t>
  </si>
  <si>
    <t>COLEGIO ESTADUAL DE TEMPO INTEGRAL DE BRUMADO</t>
  </si>
  <si>
    <t>4098699865919421</t>
  </si>
  <si>
    <t>ALINE MARIA SILVA PEREIRA</t>
  </si>
  <si>
    <t>NAZARE</t>
  </si>
  <si>
    <t>COLEGIO ESTADUAL GOVERNADOR LUIZ VIANA FILHO</t>
  </si>
  <si>
    <t>4098699003580705</t>
  </si>
  <si>
    <t>ALINE PEIXOTO DE JESUS</t>
  </si>
  <si>
    <t>BURITIRAMA</t>
  </si>
  <si>
    <t>COLEGIO ESTADUAL ANTONIO RODRIGUES VIANA</t>
  </si>
  <si>
    <t>4098691106201198</t>
  </si>
  <si>
    <t>ALIOMAR REIS SANTOS FILHO</t>
  </si>
  <si>
    <t>00353902551</t>
  </si>
  <si>
    <t>COLEGIO ESTADUAL DONA GUIOMAR BARRETO MEIRA</t>
  </si>
  <si>
    <t>4098690001893778</t>
  </si>
  <si>
    <t>ALIRIO RIBEIRO SOARES</t>
  </si>
  <si>
    <t>01544108532</t>
  </si>
  <si>
    <t>DOM BASILIO</t>
  </si>
  <si>
    <t>COLEGIO ESTADUAL DE TEMPO INTEGRAL JOSE CAIRES ARAUJO</t>
  </si>
  <si>
    <t>4098693642764176</t>
  </si>
  <si>
    <t>ALISSON FLORES CAIRES</t>
  </si>
  <si>
    <t>05581918511</t>
  </si>
  <si>
    <t>ABARE</t>
  </si>
  <si>
    <t>COLEGIO EST DE TEM INTEGRAL PROF MARIA DO SOCORRO GOMES POSSIDONIO</t>
  </si>
  <si>
    <t>4098693606595996</t>
  </si>
  <si>
    <t>ALISSON RICARDO DOS SANTOS</t>
  </si>
  <si>
    <t>02834595577</t>
  </si>
  <si>
    <t>PNAE NTE24 PAULO AF</t>
  </si>
  <si>
    <t>ENCRUZILHADA</t>
  </si>
  <si>
    <t>COLEGIO ESTADUAL DO CAMPO NANCY DE CASTRO ESTAVES</t>
  </si>
  <si>
    <t>4098697287083982</t>
  </si>
  <si>
    <t>ALLAN DE SOUSA SILVA</t>
  </si>
  <si>
    <t>SERROLANDIA</t>
  </si>
  <si>
    <t>COLEGIO ESTADUAL DE TEMPO INTEGRAL DE SERROLANDIA</t>
  </si>
  <si>
    <t>4098693226815741</t>
  </si>
  <si>
    <t>ALLANTHEVSON DE SA SAMPAIO</t>
  </si>
  <si>
    <t>05209321533</t>
  </si>
  <si>
    <t>SERRA PRETA</t>
  </si>
  <si>
    <t>COLEGIO ESTADUAL DO CAMPO NOSSA SENHORA DE LOURDES</t>
  </si>
  <si>
    <t>4098691109830035</t>
  </si>
  <si>
    <t>ALMIRO CERQUEIRA BATISTA</t>
  </si>
  <si>
    <t>PNAE NTE15 IPIRA</t>
  </si>
  <si>
    <t>ITORORO</t>
  </si>
  <si>
    <t>CETEP DO MEDIO SUDOESTE DA BAHIA EURIDES EVANGELISTA PINTO</t>
  </si>
  <si>
    <t>4098697340003621</t>
  </si>
  <si>
    <t>ALOISIO BATISTA FIGUEREDO NETO</t>
  </si>
  <si>
    <t>PNAE NTE08 ITAPETIN</t>
  </si>
  <si>
    <t>COLEGIO ESTADUAL PROFESSORA OLGARINA PITANGUEIRA PINHEIRO</t>
  </si>
  <si>
    <t>4098691106125934</t>
  </si>
  <si>
    <t>ALOIZIA BARROS DE OLIVEIRA</t>
  </si>
  <si>
    <t>LAURO DE FREITAS</t>
  </si>
  <si>
    <t>COLEGIO ESTADUAL FRANCISCO PEREIRA FRANCO</t>
  </si>
  <si>
    <t>4098690006902863</t>
  </si>
  <si>
    <t>ALZIRA CRISTINA CARDOSO CORREIA DA SILVA</t>
  </si>
  <si>
    <t>VARZEA DA ROCA</t>
  </si>
  <si>
    <t>COLEGIO ESTADUAL DE TEMPO INTEGRAL PROFESSORA ADELIA MENDES</t>
  </si>
  <si>
    <t>4098699003074956</t>
  </si>
  <si>
    <t>AMANDA DA SILVA RIOS</t>
  </si>
  <si>
    <t>02057621588</t>
  </si>
  <si>
    <t>MARAU</t>
  </si>
  <si>
    <t>COLEGIO ESTADUAL DO CAMPO CLEMENTE MARIANI</t>
  </si>
  <si>
    <t>4098690001301798</t>
  </si>
  <si>
    <t>AMANDA NASCIMENTO ARAUJO</t>
  </si>
  <si>
    <t>02624124624</t>
  </si>
  <si>
    <t>AMANDA VANELE PRATES DOMINGUES</t>
  </si>
  <si>
    <t>06234507557</t>
  </si>
  <si>
    <t>CANDEIAS</t>
  </si>
  <si>
    <t>COLEGIO ESTADUAL CIDADE DE CANDEIAS</t>
  </si>
  <si>
    <t>4098699003690512</t>
  </si>
  <si>
    <t>AMELIA GOMES DOS SANTOS</t>
  </si>
  <si>
    <t>ITARANTIM</t>
  </si>
  <si>
    <t>COLEGIO ESTADUAL NAOMAR SOARES ALCANTARA</t>
  </si>
  <si>
    <t>4098690001454993</t>
  </si>
  <si>
    <t>AMISSON DOS SANTOS NUNES</t>
  </si>
  <si>
    <t>04082552502</t>
  </si>
  <si>
    <t>COLEGIO ESTADUAL MARECHAL MASCARENHAS DE MORAIS</t>
  </si>
  <si>
    <t>4098691103265022</t>
  </si>
  <si>
    <t>ANA AMELIA MESSIAS CAMARA</t>
  </si>
  <si>
    <t>COLEGIO ESTADUAL RAYMUNDO DE ALMEIDA GOUVEIA</t>
  </si>
  <si>
    <t>4098693645591477</t>
  </si>
  <si>
    <t>ANA CARINE ARAUJO DOS SANTOS MORAIS</t>
  </si>
  <si>
    <t>ITAPE</t>
  </si>
  <si>
    <t>COLEGIO ESTADUAL DE TEMPO INTEGRAL DOM PAULO LOPES DE FARIA</t>
  </si>
  <si>
    <t>4098699593270717</t>
  </si>
  <si>
    <t>ANA CAROLINA ALVES PASSOS</t>
  </si>
  <si>
    <t>ESCOLA ESTADUAL ANISIO TEIXEIRA - CLASSE VI</t>
  </si>
  <si>
    <t>4098690006148376</t>
  </si>
  <si>
    <t>ANA CAROLINA QUEIROS FONSECA PAIM</t>
  </si>
  <si>
    <t>INHAMBUPE</t>
  </si>
  <si>
    <t>COLEGIO ESTADUAL DO CAMPO DE TEMPO INTEGRAL MARIA MENDES DE SOUZA</t>
  </si>
  <si>
    <t>4098690000653892</t>
  </si>
  <si>
    <t>ANA CATIA DE JESUS</t>
  </si>
  <si>
    <t>FEIRA DE SANTANA</t>
  </si>
  <si>
    <t>COLEGIO ESTADUAL SANTO ANTONIO</t>
  </si>
  <si>
    <t>4098694123777562</t>
  </si>
  <si>
    <t>ANA CLAUDIA SILVA DE OLIVEIRA</t>
  </si>
  <si>
    <t>00649504500</t>
  </si>
  <si>
    <t>PNAE NTE19 F SANTAN</t>
  </si>
  <si>
    <t>CONCEICAO DA FEIRA</t>
  </si>
  <si>
    <t>COLEGIO ESTADUAL DE TEMPO INTEGRAL DE CONCEICAO DA FEIRA</t>
  </si>
  <si>
    <t>4098690000636111</t>
  </si>
  <si>
    <t>ANA CRISTINA PEREIRA CASTELO</t>
  </si>
  <si>
    <t>CENTRO EDUCACIONAL CENECISTA DO CAMPO CONEGO CUPERTINO DE LACERDA</t>
  </si>
  <si>
    <t>4098690001092900</t>
  </si>
  <si>
    <t>ANA KARLA COUTINHO LEITE</t>
  </si>
  <si>
    <t>ACAJUTIBA</t>
  </si>
  <si>
    <t>COLEGIO ESTADUAL DE TEMPO INTEGRAL ANTONIO DA COSTA BRITO</t>
  </si>
  <si>
    <t>4098691100371815</t>
  </si>
  <si>
    <t>ANA LUCIA DE SOUZA ANDRADE</t>
  </si>
  <si>
    <t>DARIO MEIRA</t>
  </si>
  <si>
    <t>COLEGIO ESTADUAL DE DARIO MEIRA</t>
  </si>
  <si>
    <t>4098699002804189</t>
  </si>
  <si>
    <t>ANA MARCIA VIEIRA MIRANDA</t>
  </si>
  <si>
    <t>IPUPIARA</t>
  </si>
  <si>
    <t>COLEGIO DEMOCRATICO ESTADUAL CASTRO ALVES</t>
  </si>
  <si>
    <t>4098690000876642</t>
  </si>
  <si>
    <t>ANA MARIA RODRIGUES DA SILVA</t>
  </si>
  <si>
    <t>PNAE NTE01 IRECE</t>
  </si>
  <si>
    <t>COLEGIO ESTADUAL ALFREDO AGOSTINHO DE DEUS</t>
  </si>
  <si>
    <t>4098690000567696</t>
  </si>
  <si>
    <t>ANA PATRICIA DOS SANTOS ROCHA</t>
  </si>
  <si>
    <t>COLEGIO ESTADUAL LUIZ VIANA</t>
  </si>
  <si>
    <t>4098691106710818</t>
  </si>
  <si>
    <t>ANA PAULA CARDOSO RAMOS</t>
  </si>
  <si>
    <t>NOVA CANAA</t>
  </si>
  <si>
    <t>COLEGIO ESTADUAL FLORESTAL</t>
  </si>
  <si>
    <t>4098690007410239</t>
  </si>
  <si>
    <t>ANA PAULA DA SILVA MATOS LIMA</t>
  </si>
  <si>
    <t>01303808579</t>
  </si>
  <si>
    <t>TABOCAS DO BREJO VELHO</t>
  </si>
  <si>
    <t>COLEGIO ESTADUAL LEONIDAS DE ARAUJO SILVA</t>
  </si>
  <si>
    <t>4098699550443174</t>
  </si>
  <si>
    <t>ANA PAULA DE CASTRO BRITO</t>
  </si>
  <si>
    <t>00426501519</t>
  </si>
  <si>
    <t>PNAE NTE23 ST MA VT</t>
  </si>
  <si>
    <t>ESCOLA ESTADUAL SEVERINO VIEIRA</t>
  </si>
  <si>
    <t>4098699003634122</t>
  </si>
  <si>
    <t>ANA PAULA NEVES DOS SANTOS RODRIGUES</t>
  </si>
  <si>
    <t>COLEGIO ESTADUAL DE ALAGOINHAS</t>
  </si>
  <si>
    <t>4098699002688616</t>
  </si>
  <si>
    <t>ANA PAULA SANTANA SOUZA</t>
  </si>
  <si>
    <t>00775345571</t>
  </si>
  <si>
    <t>BARRA</t>
  </si>
  <si>
    <t>CENTRO ESTADUAL DE EDUCACAO PROFISSIONAL AGUAS</t>
  </si>
  <si>
    <t>4098694665609009</t>
  </si>
  <si>
    <t>ANA PAULA SANTOS GONCALVES</t>
  </si>
  <si>
    <t>SENHOR DO BONFIM</t>
  </si>
  <si>
    <t>COLEGIO ESTADUAL DO CAMPO PROFESSORA MARIANA AGOSTINHO DE OLIVEIRA</t>
  </si>
  <si>
    <t>4098697581474325</t>
  </si>
  <si>
    <t>ANA RAQUEL ALVES CONCEICAO</t>
  </si>
  <si>
    <t>COLEGIO ESTADUAL EVARISTO DA VEIGA</t>
  </si>
  <si>
    <t>4098699003141797</t>
  </si>
  <si>
    <t>ANA RITA SILVA</t>
  </si>
  <si>
    <t>COLEGIO ESTADUAL DE TEMPO INTEGRAL DE FEIRA DE SANTANA</t>
  </si>
  <si>
    <t>4098691107358989</t>
  </si>
  <si>
    <t>ANA VERENA RODRIGUES AMORIM</t>
  </si>
  <si>
    <t>VALENTE</t>
  </si>
  <si>
    <t>COLEGIO ESTADUAL DO CAMPO LUCIBERTO OLIVEIRA DOS SANTOS</t>
  </si>
  <si>
    <t>4098691107973142</t>
  </si>
  <si>
    <t>ANA ZILDA DE JESUS OLIVEIRA</t>
  </si>
  <si>
    <t>ANALENE FERREIRA DA SILVA</t>
  </si>
  <si>
    <t>POJUCA</t>
  </si>
  <si>
    <t>COLEGIO ESTADUAL PADRE JOAO MONTEZ</t>
  </si>
  <si>
    <t>4098695235748292</t>
  </si>
  <si>
    <t>ANALICE SILVA JORGE SOBRINHA</t>
  </si>
  <si>
    <t>SANTALUZ</t>
  </si>
  <si>
    <t>COLEGIO ESTADUAL JOSE LEITAO</t>
  </si>
  <si>
    <t>4098690001615759</t>
  </si>
  <si>
    <t>ANANIAS FRANCISCO CRUZ FILHO</t>
  </si>
  <si>
    <t>COLEGIO ESTADUAL DE TEMPO INTEGRAL ZUMBI DOS PALMARES</t>
  </si>
  <si>
    <t>4098690007323234</t>
  </si>
  <si>
    <t>ANDERSON DE ARAUJO ROSA</t>
  </si>
  <si>
    <t>ITAPARICA</t>
  </si>
  <si>
    <t>COLEGIO ESTADUAL DE TEMPO INTEGRAL ERNESTO CARNEIRO RIBEIRO</t>
  </si>
  <si>
    <t>4098695486391776</t>
  </si>
  <si>
    <t>ANDERSON JOSE DO NASCIMENTO SANTOS</t>
  </si>
  <si>
    <t>COLEGIO ESTADUAL COSME DE FARIAS</t>
  </si>
  <si>
    <t>4098692471655570</t>
  </si>
  <si>
    <t>ANDRE DE OLIVEIRA ROCHA</t>
  </si>
  <si>
    <t>COLEGIO ESTADUAL BENTO GONCALVES</t>
  </si>
  <si>
    <t>4098691106946099</t>
  </si>
  <si>
    <t>ANDRE LUIZ FAGUNDES</t>
  </si>
  <si>
    <t>PIATA</t>
  </si>
  <si>
    <t>COLEGIO ESTADUAL CORONEL HORACIO DE MATOS</t>
  </si>
  <si>
    <t>4098699003580747</t>
  </si>
  <si>
    <t>ANDRE LULA MACIEL</t>
  </si>
  <si>
    <t>PALMAS DE MONTE ALTO</t>
  </si>
  <si>
    <t>4098691553459422</t>
  </si>
  <si>
    <t>ANDRE MOREIRA BRANDAO SILVA</t>
  </si>
  <si>
    <t>COLEGIO ESTADUAL DE TEMPO INTEGRAL DE BARRA</t>
  </si>
  <si>
    <t>4098693225236113</t>
  </si>
  <si>
    <t>ANDRE RICARDO NUNES NASCIMENTO</t>
  </si>
  <si>
    <t>03343922501</t>
  </si>
  <si>
    <t>COLEGIO ESTADUAL DE PLATAFORMA</t>
  </si>
  <si>
    <t>4098694712738330</t>
  </si>
  <si>
    <t>ANDREA DA SILVEIRA CORDEIRO CUNHA</t>
  </si>
  <si>
    <t>COLEGIO ESTADUAL RENAN BALEEIRO</t>
  </si>
  <si>
    <t>4098690005108033</t>
  </si>
  <si>
    <t>ANDREA DE FATIMA CRUZ SENHORINHO</t>
  </si>
  <si>
    <t>AMARGOSA</t>
  </si>
  <si>
    <t>COLEGIO ESTADUAL PEDRO CALMON</t>
  </si>
  <si>
    <t>4098690007025532</t>
  </si>
  <si>
    <t>ANDREA IONA DOS SANTOS SILVA</t>
  </si>
  <si>
    <t>TREMEDAL</t>
  </si>
  <si>
    <t>COLEGIO ESTADUAL MARIETA PEREIRA DOS SANTOS</t>
  </si>
  <si>
    <t>4098699747448698</t>
  </si>
  <si>
    <t>ANDREA LACERDA LEITE DE ANDRADE</t>
  </si>
  <si>
    <t>MATA DE SAO JOAO</t>
  </si>
  <si>
    <t>COLEGIO ESTADUAL ALAOR COUTINHO</t>
  </si>
  <si>
    <t>4098697581230297</t>
  </si>
  <si>
    <t>ANDREA PENALVA DE OLIVEIRA CARIA</t>
  </si>
  <si>
    <t>BANZAE</t>
  </si>
  <si>
    <t>COLEGIO ESTADUAL INDIGENA JOSE ZACARIAS</t>
  </si>
  <si>
    <t>4098693223883155</t>
  </si>
  <si>
    <t>ANDREIA DA CRUZ BATISTA</t>
  </si>
  <si>
    <t>03253499596</t>
  </si>
  <si>
    <t>PNAE NTE17 R POMBAL</t>
  </si>
  <si>
    <t>COLEGIO ESTADUAL DEMOCRATICO DR. ROMULO ALMEIDA</t>
  </si>
  <si>
    <t>4098695097105201</t>
  </si>
  <si>
    <t>ANDREIA DO VALE REIS</t>
  </si>
  <si>
    <t>COLEGIO ESTADUAL MINISTRO ALIOMAR BALEEIRO</t>
  </si>
  <si>
    <t>4098699003675984</t>
  </si>
  <si>
    <t>ANDREIA NASCIMENTO PASSOS</t>
  </si>
  <si>
    <t>SAO JOSE DO JACUIPE</t>
  </si>
  <si>
    <t>COLEGIO ESTADUAL DE TEMPO INTEGRAL MARIA NEVES CARNEIRO</t>
  </si>
  <si>
    <t>4098694669333606</t>
  </si>
  <si>
    <t>ANDREIA PEIXOTO DOS SANTOS</t>
  </si>
  <si>
    <t>02244982580</t>
  </si>
  <si>
    <t>IUIU</t>
  </si>
  <si>
    <t>COLEGIO ESTADUAL JORGE AMADO</t>
  </si>
  <si>
    <t>4098690005439321</t>
  </si>
  <si>
    <t>ANDREIA PEREIRA ROCHA</t>
  </si>
  <si>
    <t>00821259539</t>
  </si>
  <si>
    <t>COLEGIO ESTADUAL FLAVIANO DANTAS DO NASCIMENTO</t>
  </si>
  <si>
    <t>4098694287413590</t>
  </si>
  <si>
    <t>ANDRESON PEREIRA DOS SANTOS</t>
  </si>
  <si>
    <t>03338730500</t>
  </si>
  <si>
    <t>COLEGIO ESTADUAL MARQUES DE MARICA</t>
  </si>
  <si>
    <t>4098690001991671</t>
  </si>
  <si>
    <t>ANGELA ALMEIDA ARAUJO</t>
  </si>
  <si>
    <t>COLEGIO ESTADUAL KLEBER PACHECO DE OLIVEIRA</t>
  </si>
  <si>
    <t>4098699003436619</t>
  </si>
  <si>
    <t>ANGELICA MARINELIA DA SILVA CORDEIRO</t>
  </si>
  <si>
    <t>COLEGIO ESTADUAL LUIZ FERNANDO MACEDO COSTA</t>
  </si>
  <si>
    <t>4098691104799748</t>
  </si>
  <si>
    <t>ANGELO SOUZA OLIVEIRA</t>
  </si>
  <si>
    <t>00118686518</t>
  </si>
  <si>
    <t>SAO DOMINGOS</t>
  </si>
  <si>
    <t>CENTRO ESTADUAL DE EDUCACAO PROFISSIONAL DO SEMI ARIDO</t>
  </si>
  <si>
    <t>4098691106292262</t>
  </si>
  <si>
    <t>ANSELMO OLIVEIRA SANTOS</t>
  </si>
  <si>
    <t>SANTO ESTEVAO</t>
  </si>
  <si>
    <t>COLEGIO ESTADUAL DE TEMPO INTEGRAL DE SANTO ESTEVAO</t>
  </si>
  <si>
    <t>4098691101415538</t>
  </si>
  <si>
    <t>ANTONIA AILDA CONCEICAO MAGALHAES</t>
  </si>
  <si>
    <t>COLEGIO ESTADUAL RAYMUNDO MATTA</t>
  </si>
  <si>
    <t>4098690003256529</t>
  </si>
  <si>
    <t>ANTONIO AUGUSTO COSTA</t>
  </si>
  <si>
    <t>BOA VISTA DO TUPIM</t>
  </si>
  <si>
    <t>COLEGIO ESTADUAL BOA VISTA DO TUPIM</t>
  </si>
  <si>
    <t>4098690006273448</t>
  </si>
  <si>
    <t>ANTONIO CARLOS MENDES PINHO</t>
  </si>
  <si>
    <t>JAGUAQUARA</t>
  </si>
  <si>
    <t>COLEGIO ESTADUAL DO CAMPO VIRGILIO PEREIRA DE ALMEIDA</t>
  </si>
  <si>
    <t>4098691107996457</t>
  </si>
  <si>
    <t>ANTONIO EDEZIO SANTOS DE SOUSA</t>
  </si>
  <si>
    <t>07110573540</t>
  </si>
  <si>
    <t>COLEGIO ESTADUAL MARCILIO DIAS</t>
  </si>
  <si>
    <t>4098699382120826</t>
  </si>
  <si>
    <t>ANTONIO EDSON DE LIMA SOUZA</t>
  </si>
  <si>
    <t>COLEGIO ESTADUAL CIDADE DE CURITIBA</t>
  </si>
  <si>
    <t>4098690000824162</t>
  </si>
  <si>
    <t>ANTONIO FERNANDO SILVA DOS SANTOS</t>
  </si>
  <si>
    <t>GAVIAO</t>
  </si>
  <si>
    <t>4098690003031674</t>
  </si>
  <si>
    <t>ANTONIO FLAVIO DA COSTA</t>
  </si>
  <si>
    <t>BARRA DO MENDES</t>
  </si>
  <si>
    <t>COLEGIO ESTADUAL DE TEMPO INTEGRAL EDIVALDO MACHADO BOAVENTURA</t>
  </si>
  <si>
    <t>4098691107269350</t>
  </si>
  <si>
    <t>ANTONIO FRANCISCO RODRIGUES DE FREITAS</t>
  </si>
  <si>
    <t>02770453556</t>
  </si>
  <si>
    <t>PILAO ARCADO</t>
  </si>
  <si>
    <t>COLEGIO ESTADUAL DE TEMPO INTEGRAL SOFIA MASCARENHAS</t>
  </si>
  <si>
    <t>4098699002267197</t>
  </si>
  <si>
    <t>ANTONIO JERIDELSON DIAS</t>
  </si>
  <si>
    <t>COLEGIO ESTADUAL PROFESSOR CARLOS SANT ANNA</t>
  </si>
  <si>
    <t>4098691106446389</t>
  </si>
  <si>
    <t>ANTONIO JORGE PEREIRA DE ABREU</t>
  </si>
  <si>
    <t>COLEGIO ESTADUAL RUBEN DARIO</t>
  </si>
  <si>
    <t>4098693228418056</t>
  </si>
  <si>
    <t>ANTONIO LAZARO PIMENTA DE ARAUJO</t>
  </si>
  <si>
    <t>ALMADINA</t>
  </si>
  <si>
    <t>COLEGIO ESTADUAL SENADOR LUIZ VIANA FILHO</t>
  </si>
  <si>
    <t>4098691104771366</t>
  </si>
  <si>
    <t>ANTONIO LUIS ARAUJO NETO</t>
  </si>
  <si>
    <t>01365107523</t>
  </si>
  <si>
    <t>COLEGIO ESTADUAL ANTONIO CARLOS MAGALHAES</t>
  </si>
  <si>
    <t>4098693646090537</t>
  </si>
  <si>
    <t>ANTONIO MARCELINO BARREIROS GAVAZZA</t>
  </si>
  <si>
    <t>COLEGIO ESTADUAL PROFESSOR NELSON BARROS</t>
  </si>
  <si>
    <t>4098699003465055</t>
  </si>
  <si>
    <t>ANTONIO MARCELO DE OLIVEIRA FERREIRA</t>
  </si>
  <si>
    <t>COLEGIO ESTADUAL DEMOCRATICO BERTHOLDO CIRILO DOS REIS</t>
  </si>
  <si>
    <t>4098690006931904</t>
  </si>
  <si>
    <t>ANTONIO MAXIMO DANTAS ABREU</t>
  </si>
  <si>
    <t>COLEGIO ESTADUAL DO CAMPO HAMILTON RIOS DE ARAUJO</t>
  </si>
  <si>
    <t>4098691102446102</t>
  </si>
  <si>
    <t>ANTONIO SERGIO DA SILVA PASTOR</t>
  </si>
  <si>
    <t>00257251570</t>
  </si>
  <si>
    <t>CATU</t>
  </si>
  <si>
    <t>COLEGIO ESTADUAL ANTONIO DE DEUS SEIXAS</t>
  </si>
  <si>
    <t>4098693602091354</t>
  </si>
  <si>
    <t>APOENA JULIO DA SILVA ARAUJO</t>
  </si>
  <si>
    <t>COLEGIO ESTADUAL DOUTOR JAIR SANTOS SILVA</t>
  </si>
  <si>
    <t>4098699002735722</t>
  </si>
  <si>
    <t>ARACELI CARVALHO GOMES DANTAS</t>
  </si>
  <si>
    <t>CENTRO ESTADUAL DE EDUC PROFIS EM LOG.E TRANS.LUIZ PINTO DE CARVALHO</t>
  </si>
  <si>
    <t>4098690006459153</t>
  </si>
  <si>
    <t>ARIOSVALDO SILVA</t>
  </si>
  <si>
    <t>COLEGIO ESTADUAL INDIGENA TAWA</t>
  </si>
  <si>
    <t>4098691106212906</t>
  </si>
  <si>
    <t>ARISNANDO DE ARAGAO RIBEIRO</t>
  </si>
  <si>
    <t>03941921509</t>
  </si>
  <si>
    <t>AMERICA DOURADA</t>
  </si>
  <si>
    <t>COLEGIO ESTADUAL DE TEMPO INTEGRAL PROFESSORA NANCY DA ROCHA CARDOSO</t>
  </si>
  <si>
    <t>4098694715452053</t>
  </si>
  <si>
    <t>ARIVONE MARIA DA SILVA SANTOS</t>
  </si>
  <si>
    <t>VERA CRUZ</t>
  </si>
  <si>
    <t>CENTRO ESTADUAL DE EDUCACAO PROFISSIONAL DO OCEANO</t>
  </si>
  <si>
    <t>4098694713018161</t>
  </si>
  <si>
    <t>ARLON REIS LIMA</t>
  </si>
  <si>
    <t>BARRO ALTO</t>
  </si>
  <si>
    <t>COLEGIO ESTADUAL NECY NOVAIS</t>
  </si>
  <si>
    <t>4098690005804219</t>
  </si>
  <si>
    <t>ARMANDA ANDRADE BARRETO RAMOS</t>
  </si>
  <si>
    <t>COLEGIO ESTADUAL PROFESSORA GEORGINA RAMOS DA SILVA</t>
  </si>
  <si>
    <t>4098691103909694</t>
  </si>
  <si>
    <t>ARMANDO IDALENCIO DOS SANTOS FILHO</t>
  </si>
  <si>
    <t>ITAPETINGA</t>
  </si>
  <si>
    <t>COLEGIO ESTADUAL ALFREDO DUTRA</t>
  </si>
  <si>
    <t>4098693648432802</t>
  </si>
  <si>
    <t>ARMANDO LUIZ DOS SANTOS RODRIGO</t>
  </si>
  <si>
    <t>01209196565</t>
  </si>
  <si>
    <t>COLEGIO ESTADUAL DO ACUDINHO</t>
  </si>
  <si>
    <t>4098691100341917</t>
  </si>
  <si>
    <t>ARYANE MOTA PEREIRA GOMES</t>
  </si>
  <si>
    <t>COLEGIO ESTADUAL HERCULANO FARIA</t>
  </si>
  <si>
    <t>4098691106136667</t>
  </si>
  <si>
    <t>AUDEMARA RODRIGUES VIEIRA DO NASCIMENTO</t>
  </si>
  <si>
    <t>COLEGIO ESTADUAL CESARE CASALI</t>
  </si>
  <si>
    <t>4098690000583123</t>
  </si>
  <si>
    <t>AUGUSTO CESAR PENELU DA SILVA</t>
  </si>
  <si>
    <t>COLEGIO ESTADUAL DOUTOR JOSE MARCELINO DE SOUZA</t>
  </si>
  <si>
    <t>4098699003580754</t>
  </si>
  <si>
    <t>AURELINO CONCEICAO PEREIRA JUNIOR</t>
  </si>
  <si>
    <t>COLEGIO ESTADUAL LANDULFO ALVES DE ALMEIDA</t>
  </si>
  <si>
    <t>4098690000073125</t>
  </si>
  <si>
    <t>AURILENE MALTA RIBEIRO</t>
  </si>
  <si>
    <t>COLEGIO ESTADUAL SAO SEBASTIAO</t>
  </si>
  <si>
    <t>4098699510135852</t>
  </si>
  <si>
    <t>AURIVAN OLIVEIRA DE SOUZA</t>
  </si>
  <si>
    <t>COLEGIO ESTADUAL PROFESSORA MARIA DE LOURDES PARADA FRANCH</t>
  </si>
  <si>
    <t>4098699003676008</t>
  </si>
  <si>
    <t>BARBARA DE CASSIA VIEIRA</t>
  </si>
  <si>
    <t>PAULO AFONSO</t>
  </si>
  <si>
    <t>CENTRO TERRITORIAL DE EDUCACAO PROFIS ITAPARICA II WILSON PEREIRA</t>
  </si>
  <si>
    <t>4098692471415470</t>
  </si>
  <si>
    <t>BIANCA COELHO DE OLIVEIRA AGUIAR</t>
  </si>
  <si>
    <t>00857827421</t>
  </si>
  <si>
    <t>COLEGIO ESTADUAL DO CAMPO AGNALDO ALMEIDA</t>
  </si>
  <si>
    <t>4098691108929374</t>
  </si>
  <si>
    <t>BRUNA ANTONIELLA CORDEIRO BRIENE</t>
  </si>
  <si>
    <t>05487533423</t>
  </si>
  <si>
    <t>RIBEIRA DO AMPARO</t>
  </si>
  <si>
    <t>COLEGIO ESTADUAL JOSEFA SOARES DE OLIVEIRA</t>
  </si>
  <si>
    <t>4098691109937566</t>
  </si>
  <si>
    <t>BRUNO CESAR RODRIGUES CARDOSO</t>
  </si>
  <si>
    <t>CENTRO ESTAD DE EDUC, INOVACAO E FORMACAO DA BAHIA-CEEIFOR- MAE STELLA</t>
  </si>
  <si>
    <t>4098696682296033</t>
  </si>
  <si>
    <t>CAETANO CUPOLO DO SACRAMENTO</t>
  </si>
  <si>
    <t>MUNDO NOVO</t>
  </si>
  <si>
    <t>CENTRO TERRITORIAL DE EDUCACAO PROFISSIONAL PIEMONTE DO PARAGUACU II</t>
  </si>
  <si>
    <t>4098694711729348</t>
  </si>
  <si>
    <t>CAMILA ALMEIDA ALVES</t>
  </si>
  <si>
    <t>03506254502</t>
  </si>
  <si>
    <t>CAETITE</t>
  </si>
  <si>
    <t>COMPLEXO INTEGRADO DE EDUC BASICA PROFIS E TECNOLOGICA-CIEBTEC</t>
  </si>
  <si>
    <t>4098693641386575</t>
  </si>
  <si>
    <t>CAMILA PAULA JUNQUEIRA SANTOS</t>
  </si>
  <si>
    <t>00427027551</t>
  </si>
  <si>
    <t>CAMPO FORMOSO</t>
  </si>
  <si>
    <t>COLEGIO ESTADUAL QUILOMBOLA DE SAO TOME</t>
  </si>
  <si>
    <t>4098690001669590</t>
  </si>
  <si>
    <t>CARINA CRUZ DO NASCIMENTO DE AMORIM</t>
  </si>
  <si>
    <t>03126046533</t>
  </si>
  <si>
    <t>CENTRO EDUCACIONAL CARNEIRO RIBEIRO - CLASSE I</t>
  </si>
  <si>
    <t>4098690006039492</t>
  </si>
  <si>
    <t>CARLA DIAS ROCHA</t>
  </si>
  <si>
    <t>BREJOLANDIA</t>
  </si>
  <si>
    <t>COLEGIO ESTADUAL LUIS EDUARDO MAGALHAES</t>
  </si>
  <si>
    <t>4098693223343044</t>
  </si>
  <si>
    <t>CARLA GISELE RODRIGUES DE CASTRO FAGUNDES</t>
  </si>
  <si>
    <t>00480736529</t>
  </si>
  <si>
    <t>ANTAS</t>
  </si>
  <si>
    <t>COLEGIO ESTADUAL DE TEMPO INTEGRAL PROF LUZIA CARVALHO SILVA</t>
  </si>
  <si>
    <t>4098699002266827</t>
  </si>
  <si>
    <t>CARLA MARIA CARVALHO SILVA DE SANTANA</t>
  </si>
  <si>
    <t>COLEGIO ESTADUAL MARIA AMELIA SANTOS</t>
  </si>
  <si>
    <t>4098691100408773</t>
  </si>
  <si>
    <t>CARLA MAYNART CALO DA SILVA SOUSA</t>
  </si>
  <si>
    <t>COLEGIO MODELO LUIS EDUARDO MAGALHAES</t>
  </si>
  <si>
    <t>4098693148331561</t>
  </si>
  <si>
    <t>CARLITO ALVES DE BRITO</t>
  </si>
  <si>
    <t>LAPAO</t>
  </si>
  <si>
    <t>COLEGIO ESTADUAL DO CAMPO DE AGUADA NOVA</t>
  </si>
  <si>
    <t>4098690001613036</t>
  </si>
  <si>
    <t>CARLOS ADOLFO STOLZE DE OLIVEIRA</t>
  </si>
  <si>
    <t>ESCOLA PROFESSOR JULIO LEAL ARAUJO</t>
  </si>
  <si>
    <t>4098696129251773</t>
  </si>
  <si>
    <t>CARLOS AUGUSTO DOS SANTOS</t>
  </si>
  <si>
    <t>CARLOS EDUARDO CRUZ CARDOSO</t>
  </si>
  <si>
    <t>ALCOBACA</t>
  </si>
  <si>
    <t>COLEGIO ESTADUAL EUNICE JERONIMO DE OLIVEIRA</t>
  </si>
  <si>
    <t>4098699555789381</t>
  </si>
  <si>
    <t>CARLOS EDUARDO TORRES</t>
  </si>
  <si>
    <t>01680868594</t>
  </si>
  <si>
    <t>COLEGIO ESTADUAL ANA CRISTINA PRAZERES MATA PIRES</t>
  </si>
  <si>
    <t>4098690001545204</t>
  </si>
  <si>
    <t>CARLOS HENRIQUE DA SILVA CUNHA</t>
  </si>
  <si>
    <t>COLEGIO DA POLICIA MILITAR - CPM PROFESSOR ALEXANDRE LEAL COSTA</t>
  </si>
  <si>
    <t>4098690009561583</t>
  </si>
  <si>
    <t>CARLOS HENRIQUE DA SILVA NEIVA</t>
  </si>
  <si>
    <t>LAJEDAO</t>
  </si>
  <si>
    <t>COLEGIO ESTADUAL PROFESSORA NEIDE SOARES BORGES</t>
  </si>
  <si>
    <t>4098691557372688</t>
  </si>
  <si>
    <t>CARLOS HENRIQUE DOS SANTOS RODRIGUES</t>
  </si>
  <si>
    <t>SERRINHA</t>
  </si>
  <si>
    <t>CENTRO TERRITORIAL DE EDUCACAO PROFISSIONAL DO SISAL</t>
  </si>
  <si>
    <t>4098699604755748</t>
  </si>
  <si>
    <t>CARLOS HUDSON DE OLIVEIRA BATISTA</t>
  </si>
  <si>
    <t>00884390543</t>
  </si>
  <si>
    <t>QUEIMADAS</t>
  </si>
  <si>
    <t>CETEP DE TEMPO INTEGRAL SANTO ANTONIO DAS QUEIMADAS</t>
  </si>
  <si>
    <t>4098690006074655</t>
  </si>
  <si>
    <t>CARLOS IVAN ALMEIDA LIMA</t>
  </si>
  <si>
    <t>00575187506</t>
  </si>
  <si>
    <t>IBICUI</t>
  </si>
  <si>
    <t>COLEGIO ESTADUAL DE TEMPO INTEGRAL PAULO FREIRE</t>
  </si>
  <si>
    <t>4098691107959000</t>
  </si>
  <si>
    <t>CARLOS JORDAN SOUZA DA ROCHA</t>
  </si>
  <si>
    <t>COLEGIO ESTADUAL PROFESSORA HELOISA COSTA</t>
  </si>
  <si>
    <t>4098690001455321</t>
  </si>
  <si>
    <t>CARLUCE MESSIAS NEVES</t>
  </si>
  <si>
    <t>COLEGIO ESTADUAL NOSSA SENHORA DE FATIMA</t>
  </si>
  <si>
    <t>4098699002635658</t>
  </si>
  <si>
    <t>CASSIA CILENE DE ALMEIDA ARAGAO</t>
  </si>
  <si>
    <t>IPIRA</t>
  </si>
  <si>
    <t>CEMIT BACIA DO JACUIPE</t>
  </si>
  <si>
    <t>4098697951919768</t>
  </si>
  <si>
    <t>CASSIO DE CERQUEIRA OLIVEIRA</t>
  </si>
  <si>
    <t>04218385580</t>
  </si>
  <si>
    <t>MONTE SANTO</t>
  </si>
  <si>
    <t>COLEGIO ESTADUAL DO CAMPO DE PEDRA VERMELHA</t>
  </si>
  <si>
    <t>4098693642036286</t>
  </si>
  <si>
    <t>CATIANA GUIMARAES RIBEIRO</t>
  </si>
  <si>
    <t>03226260561</t>
  </si>
  <si>
    <t>COLEGIO ESTADUAL JOSE FERREIRA DE OLIVEIRA</t>
  </si>
  <si>
    <t>4098691105762422</t>
  </si>
  <si>
    <t>CATIANI ARAUJO MOTA RAMOS</t>
  </si>
  <si>
    <t>SAO GABRIEL</t>
  </si>
  <si>
    <t>COLEGIO ESTADUAL JOAO DURVAL CARNEIRO</t>
  </si>
  <si>
    <t>4098694663626344</t>
  </si>
  <si>
    <t>CECILIA MACHADO DE OLIVEIRA</t>
  </si>
  <si>
    <t>CAMACARI</t>
  </si>
  <si>
    <t>COLEGIO ESTADUAL CAMACARI</t>
  </si>
  <si>
    <t>4098694125871017</t>
  </si>
  <si>
    <t>CELESTE MARIA DE SANTANA DOS SANTOS</t>
  </si>
  <si>
    <t>ITAGIMIRIM</t>
  </si>
  <si>
    <t>COLEGIO ESTADUAL LOIDE ALCANTARA NEVES</t>
  </si>
  <si>
    <t>4098690002389214</t>
  </si>
  <si>
    <t>CELETE PEREIRA PINHO</t>
  </si>
  <si>
    <t>PNAE NTE27 EUNAPOLI</t>
  </si>
  <si>
    <t>CELIA SANTOS ANDRADE</t>
  </si>
  <si>
    <t>AGUA FRIA</t>
  </si>
  <si>
    <t>COLEGIO ESTADUAL DE AGUA FRIA</t>
  </si>
  <si>
    <t>4098691109401597</t>
  </si>
  <si>
    <t>CELIANE MASCARENHAS SILVA</t>
  </si>
  <si>
    <t>03319744526</t>
  </si>
  <si>
    <t>CENTRO TERRITORIAL DE EDUCAÇÃO PROFISSIONAL DO LITORAL SUL</t>
  </si>
  <si>
    <t>4098691105416060</t>
  </si>
  <si>
    <t>CESAR ALEX DE SOUZA LEAL</t>
  </si>
  <si>
    <t>COLEGIO ESTADUAL DE TEMPO INTEGRAL PROF FLORENTINA ALVES DOS SANTOS</t>
  </si>
  <si>
    <t>4098690007120531</t>
  </si>
  <si>
    <t>CHARLES JEAN DA SILVA PEREIRA</t>
  </si>
  <si>
    <t>BONINAL</t>
  </si>
  <si>
    <t>COLEGIO ESTADUAL DE TEMPO INTEGRAL RUI BARBOSA</t>
  </si>
  <si>
    <t>4098691104165908</t>
  </si>
  <si>
    <t>CHARLES ROBERTO MEDEIROS SANTANA PAIVA</t>
  </si>
  <si>
    <t>RIBEIRA DO POMBAL</t>
  </si>
  <si>
    <t>COLEGIO ESTADUAL DO CAMPO JOAO MARQUES DA SILVA</t>
  </si>
  <si>
    <t>4098690001467847</t>
  </si>
  <si>
    <t>CHRISTIANE RODRIGUES VIEIRA DE BRITO</t>
  </si>
  <si>
    <t>COLEGIO ESTADUAL PADRE PALMEIRA</t>
  </si>
  <si>
    <t>4098699003608571</t>
  </si>
  <si>
    <t>CIBELE AZEVEDO DA HORA SILVA</t>
  </si>
  <si>
    <t>CAFARNAUM</t>
  </si>
  <si>
    <t>COLEGIO ESTADUAL DE TEMPO INTEGRAL IMACULADA CONCEICAO</t>
  </si>
  <si>
    <t>4098690006764388</t>
  </si>
  <si>
    <t>CICERA MARIA PIRES</t>
  </si>
  <si>
    <t>COLEGIO ESTADUAL DE TEMPO INTEGRAL MASCARENHAS DE CAMACARI</t>
  </si>
  <si>
    <t>4098690007602124</t>
  </si>
  <si>
    <t>CINTIA LIMA DE SOUZA DA SILVA</t>
  </si>
  <si>
    <t>COLEGIO ESTADUAL DE TEMPO INTEGRAL DE VILAS DE ABRANTES</t>
  </si>
  <si>
    <t>4098693229269557</t>
  </si>
  <si>
    <t>CLAUDIA CRISTINA ARAUJO DE OLIVEIRA</t>
  </si>
  <si>
    <t>ENTRE RIOS</t>
  </si>
  <si>
    <t>COLEGIO ESTADUAL PROFESSORA IVANECK MARIA AGUIAR COSTA</t>
  </si>
  <si>
    <t>4098691102518314</t>
  </si>
  <si>
    <t>CLAUDIA DANTAS SCHRAMM</t>
  </si>
  <si>
    <t>COLEGIO ESTADUAL CONSELHEIRO VICENTE PACHECO DE OLIVEIRA</t>
  </si>
  <si>
    <t>4098691108084840</t>
  </si>
  <si>
    <t>CLAUDIA FERREIRA NUNES</t>
  </si>
  <si>
    <t>MURITIBA</t>
  </si>
  <si>
    <t>COLEGIO ESTADUAL JOAO BATISTA PEREIRA FRAGA</t>
  </si>
  <si>
    <t>4098691101064237</t>
  </si>
  <si>
    <t>CLAUDIA LEAL DOS SANTOS</t>
  </si>
  <si>
    <t>COLEGIO ESTADUAL JURACY MAGALHAES JUNIOR</t>
  </si>
  <si>
    <t>4098699002635583</t>
  </si>
  <si>
    <t>CLAUDIA MARIA DA SILVA MENEZES</t>
  </si>
  <si>
    <t>COLEGIO DA POLICIA MILITAR - CPM ROMULO GALVAO</t>
  </si>
  <si>
    <t>4098691817813737</t>
  </si>
  <si>
    <t>CLAUDIA MARIA MACEDO ARCANJO SOARES</t>
  </si>
  <si>
    <t>CENTRO DE APOIO PEDAGOGICO ESPECIALIZADO - CAPE VALENCA </t>
  </si>
  <si>
    <t>4098695610419675</t>
  </si>
  <si>
    <t>CLAUDIA SANDRA DE JESUS SANTOS NASCIMENTO</t>
  </si>
  <si>
    <t>COLEGIO ESTADUAL DO CAMPO HERMINIO MANOEL DE JESUS</t>
  </si>
  <si>
    <t>4098699003580796</t>
  </si>
  <si>
    <t>CLAUDIANA DE SOUZA PEREIRA COSTA</t>
  </si>
  <si>
    <t>GUANAMBI</t>
  </si>
  <si>
    <t>CENTRO ESTADUAL DE EDUCACAO PROFISSIONAL EM SAUDE E GESTAO</t>
  </si>
  <si>
    <t>4098699002654048</t>
  </si>
  <si>
    <t>CLAUDIANA LIMA TEIXEIRA</t>
  </si>
  <si>
    <t>00405189575</t>
  </si>
  <si>
    <t>COLEGIO ESTADUAL CELIA MATA PIRES</t>
  </si>
  <si>
    <t>4098699002303794</t>
  </si>
  <si>
    <t>CLAUDIANE SANTANA BOMFIM</t>
  </si>
  <si>
    <t>COLEGIO ESTADUAL PROFESSORA MARIA ANITA</t>
  </si>
  <si>
    <t>4098690003478032</t>
  </si>
  <si>
    <t>CLAUDIO LUIS GOMES DOS SANTOS</t>
  </si>
  <si>
    <t>EUNAPOLIS</t>
  </si>
  <si>
    <t>COMPLEXO INTEGRADO DE EDUCACAO BASICA PROFISSIONAL E TECNOLOGIA</t>
  </si>
  <si>
    <t>4098699293531277</t>
  </si>
  <si>
    <t>CLAUDIONOR PEREIRA TEIXEIRA</t>
  </si>
  <si>
    <t>02554604576</t>
  </si>
  <si>
    <t>CAMPO ALEGRE DE LOURDES</t>
  </si>
  <si>
    <t>COLEGIO ESTADUAL DOUTOR IVES ORLANDO LOPES DA SILVA</t>
  </si>
  <si>
    <t>4098691102605145</t>
  </si>
  <si>
    <t>CLAUDIVON DIAS DA SILVA</t>
  </si>
  <si>
    <t>APORA</t>
  </si>
  <si>
    <t>COLEGIO ESTADUAL DE TEMPO INTEGRAL PROF AUREA DOS HUMILDES OLIVEIRA</t>
  </si>
  <si>
    <t>4098690000269608</t>
  </si>
  <si>
    <t>CLEA DANTAS GOUVEIA</t>
  </si>
  <si>
    <t>02683778554</t>
  </si>
  <si>
    <t>CORRENTINA</t>
  </si>
  <si>
    <t>COLEGIO ESTADUAL DE TEMPO INTEGRAL DE CORRENTINA</t>
  </si>
  <si>
    <t>4098699003317074</t>
  </si>
  <si>
    <t>CLEBER AIRES NASCIMENTO</t>
  </si>
  <si>
    <t>COLEGIO ESTADUAL TEIXEIRA DE FREITAS</t>
  </si>
  <si>
    <t>4098699002614653</t>
  </si>
  <si>
    <t>CLEBER CARVALHO CHAVES</t>
  </si>
  <si>
    <t>RIO DO ANTONIO</t>
  </si>
  <si>
    <t>COLEGIO ESTADUAL DO RIO DO ANTONIO</t>
  </si>
  <si>
    <t>4098699002657538</t>
  </si>
  <si>
    <t>CLEBER CLEITON SILVEIRA TEIXEIRA</t>
  </si>
  <si>
    <t>COLEGIO ESTADUAL PROFESSORA MARIA BERNADETE BRANDAO</t>
  </si>
  <si>
    <t>4098699002304727</t>
  </si>
  <si>
    <t>CLECIO ROULLET DE AZEVEDO</t>
  </si>
  <si>
    <t>SAO DESIDERIO</t>
  </si>
  <si>
    <t>COLEGIO ESTADUAL BENTO ALVES DAS NEVES</t>
  </si>
  <si>
    <t>4098699002269557</t>
  </si>
  <si>
    <t>CLEIDIANE SANTOS DA CRUZ</t>
  </si>
  <si>
    <t>TEIXEIRA DE FREITAS</t>
  </si>
  <si>
    <t>COLEGIO ESTADUAL DEMOCRATICO RUY BARBOSA</t>
  </si>
  <si>
    <t>4098691108887598</t>
  </si>
  <si>
    <t>CLELIA APARECIDA HENRIQUETA DOS SANTOS MALHEIRO</t>
  </si>
  <si>
    <t>REMANSO</t>
  </si>
  <si>
    <t>COLEGIO ESTADUAL REITOR EDGARD SANTOS</t>
  </si>
  <si>
    <t>4098690001755118</t>
  </si>
  <si>
    <t>CLESCIO ALMEIDA DE JESUS</t>
  </si>
  <si>
    <t>ANDARAI</t>
  </si>
  <si>
    <t>COLEGIO ESTADUAL DE TEMPO INTEGRAL EDGAR SILVA</t>
  </si>
  <si>
    <t>4098691104000279</t>
  </si>
  <si>
    <t>CLESIA VALQUIRIA BATISTA DA SILVA</t>
  </si>
  <si>
    <t>COLEGIO POLIVALENTE DE VITORIA DA CONQUISTA</t>
  </si>
  <si>
    <t>4098691381549071</t>
  </si>
  <si>
    <t>CLEUMA OLIVEIRA LOPES GOMES</t>
  </si>
  <si>
    <t>COLEGIO ESTADUAL DE SALOBRINHO</t>
  </si>
  <si>
    <t>4098691386539861</t>
  </si>
  <si>
    <t>CLEUSA MARIA DE JESUS PINTO SANTOS</t>
  </si>
  <si>
    <t>COLEGIO ESTADUAL PADRE JOSE VASCONCELOS</t>
  </si>
  <si>
    <t>4098691104403663</t>
  </si>
  <si>
    <t>CONCEICAO MARIA DE CASTRO</t>
  </si>
  <si>
    <t>COLEGIO ESTADUAL INACIO TOSTA FILHO</t>
  </si>
  <si>
    <t>4098690000438252</t>
  </si>
  <si>
    <t>CORBULON BATISTA DOS SANTOS FILHO</t>
  </si>
  <si>
    <t>COLEGIO ESTADUAL DE TEMPO INTEGRAL DE MONTE GORDO</t>
  </si>
  <si>
    <t>4098691100329367</t>
  </si>
  <si>
    <t>CREONICE MARIA CAMPOS</t>
  </si>
  <si>
    <t>UTINGA</t>
  </si>
  <si>
    <t>COLEGIO ESTADUAL PROFESSORA ZENAIDE ALVES BARRETO</t>
  </si>
  <si>
    <t>4098691108372989</t>
  </si>
  <si>
    <t>CRICIA TAINA CERQUEIRA BONFIM</t>
  </si>
  <si>
    <t>05779095507</t>
  </si>
  <si>
    <t>COLEGIO ESTADUAL DINAH GONCALVES</t>
  </si>
  <si>
    <t>4098690005779676</t>
  </si>
  <si>
    <t>CRISTIANE CUNHA LIMA SODRE LE</t>
  </si>
  <si>
    <t>COLEGIO ESTADUAL ERALDO TINOCO</t>
  </si>
  <si>
    <t>4098694122799955</t>
  </si>
  <si>
    <t>CRISTIANE LIMA MAGALHAES DOS SANTOS</t>
  </si>
  <si>
    <t>COLEGIO ESTADUAL PROFESSORA CARMINDA MASCARENHAS VIEIRA</t>
  </si>
  <si>
    <t>4098694666555854</t>
  </si>
  <si>
    <t>CRISTIANE OLIVEIRA NUNES</t>
  </si>
  <si>
    <t>BARRA DO ROCHA</t>
  </si>
  <si>
    <t>COLEGIO ESTADUAL ANTONIO MOTA BITTENCOURT</t>
  </si>
  <si>
    <t>4098691100327734</t>
  </si>
  <si>
    <t>CRISTIANO PEDREIRA LOPES</t>
  </si>
  <si>
    <t>01388458594</t>
  </si>
  <si>
    <t>CENTRO ESTADUAL DE EDUCACAO PROFISSIONAL EM MUSICA</t>
  </si>
  <si>
    <t>4098690005843126</t>
  </si>
  <si>
    <t>CRISTINA MARIA CARVALHO NASCIMENTO</t>
  </si>
  <si>
    <t>JACOBINA</t>
  </si>
  <si>
    <t>COLEGIO ESTADUAL PROFESSORA MARIA IZABEL DE OLIVEIRA</t>
  </si>
  <si>
    <t>4098694127962756</t>
  </si>
  <si>
    <t>CRISTINA RAMOS DA SILVA CARVALHO</t>
  </si>
  <si>
    <t>MIGUEL CALMON</t>
  </si>
  <si>
    <t>4098690000630635</t>
  </si>
  <si>
    <t>CRISTINA SOARES DE SOUZA</t>
  </si>
  <si>
    <t>SERRA DO RAMALHO</t>
  </si>
  <si>
    <t>COLEGIO ESTADUAL ANISIO HONORATO GODOY</t>
  </si>
  <si>
    <t>4098696269268942</t>
  </si>
  <si>
    <t>CRISTINI MARIA GUEDES SANTOS</t>
  </si>
  <si>
    <t>04516256509</t>
  </si>
  <si>
    <t>COLEGIO ESTADUAL POLIVALENTE DE MIGUEL CALMON</t>
  </si>
  <si>
    <t>4098699003433897</t>
  </si>
  <si>
    <t>CUSTODIO BELITARDO COUTINHO</t>
  </si>
  <si>
    <t>ITABERABA</t>
  </si>
  <si>
    <t>COLEGIO ESTADUAL CENTENARIO</t>
  </si>
  <si>
    <t>4098691556380955</t>
  </si>
  <si>
    <t>DAIANE DA CRUZ SILVA</t>
  </si>
  <si>
    <t>03249192554</t>
  </si>
  <si>
    <t>JEQUIE</t>
  </si>
  <si>
    <t>CENTRO DE APOIO PEDAGOGICO ESPECIALIZADO DE JEQUIE</t>
  </si>
  <si>
    <t>fazer cadastro</t>
  </si>
  <si>
    <t>DALILA FONSECA PONTES</t>
  </si>
  <si>
    <t>COLEGIO ESTADUAL PROFESSORA SILVIA FERREIRA DE BRITO</t>
  </si>
  <si>
    <t>4098690004920560</t>
  </si>
  <si>
    <t>DAMIAO SANTANA CARDOSO</t>
  </si>
  <si>
    <t>COLEGIO ESTADUAL DE TEMPO INTEGRAL PROF ANA ALICE FIGUEREDO DOS SANTOS</t>
  </si>
  <si>
    <t>4098690000437627</t>
  </si>
  <si>
    <t>DANIELA CORDEIRO CONCEICAO PEREIRA</t>
  </si>
  <si>
    <t>JUSSARI</t>
  </si>
  <si>
    <t>COLEGIO ESTADUAL AMELIA AMADO</t>
  </si>
  <si>
    <t>4098693227076806</t>
  </si>
  <si>
    <t>DANIELA SILVA DE SOUSA</t>
  </si>
  <si>
    <t>02051100535</t>
  </si>
  <si>
    <t>MANSIDAO</t>
  </si>
  <si>
    <t>COLEGIO ESTADUAL PROFESSORA MARIA HELENA OLIVEIRA</t>
  </si>
  <si>
    <t>4098690009107932</t>
  </si>
  <si>
    <t>DAVI FRANK GOMES MACHADO</t>
  </si>
  <si>
    <t>COLEGIO ESTADUAL PROFESSOR FIRMO NUNES DE OLIVEIRA</t>
  </si>
  <si>
    <t>4098699003663071</t>
  </si>
  <si>
    <t>DAVID TONE SILVA CARREIRO</t>
  </si>
  <si>
    <t>01374110574</t>
  </si>
  <si>
    <t>GUAJERU</t>
  </si>
  <si>
    <t>4098695090635501</t>
  </si>
  <si>
    <t>DEAN CARLOS RIBEIRO PORTO</t>
  </si>
  <si>
    <t>06439801562</t>
  </si>
  <si>
    <t>SIMOES FILHO</t>
  </si>
  <si>
    <t>CENTRO ESTADUAL DE EDUC PROF EM SERVICOS E PROC IND IRMA DULCE</t>
  </si>
  <si>
    <t>4098691103357092</t>
  </si>
  <si>
    <t>DEBORA BELTOSO CRUZ</t>
  </si>
  <si>
    <t>COLEGIO ESTADUAL PROFESSORA TECLA MELLO</t>
  </si>
  <si>
    <t>4098699866426996</t>
  </si>
  <si>
    <t>DEBORA FALCAO BATISTA DE OLIVEIRA</t>
  </si>
  <si>
    <t>01039262597</t>
  </si>
  <si>
    <t>PORTO SEGURO</t>
  </si>
  <si>
    <t>COLEGIO ESTADUAL ARRAIAL D AJUDA - CEAA</t>
  </si>
  <si>
    <t>4098690000220387</t>
  </si>
  <si>
    <t>DEISE EVANGELISTA FERNANDES PEREIRA SOUSA</t>
  </si>
  <si>
    <t>00861503597</t>
  </si>
  <si>
    <t>TUCANO</t>
  </si>
  <si>
    <t>COLEGIO ESTADUAL ROMULO GALVAO</t>
  </si>
  <si>
    <t>4098699003585118</t>
  </si>
  <si>
    <t>DELMARK DA ANUNCIACAO PIMENTEL</t>
  </si>
  <si>
    <t>ARAMARI</t>
  </si>
  <si>
    <t>COLEGIO ESTADUAL DE TEMPO INTEGRAL PROFESSORA MARIA DO CARMO SANTANA</t>
  </si>
  <si>
    <t>4098692233935856</t>
  </si>
  <si>
    <t>DELSON JOSE DOS SANTOS NETO</t>
  </si>
  <si>
    <t>03150226554</t>
  </si>
  <si>
    <t>AURELINO LEAL</t>
  </si>
  <si>
    <t>COLEGIO ESTADUAL DE TEMPO INTEGRAL PROFESSORA JAIDE ROCHA</t>
  </si>
  <si>
    <t>4098690008413372</t>
  </si>
  <si>
    <t>DENIS ANJOS DE SANTANA SOUZA</t>
  </si>
  <si>
    <t>CENTRO EST DE EDUCACAO PROFIS EM TECNOLOGIA INFORMACAO E COMUNICACAO</t>
  </si>
  <si>
    <t>4098694713059280</t>
  </si>
  <si>
    <t>DENIS RIOS DALTRO</t>
  </si>
  <si>
    <t>COLEGIO ESTADUAL RAPHAEL SERRAVALLE</t>
  </si>
  <si>
    <t>4098699381697543</t>
  </si>
  <si>
    <t>DENISE LAGO DE MIRANDA</t>
  </si>
  <si>
    <t>CENTRO DE APOIO PEDAGOGICO ESPECIALIZADO - GRAPIUNA</t>
  </si>
  <si>
    <t>4098699003566423</t>
  </si>
  <si>
    <t>DENISE MENEZES ALMEIDA</t>
  </si>
  <si>
    <t>SALINAS DA MARGARIDA</t>
  </si>
  <si>
    <t>COLEGIO ESTADUAL DE TEMPO INTEGRAL DE SALINAS DA MARGARIDA</t>
  </si>
  <si>
    <t>4098690003345256</t>
  </si>
  <si>
    <t>DENISON SOARES DOS SANTOS</t>
  </si>
  <si>
    <t>COLEGIO ESTADUAL DESEMBARGADOR JULIO VIRGINIO DE SANTANA</t>
  </si>
  <si>
    <t>4098691109541848</t>
  </si>
  <si>
    <t>DENIVALDO DE SANTANA DA SILVA</t>
  </si>
  <si>
    <t>PRESIDENTE TANCREDO NEVES</t>
  </si>
  <si>
    <t>COLEGIO ESTADUAL MARIA XAVIER DE ANDRADE REIS</t>
  </si>
  <si>
    <t>4098699689175515</t>
  </si>
  <si>
    <t>DERALDO NASCIMENTO NETO</t>
  </si>
  <si>
    <t>01514787598</t>
  </si>
  <si>
    <t>DEUSDETE GOMES DE ALMEIDA JUNIOR</t>
  </si>
  <si>
    <t>COLEGIO ESTADUAL PROFESSOR ROMULO GALVAO</t>
  </si>
  <si>
    <t>4098691428800495</t>
  </si>
  <si>
    <t>DEUSIRA NUNES DI LAURO DIAS</t>
  </si>
  <si>
    <t>SITIO DO MATO</t>
  </si>
  <si>
    <t>COLEGIO ESTADUAL DO CAMPO DE TEMPO INTEGRAL THOMAZ LEITE</t>
  </si>
  <si>
    <t>4098699003650235</t>
  </si>
  <si>
    <t>DIEGO DA SILVA OLIVEIRA</t>
  </si>
  <si>
    <t>03345860546</t>
  </si>
  <si>
    <t>SANTA MARIA DA VITORIA</t>
  </si>
  <si>
    <t>CENTRO TERRITORIAL DE EDUCACAO PROFISSIONAL DA BACIA DO RIO CORRENTE</t>
  </si>
  <si>
    <t>4098694712536254</t>
  </si>
  <si>
    <t>DIEGO MARCONE NEVES DE SOUZA SANTOS</t>
  </si>
  <si>
    <t>00439499593</t>
  </si>
  <si>
    <t>COLEGIO ESTADUAL ONILDO RAIMUNDO CRISTO</t>
  </si>
  <si>
    <t>4098690009236038</t>
  </si>
  <si>
    <t>DIEGO MENEZES DOS SANTOS</t>
  </si>
  <si>
    <t>03806173583</t>
  </si>
  <si>
    <t>COLEGIO ESTADUAL PROFESSOR EDSON CARNEIRO</t>
  </si>
  <si>
    <t>4098690003250605</t>
  </si>
  <si>
    <t>DILCE MARIA SOUTO DE ASSIS</t>
  </si>
  <si>
    <t>COLEGIO ESTADUAL JOSE SA NUNES</t>
  </si>
  <si>
    <t>4098690003270934</t>
  </si>
  <si>
    <t>DILCENEIA PEREIRA DA SILVA</t>
  </si>
  <si>
    <t>4098690007982971</t>
  </si>
  <si>
    <t>DINOELMA DA SILVA MOURA</t>
  </si>
  <si>
    <t>COLEGIO ESTADUAL SETE DE SETEMBRO</t>
  </si>
  <si>
    <t>4098691106550883</t>
  </si>
  <si>
    <t>DIOGENES RIBEIRO DA SILVA</t>
  </si>
  <si>
    <t>COLEGIO ESTADUAL ROTARY</t>
  </si>
  <si>
    <t>4098692475514179</t>
  </si>
  <si>
    <t>DIOGO SPINOLA SODRE</t>
  </si>
  <si>
    <t>COLEGIO ESTADUAL TEREZA HELENA MATA PIRES</t>
  </si>
  <si>
    <t>4098690005971885</t>
  </si>
  <si>
    <t>DIVANEY DOS SANTOS VIEIRA</t>
  </si>
  <si>
    <t>COLEGIO ESTADUAL RUTH PACHECO</t>
  </si>
  <si>
    <t>4098699002804288</t>
  </si>
  <si>
    <t>DORIS MONTEIRO RIBEIRO SOARES</t>
  </si>
  <si>
    <t>RIACHAO DAS NEVES</t>
  </si>
  <si>
    <t>COLEGIO ESTADUAL PROFESSOR IVARDO PEREIRA BASTOS</t>
  </si>
  <si>
    <t>4098691107618317</t>
  </si>
  <si>
    <t>DULCELICE DE ALCANTARA SANTOS BRITO</t>
  </si>
  <si>
    <t>RIACHAO DO JACUIPE</t>
  </si>
  <si>
    <t>COLEGIO ESTADUAL DO CAMPO DACILDA RIOS DE OLIVEIRA</t>
  </si>
  <si>
    <t>4098699002269680</t>
  </si>
  <si>
    <t>ED CARLOS RIOS DE OLIVEIRA</t>
  </si>
  <si>
    <t>BROTAS DE MACAUBAS</t>
  </si>
  <si>
    <t>COLEGIO ESTADUAL DO CAMPO RITA DE OLIVEIRA BARAUNA</t>
  </si>
  <si>
    <t>4098697275858288</t>
  </si>
  <si>
    <t>EDER SOUZA DE ARAUJO</t>
  </si>
  <si>
    <t>00287375552</t>
  </si>
  <si>
    <t>COLEGIO DA POLICIA MILITAR CPM DIVA PORTELA</t>
  </si>
  <si>
    <t>4098691105995329</t>
  </si>
  <si>
    <t>EDIANN DE ALMEIDA SANTOS</t>
  </si>
  <si>
    <t>COLEGIO DA POLICIA MILITAR - CPM PROFESSOR POETA LUIS NEVES COTRIM</t>
  </si>
  <si>
    <t>4674811108797918</t>
  </si>
  <si>
    <t>EDILBERTO GONCALVES DOS SANTOS</t>
  </si>
  <si>
    <t>COLEGIO ESTADUAL VISCONDE DE MAUA</t>
  </si>
  <si>
    <t>4098691101251586</t>
  </si>
  <si>
    <t>EDILENE SOUZA DE SENA</t>
  </si>
  <si>
    <t>SANTA CRUZ DA VITORIA</t>
  </si>
  <si>
    <t>COLEGIO ESTADUAL JOHN KENNEDY</t>
  </si>
  <si>
    <t>4098691109507294</t>
  </si>
  <si>
    <t>EDILEUSA GARCIA GOMES</t>
  </si>
  <si>
    <t>ICHU</t>
  </si>
  <si>
    <t>COLEGIO ESTADUAL ARISTIDES CEDRAZ DE OLIVEIRA</t>
  </si>
  <si>
    <t>4098690005606952</t>
  </si>
  <si>
    <t>EDILMA CARNEIRO DE ALMEIDA ARAUJO</t>
  </si>
  <si>
    <t>01129138577</t>
  </si>
  <si>
    <t>COLEGIO ESTADUAL MANOEL DE JESUS</t>
  </si>
  <si>
    <t>4098694129374166</t>
  </si>
  <si>
    <t>EDIMAR DOS SANTOS SANTO</t>
  </si>
  <si>
    <t>01858783500</t>
  </si>
  <si>
    <t>COLEGIO ESTADUAL PROFESSOR CARLOS BARROS</t>
  </si>
  <si>
    <t>4098697277633549</t>
  </si>
  <si>
    <t>EDIMILSON MERCES OLIVEIRA</t>
  </si>
  <si>
    <t>RIO REAL</t>
  </si>
  <si>
    <t>COLEGIO ESTADUAL DOUTOR JOSE CARVALHO BAPTISTA</t>
  </si>
  <si>
    <t>4098699002266645</t>
  </si>
  <si>
    <t>EDINA CARDOZO DA SILVA</t>
  </si>
  <si>
    <t>XIQUE-XIQUE</t>
  </si>
  <si>
    <t>COLEGIO ESTADUAL PROFESSORA GILDETE DE SOUZA VIANA</t>
  </si>
  <si>
    <t>4098699002268328</t>
  </si>
  <si>
    <t>EDINALVA DA CONCEICAO OLIVEIRA</t>
  </si>
  <si>
    <t>COLEGIO ESTADUAL DO CAMPO PETRONIO PORTELA</t>
  </si>
  <si>
    <t>4098690008159421</t>
  </si>
  <si>
    <t>EDINEUZA DA SILVA REIS OLIVEIRA</t>
  </si>
  <si>
    <t>CENTRO EST DE EDUCACAO PROFISSIONAL EM SAUDE DO CENTRO BAIANO</t>
  </si>
  <si>
    <t>4098690006799723</t>
  </si>
  <si>
    <t>EDIVANE LIMA FONSECA PERGENTINO</t>
  </si>
  <si>
    <t>COLEGIO ESTADUAL DO CAMPO JORGE CALMON</t>
  </si>
  <si>
    <t>4098690004354919</t>
  </si>
  <si>
    <t>EDJAN SOUZA DUARTE</t>
  </si>
  <si>
    <t>COLEGIO ESTADUAL ALFREDO MAGALHAES</t>
  </si>
  <si>
    <t>4098691100589739</t>
  </si>
  <si>
    <t>EDMILSON DOS SANTOS CARDOSO</t>
  </si>
  <si>
    <t>COLEGIO ESTADUAL KLEBER PACHECO</t>
  </si>
  <si>
    <t>4098699003603739</t>
  </si>
  <si>
    <t>EDMILSON GAMA SILVA</t>
  </si>
  <si>
    <t>COLEGIO DA POLICIA MILITAR - CPM ALFREDO VIANNA</t>
  </si>
  <si>
    <t>4098693284810451</t>
  </si>
  <si>
    <t>EDNA MARIA DE SOUZA SANTOS</t>
  </si>
  <si>
    <t>COLEGIO ESTADUAL INDIGENA TUPINAMBA DE ACUIPE DE BAIXO</t>
  </si>
  <si>
    <t>4098699180251203</t>
  </si>
  <si>
    <t>EDNA MARIA PEREIRA SANTOS</t>
  </si>
  <si>
    <t>4098691107917867</t>
  </si>
  <si>
    <t>EDNAILZA MIRANDA CARVALHO ABOBOREIRA</t>
  </si>
  <si>
    <t>SAPEACU</t>
  </si>
  <si>
    <t>COLEGIO ESTADUAL DOUTOR ELIEL DA SILVA MARTINS</t>
  </si>
  <si>
    <t>4098690005970390</t>
  </si>
  <si>
    <t>EDNALDO BARRETO DA SILVA</t>
  </si>
  <si>
    <t>ESCOLA ESTADUAL PIERRE VERGER</t>
  </si>
  <si>
    <t>4098691109720293</t>
  </si>
  <si>
    <t>EDNALDO SILVA DE FREITAS</t>
  </si>
  <si>
    <t>MIRANGABA</t>
  </si>
  <si>
    <t>CENTRO EDUCACIONAL SOROR JOANA ANGELICA</t>
  </si>
  <si>
    <t>4098699003115072</t>
  </si>
  <si>
    <t>EDSON MENDES RIBEIRO</t>
  </si>
  <si>
    <t>PIRITIBA</t>
  </si>
  <si>
    <t>COLEGIO ESTADUAL PROFESSORA AYDIL LIMA DOS SANTOS</t>
  </si>
  <si>
    <t>4098690009896526</t>
  </si>
  <si>
    <t>EDSON SANTOS DE SOUZA</t>
  </si>
  <si>
    <t>4098690002836990</t>
  </si>
  <si>
    <t>EDUARDO BRITO CORREIA</t>
  </si>
  <si>
    <t>COLEGIO ESTADUAL OLIVEIRA BRITO</t>
  </si>
  <si>
    <t>4098691108729857</t>
  </si>
  <si>
    <t>EDUARDO PEREIRA SANTOS</t>
  </si>
  <si>
    <t>4098690001473167</t>
  </si>
  <si>
    <t>EDVAN PEDREIRA DE OLIVEIRA</t>
  </si>
  <si>
    <t>ESCOLA ESTADUAL CASTRO ALVES</t>
  </si>
  <si>
    <t>4098693223561223</t>
  </si>
  <si>
    <t>ELAINE CRISTINA BARBOSA MONTEIRO</t>
  </si>
  <si>
    <t>LUIS EDUARDO MAGALHAES</t>
  </si>
  <si>
    <t>COLEGIO ESTADUAL CONSTANTINO CATARINO DE SOUZA</t>
  </si>
  <si>
    <t>4098691102515484</t>
  </si>
  <si>
    <t>ELAINE DE CASTRO MATTOS DEL REI HERMIDA</t>
  </si>
  <si>
    <t>GLORIA</t>
  </si>
  <si>
    <t>COLEGIO ESTADUAL INDIGENA ANGELO PEREIRA XAVIER</t>
  </si>
  <si>
    <t>4098691109942491</t>
  </si>
  <si>
    <t>ELAINE PATRICIA DE SOUSA OLIVEIRA</t>
  </si>
  <si>
    <t>00868237442</t>
  </si>
  <si>
    <t>CENTRO ESTADUAL DE EDUCACAO PROFISSIONAL PROF. PAULO BATISTA MACHADO</t>
  </si>
  <si>
    <t>4098699002597486</t>
  </si>
  <si>
    <t>ELAINE SILVA DO NASCIMENTO</t>
  </si>
  <si>
    <t>00155635530</t>
  </si>
  <si>
    <t>IBIRAPITANGA</t>
  </si>
  <si>
    <t>COLEGIO ESTADUAL PAULO CESAR DA NOVA ALMEIDA</t>
  </si>
  <si>
    <t>4098690000438633</t>
  </si>
  <si>
    <t>ELEONDES COELHO DOS SANTOS</t>
  </si>
  <si>
    <t>COLEGIO ESTADUAL DO CAMPO MANOEL BENEDITO MASCARENHAS</t>
  </si>
  <si>
    <t>4098691108457426</t>
  </si>
  <si>
    <t>ELIANA CONCEICAO BRAGA</t>
  </si>
  <si>
    <t>MORRO DO CHAPEU</t>
  </si>
  <si>
    <t>CENTRO TERRITORIAL DE EDUCAÇÃO PROFISSIONAL DA CHAPADA DIAMANTINA II</t>
  </si>
  <si>
    <t>4098697899224065</t>
  </si>
  <si>
    <t>ELIANA LOPES DA SILVA MEDEIROS CRUZ</t>
  </si>
  <si>
    <t>COLEGIO ESTADUAL MIMOSO DO OESTE</t>
  </si>
  <si>
    <t>4098692235615126</t>
  </si>
  <si>
    <t>ELIANA SOUZA DOS ANJOS</t>
  </si>
  <si>
    <t>COLEGIO ESTADUAL AZEVEDO FERNANDES</t>
  </si>
  <si>
    <t>4098699002635724</t>
  </si>
  <si>
    <t>ELIANA TELES DOS ANJOS</t>
  </si>
  <si>
    <t>ITAPITANGA</t>
  </si>
  <si>
    <t>COLEGIO ESTADUAL DE TEMPO INTEGRAL PROFESSOR ANTONIO MARCOS SANTOS</t>
  </si>
  <si>
    <t>4098690002248071</t>
  </si>
  <si>
    <t>ELIANE FERNANDES DA SILVA</t>
  </si>
  <si>
    <t>02869850557</t>
  </si>
  <si>
    <t>VARZEA DO POCO</t>
  </si>
  <si>
    <t>COLEGIO ESTADUAL DE TEMPO INTEGRAL FELIPE CASSIANO</t>
  </si>
  <si>
    <t>4098694125416193</t>
  </si>
  <si>
    <t>ELIEL DOS SANTOS GOMES</t>
  </si>
  <si>
    <t>05811421524</t>
  </si>
  <si>
    <t>COLEGIO ESTADUAL HERMANO GOUVEIA NETO</t>
  </si>
  <si>
    <t>4098691107427750</t>
  </si>
  <si>
    <t>ELIENE DOS SANTOS SANTOS DE JESUS</t>
  </si>
  <si>
    <t>LAJEDINHO</t>
  </si>
  <si>
    <t>COLEGIO ESTADUAL PROFESSORA DELZAIR NASCIMENTO GALVAO</t>
  </si>
  <si>
    <t>4098699003529256</t>
  </si>
  <si>
    <t>ELIENE NUNES MAIA</t>
  </si>
  <si>
    <t>COLEGIO ESTADUAL DUQUE DE CAXIAS</t>
  </si>
  <si>
    <t>4098690003873612</t>
  </si>
  <si>
    <t>ELIETE DOS SANTOS SILVA</t>
  </si>
  <si>
    <t>ESCOLA ESTADUAL TEODORO SAMPAIO</t>
  </si>
  <si>
    <t>4098690007806527</t>
  </si>
  <si>
    <t>ELISAMGELA PEREIRA DE OLIVEIRA</t>
  </si>
  <si>
    <t>COLEGIO ESTADUAL THALES DE AZEVEDO</t>
  </si>
  <si>
    <t>4098691105535588</t>
  </si>
  <si>
    <t>ELISANGELA LOPES MARQUES</t>
  </si>
  <si>
    <t>07106095745</t>
  </si>
  <si>
    <t>COLEGIO ESTADUAL PROFESSOR ROMULO ALMEIDA</t>
  </si>
  <si>
    <t>4098691101229772</t>
  </si>
  <si>
    <t>ELISIO SOUZA SANTOS</t>
  </si>
  <si>
    <t>SEBASTIAO LARANJEIRAS</t>
  </si>
  <si>
    <t>COLEGIO ESTADUAL DO CAMPO DOM PEDRO I</t>
  </si>
  <si>
    <t>4098699003656505</t>
  </si>
  <si>
    <t>ELIVANIA DE OLIVEIRA SILVA MACEDO</t>
  </si>
  <si>
    <t>ELIZABETE GONCALVES DE SOUZA</t>
  </si>
  <si>
    <t>ERICO CARDOSO</t>
  </si>
  <si>
    <t>COLEGIO ESTADUAL DE TEMPO INTEGRAL DE AGUA QUENTE</t>
  </si>
  <si>
    <t>4098691105424692</t>
  </si>
  <si>
    <t>ELIZANGELA APARECIDA ROCHA GUIMARAES AMARAL</t>
  </si>
  <si>
    <t>00445830522</t>
  </si>
  <si>
    <t>ITUBERA</t>
  </si>
  <si>
    <t>COLEGIO ESTADUAL IDELZITO ELOY DE ABREU</t>
  </si>
  <si>
    <t>4098699002635484</t>
  </si>
  <si>
    <t>ELIZANGELA BARBOSA MORENO</t>
  </si>
  <si>
    <t>CAMACAN</t>
  </si>
  <si>
    <t>COLEGIO ESTADUAL ANISIO LOUREIRO</t>
  </si>
  <si>
    <t>4098699002960528</t>
  </si>
  <si>
    <t>ELIZETE VERONICA SILVA DE ARGOLO RIBEIRO</t>
  </si>
  <si>
    <t>SERRA DOURADA</t>
  </si>
  <si>
    <t>COLEGIO ESTADUAL DE TEMPO INTEGRAL SAO GONCALO</t>
  </si>
  <si>
    <t>4098693828656097</t>
  </si>
  <si>
    <t>ELMA ALVES SILVA DE OLIVEIRA</t>
  </si>
  <si>
    <t>04126208550</t>
  </si>
  <si>
    <t>COLEGIO ESTADUAL DESEMBARGADOR PEDRO RIBEIRO</t>
  </si>
  <si>
    <t>4098691556761873</t>
  </si>
  <si>
    <t>ELNEIDE JESUS ARIANY</t>
  </si>
  <si>
    <t>COLEGIO ESTADUAL DE TRANCOSO</t>
  </si>
  <si>
    <t>4098691101988369</t>
  </si>
  <si>
    <t>ELOA TAKACY PRUDENTE</t>
  </si>
  <si>
    <t>CENTRO TERRITORIAL DE EDUCACAO PROFISSIONAL DO SEMI ARIDO NORDESTE II</t>
  </si>
  <si>
    <t>4098691103509460</t>
  </si>
  <si>
    <t>ELOISA BOAVENTURA GUIMARAES</t>
  </si>
  <si>
    <t>SOUTO SOARES</t>
  </si>
  <si>
    <t>COLEGIO ESTADUAL DO CAMPO DE TEMPO INTEGRAL PROF ADEMAR SOUZA OLIVEIRA</t>
  </si>
  <si>
    <t>4098695359595073</t>
  </si>
  <si>
    <t>ELVYS ALVES COSTA</t>
  </si>
  <si>
    <t>ANGICAL</t>
  </si>
  <si>
    <t>COLEGIO ESTADUAL APARICIO JOSE DA SILVA</t>
  </si>
  <si>
    <t>4098690008214150</t>
  </si>
  <si>
    <t>ELYS REGINA CRUZ DE JESUS MATOS</t>
  </si>
  <si>
    <t>SOBRADINHO</t>
  </si>
  <si>
    <t>COLEGIO ESTADUAL DE TEMPO INTEGRAL VILA SAO JOAQUIM</t>
  </si>
  <si>
    <t>4098690002098245</t>
  </si>
  <si>
    <t>EMANOEL IVO DE MENDONCA</t>
  </si>
  <si>
    <t>CHORROCHO</t>
  </si>
  <si>
    <t>COLEGIO ESTADUAL MARIA DE LOURDES LIMA PEREIRA</t>
  </si>
  <si>
    <t>4098699002635559</t>
  </si>
  <si>
    <t>EMANOEL JACKSON BARBOSA PEREIRA</t>
  </si>
  <si>
    <t>CENTRO ESTADUAL DE EDUCACAO PROFISSIONAL EM GESTAO E MEIO AMBIENTE</t>
  </si>
  <si>
    <t>4098690008666607</t>
  </si>
  <si>
    <t>EMANOELA DE SOUZA SILVA</t>
  </si>
  <si>
    <t>01001886569</t>
  </si>
  <si>
    <t>COLEGIO ESTADUAL DO CAMPO ANATIVO DO SACRAMENTO</t>
  </si>
  <si>
    <t>4098692253677545</t>
  </si>
  <si>
    <t>EMANUELLE SAMPAIO SANTOS</t>
  </si>
  <si>
    <t>03862198502</t>
  </si>
  <si>
    <t>CENT REG DE ENS MEDIO COM INTERMEDIACAO TEC-CEMIT MEDIO RIO DE CONTAS</t>
  </si>
  <si>
    <t>4098694718877991</t>
  </si>
  <si>
    <t>EMERSON CARLOS SOUZA PAIM</t>
  </si>
  <si>
    <t>COLEGIO ESTADUAL ALBERTO SILVA</t>
  </si>
  <si>
    <t>4098694666149187</t>
  </si>
  <si>
    <t>EMILE DE JESUS DE LIMA REIS</t>
  </si>
  <si>
    <t>01904713521</t>
  </si>
  <si>
    <t>CONDE</t>
  </si>
  <si>
    <t>CENTRO INTEGRADO DE EDUCACAO DO CONDE</t>
  </si>
  <si>
    <t>4098694716727008</t>
  </si>
  <si>
    <t>EMILEIDY MARIA DOS SANTOS NEVES</t>
  </si>
  <si>
    <t>SANTA TEREZINHA</t>
  </si>
  <si>
    <t>4098691107996093</t>
  </si>
  <si>
    <t>EMILIA CLAUDIA SOUZA ALCANTARA LOBO</t>
  </si>
  <si>
    <t>COLEGIO ESTADUAL DE JEQUIE</t>
  </si>
  <si>
    <t>4098690002687526</t>
  </si>
  <si>
    <t>EMILY DE SOUZA SANTOS</t>
  </si>
  <si>
    <t>00957859570</t>
  </si>
  <si>
    <t>COLEGIO DA POLICIA MILITAR - CPM BOM JESUS DA LAPA</t>
  </si>
  <si>
    <t>4098699003606831</t>
  </si>
  <si>
    <t>ENILSON MARQUES DE OLIVEIRA</t>
  </si>
  <si>
    <t>FORMOSA DO RIO PRETO</t>
  </si>
  <si>
    <t>CENTRO TERRITORIAL DE EDUCACAO PROFISSIONAL ALMIR TEIXEIRA SANTOS</t>
  </si>
  <si>
    <t>4098690009993547</t>
  </si>
  <si>
    <t>ENIVANIA SERPA DOS SANTOS</t>
  </si>
  <si>
    <t>ITAPEBI</t>
  </si>
  <si>
    <t>COLEGIO ESTADUAL CLOVIS ADOLPHO STOLZE</t>
  </si>
  <si>
    <t>4098690005154201</t>
  </si>
  <si>
    <t>ERICA SANTOS DIAS BATISTA</t>
  </si>
  <si>
    <t>01662233523</t>
  </si>
  <si>
    <t>SAO SEBASTIAO DO PASSE</t>
  </si>
  <si>
    <t>4098690003672519</t>
  </si>
  <si>
    <t>ERICO DOS SANTOS SILVA</t>
  </si>
  <si>
    <t>ITAMARAJU</t>
  </si>
  <si>
    <t>COLEGIO ESTADUAL PROFESSORA AURIVALDINA JOAZEIRO</t>
  </si>
  <si>
    <t>4098695485152740</t>
  </si>
  <si>
    <t>ERLEI GOMES FERRARI</t>
  </si>
  <si>
    <t>03455341586</t>
  </si>
  <si>
    <t>MACARANI</t>
  </si>
  <si>
    <t>COLEGIO ESTADUAL SAO PEDRO</t>
  </si>
  <si>
    <t>4098691104805685</t>
  </si>
  <si>
    <t>ERMI MOREIRA DE ABREU</t>
  </si>
  <si>
    <t>MAETINGA</t>
  </si>
  <si>
    <t>COLEGIO ESTADUAL DE TEMPO INTEGRAL DE MAETINGA</t>
  </si>
  <si>
    <t>4098693644722784</t>
  </si>
  <si>
    <t>ERNANDE OLIVEIRA SOUZA</t>
  </si>
  <si>
    <t>02242122576</t>
  </si>
  <si>
    <t>COLEGIO ESTADUAL PROFESSORA MARIA ODETTE PITHON RAYNAL</t>
  </si>
  <si>
    <t>4098690004320555</t>
  </si>
  <si>
    <t>ESTER ALVES MARINHO DE LIMA</t>
  </si>
  <si>
    <t>ESCOLA PROFESSOR ROBERTO SANTOS</t>
  </si>
  <si>
    <t>4098690007953253</t>
  </si>
  <si>
    <t>ETHEL ROCHA SILVEIRA DE CARVALHO</t>
  </si>
  <si>
    <t>COLEGIO ESTADUAL REITOR MIGUEL CALMON</t>
  </si>
  <si>
    <t>4098699003558164</t>
  </si>
  <si>
    <t>EUDES RODRIGUES DA SILVA</t>
  </si>
  <si>
    <t>COLEGIO POLIVALENTE MONSENHOR LUIZ FERREIRA DE BRITO</t>
  </si>
  <si>
    <t>4098691101788462</t>
  </si>
  <si>
    <t>EVANICE PEREIRA DOS SANTOS</t>
  </si>
  <si>
    <t>COLEGIO ESTADUAL JORGE KHOURY</t>
  </si>
  <si>
    <t>4098691100518837</t>
  </si>
  <si>
    <t>EVANYLMA SANTOS DE LUNA BRITTO</t>
  </si>
  <si>
    <t>EVELIN LOURENA MOURA</t>
  </si>
  <si>
    <t>03405334551</t>
  </si>
  <si>
    <t>COLEGIO ESTADUAL FRANCISCO DA CONCEICAO MENEZES</t>
  </si>
  <si>
    <t>4098691109324039</t>
  </si>
  <si>
    <t>EVERALDO CONCEICAO DUARTE JUNIOR</t>
  </si>
  <si>
    <t>CACULE</t>
  </si>
  <si>
    <t>COLEGIO ESTADUAL DE TEMPO INTEGRAL NORBERTO FERNANDES</t>
  </si>
  <si>
    <t>4098691100569467</t>
  </si>
  <si>
    <t>EXPEDITO JOSE DOS SANTOS FILHO</t>
  </si>
  <si>
    <t>MULUNGU DO MORRO</t>
  </si>
  <si>
    <t>COLEGIO ESTADUAL DE MULUNGU DO MORRO</t>
  </si>
  <si>
    <t>4098692478120941</t>
  </si>
  <si>
    <t>FABIANA PACHECO ARAUJO</t>
  </si>
  <si>
    <t>00502337508</t>
  </si>
  <si>
    <t>PIRAI DO NORTE</t>
  </si>
  <si>
    <t>COLEGIO ESTADUAL LUIS NAVARRO DE BRITO</t>
  </si>
  <si>
    <t>4098699003580804</t>
  </si>
  <si>
    <t>FABIANA SANTOS DE CARVALHO</t>
  </si>
  <si>
    <t>MANOEL VITORINO</t>
  </si>
  <si>
    <t>COLEGIO ESTADUAL PROFESSORA ALMERINDA MEIRA DO CARMO</t>
  </si>
  <si>
    <t>4098699003290404</t>
  </si>
  <si>
    <t>FABIANE DE AZEVEDO NOGUEIRA</t>
  </si>
  <si>
    <t>MALHADA DE PEDRAS</t>
  </si>
  <si>
    <t>COLEGIO ESTADUAL DE MALHADA DE PEDRAS</t>
  </si>
  <si>
    <t>4098697215215102</t>
  </si>
  <si>
    <t>FABIO GUIMARAES DE CASTRO</t>
  </si>
  <si>
    <t>05742040598</t>
  </si>
  <si>
    <t>COLEGIO ESTADUAL DO CAMPO DA CABECEIRA DA JIBOIA</t>
  </si>
  <si>
    <t>4098691109619230</t>
  </si>
  <si>
    <t>FABIOLA PEREIRA DE ARAUJO</t>
  </si>
  <si>
    <t>CENTRO DE APOIO PEDAGOGICO ESPECIALIZADO JONATHAS TELLES DE CARVALHO</t>
  </si>
  <si>
    <t>4098691103540952</t>
  </si>
  <si>
    <t>FABRICIO SILVA SANTOS</t>
  </si>
  <si>
    <t>COLEGIO ESTADUAL LUIZ NAVARRO DE BRITO</t>
  </si>
  <si>
    <t>4098691100329029</t>
  </si>
  <si>
    <t>FABRINE MACHADO DE NOVAES</t>
  </si>
  <si>
    <t>FABRIZIA PIRES DE OLIVEIRA</t>
  </si>
  <si>
    <t>IBICARAI</t>
  </si>
  <si>
    <t>COLEGIO ESTADUAL DO CAMPO CAJUEIRO</t>
  </si>
  <si>
    <t>4098690003664151</t>
  </si>
  <si>
    <t>FABRIZIO MENEZES MIRANDA</t>
  </si>
  <si>
    <t>COLEGIO ESTADUAL DO CAMPO JOSEFINA GOMES DE ARAUJO</t>
  </si>
  <si>
    <t>4098690004807890</t>
  </si>
  <si>
    <t>FATIMA CRISTIANE PEREIRA FONTES</t>
  </si>
  <si>
    <t>02761797493</t>
  </si>
  <si>
    <t>IBIASSUCE</t>
  </si>
  <si>
    <t>COLEGIO ESTADUAL ANTONIO FIGUEIREDO</t>
  </si>
  <si>
    <t>4098699865033223</t>
  </si>
  <si>
    <t>FERNANDA ILARIA BRITO COSTA</t>
  </si>
  <si>
    <t>CURACA</t>
  </si>
  <si>
    <t>COLEGIO ESTADUAL ANANIAS CARLOS DO NASCIMENTO</t>
  </si>
  <si>
    <t>4098691105292594</t>
  </si>
  <si>
    <t>FERNANDA MACIEL DE SOUZA</t>
  </si>
  <si>
    <t>00214632555</t>
  </si>
  <si>
    <t>COLEGIO ESTADUAL URSULA CATHARINO</t>
  </si>
  <si>
    <t>4098690003437228</t>
  </si>
  <si>
    <t>FERNANDA MAGALHAES DANTAS</t>
  </si>
  <si>
    <t>COLEGIO ESTADUAL VILA CANARIA</t>
  </si>
  <si>
    <t>4098691108090763</t>
  </si>
  <si>
    <t>FERNANDA SIMOES NASCIMENTO</t>
  </si>
  <si>
    <t>NOVA VICOSA</t>
  </si>
  <si>
    <t>COMPLEXO INTEGRADO DE EDUCACAO BASICA, PROFIS E TECNOLOG. CHICO MENDES</t>
  </si>
  <si>
    <t>4098690009715932</t>
  </si>
  <si>
    <t>FERNANDA SOARES DE ARAUJO ROCHA</t>
  </si>
  <si>
    <t>03168911500</t>
  </si>
  <si>
    <t>COLEGIO ESTADUAL MESTRE PAULO DOS ANJOS</t>
  </si>
  <si>
    <t>4098691105462874</t>
  </si>
  <si>
    <t>FERNANDO DO NASCIMENTO LIMA</t>
  </si>
  <si>
    <t>COLEGIO ESTADUAL EDVALDO BRANDAO CORREIA</t>
  </si>
  <si>
    <t>4098691109415647</t>
  </si>
  <si>
    <t>FIRMINA VITERBO DE AZEVEDO</t>
  </si>
  <si>
    <t>COLEGIO ESTADUAL JUIZ JORGE FARIAS GOES</t>
  </si>
  <si>
    <t>4098691103093150</t>
  </si>
  <si>
    <t>FLAVIA ALMEIDA DE ARAUJO</t>
  </si>
  <si>
    <t>COLEGIO ESTADUAL DE TEMPO INTEGRAL PROFESSORA EDITE FERREIRA FONSECA</t>
  </si>
  <si>
    <t>4098690002980434</t>
  </si>
  <si>
    <t>FLAVIA DA ROCHA SILVA URBANO</t>
  </si>
  <si>
    <t>ITANAGRA</t>
  </si>
  <si>
    <t>COLEGIO ESTADUAL PROFESSOR CARLOS SANTANA</t>
  </si>
  <si>
    <t>4098699002635518</t>
  </si>
  <si>
    <t>FLAVIA RODRIGUES DE ARAUJO</t>
  </si>
  <si>
    <t>FLORA SANTOS NOGUEIRA</t>
  </si>
  <si>
    <t>FLORDENICE REGO PEREIRA OLIVEIRA COSTA</t>
  </si>
  <si>
    <t>COLEGIO ESTADUAL DO CAMPO DE TEMPO INTEGRAL PROFESSORA ELISABETH MARIA COUTO</t>
  </si>
  <si>
    <t>4098694495829678</t>
  </si>
  <si>
    <t>FLORISVALDO CERQUEIRA PINHEIRO</t>
  </si>
  <si>
    <t>01920489533</t>
  </si>
  <si>
    <t>CENTRO DE APOIO PEDAGOGICO ESPECIALIZADO PROFE IELITA NEVES COTRIM</t>
  </si>
  <si>
    <t>4098691106694582</t>
  </si>
  <si>
    <t>FRANCELY DA SILVA OLIVEIRA</t>
  </si>
  <si>
    <t>COLEGIO ESTADUAL ARTUR OLIVEIRA DA SILVA</t>
  </si>
  <si>
    <t>4098692233173441</t>
  </si>
  <si>
    <t>FRANCIELMA PEREIRA MAGALHAES BRITO</t>
  </si>
  <si>
    <t>07535256406</t>
  </si>
  <si>
    <t>COLEGIO EST DE TEMPO INTEGRAL PROFESSORA SIMONE SIMOES NERI</t>
  </si>
  <si>
    <t>4098691104132874</t>
  </si>
  <si>
    <t>FRANCISCO DA SILVA OLIVEIRA</t>
  </si>
  <si>
    <t>COLEGIO ESTADUAL BRAULIO SAMPAIO</t>
  </si>
  <si>
    <t>4098699384953166</t>
  </si>
  <si>
    <t>FREDY SILVA SILVEIRA</t>
  </si>
  <si>
    <t>4098692282714426</t>
  </si>
  <si>
    <t>GABRIEL GUIMARAES DOS SANTOS</t>
  </si>
  <si>
    <t>02828377520</t>
  </si>
  <si>
    <t>SANTA RITA DE CASSIA</t>
  </si>
  <si>
    <t>CENTRO TERRI.DE EDUC.PROFI.STA RITA DE CASSIA-CETEP STA RITA DE CASSIA</t>
  </si>
  <si>
    <t>4098696122869084</t>
  </si>
  <si>
    <t>GABRIELA ARAUJO DA SILVEIRA FERNANDES</t>
  </si>
  <si>
    <t>04163760458</t>
  </si>
  <si>
    <t>OLINDINA</t>
  </si>
  <si>
    <t>COLEGIO ESTADUAL ACELINA DANTAS DA SILVA</t>
  </si>
  <si>
    <t>4098692234860657</t>
  </si>
  <si>
    <t>GABRIELE SOUZA DE CARVALHO</t>
  </si>
  <si>
    <t>03815866502</t>
  </si>
  <si>
    <t>COLEGIO ESTADUAL PROFESSORA GERALDA MARIA CRISTINA BRITO</t>
  </si>
  <si>
    <t>4098694126375372</t>
  </si>
  <si>
    <t>GABRIELE VICENTE FIGUEIREDO</t>
  </si>
  <si>
    <t>04731258545</t>
  </si>
  <si>
    <t>BARROCAS</t>
  </si>
  <si>
    <t>COLEGIO ESTADUAL DE BARROCAS</t>
  </si>
  <si>
    <t>4098691101247634</t>
  </si>
  <si>
    <t>GEAN GEOVALTER SILVA MOTA</t>
  </si>
  <si>
    <t>UAUA</t>
  </si>
  <si>
    <t>COLEGIO ESTADUAL DO CAMPO PROFESSOR EDIVALDO MACHADO BOAVENTURA</t>
  </si>
  <si>
    <t>4098699002597437</t>
  </si>
  <si>
    <t>GEILVANNETTE ALVES BARRETO</t>
  </si>
  <si>
    <t>LAMARAO</t>
  </si>
  <si>
    <t>COLEGIO ESTADUAL DO CAMPO SACO DO CORREIO</t>
  </si>
  <si>
    <t>4098691102567055</t>
  </si>
  <si>
    <t>GENI FERREIRA ALVES</t>
  </si>
  <si>
    <t>05721818506</t>
  </si>
  <si>
    <t>IPIAU</t>
  </si>
  <si>
    <t>CENTRO DE APOIO PEDAGOGICO ESPECIALIZADO DE IPIAU</t>
  </si>
  <si>
    <t>4098691107746639</t>
  </si>
  <si>
    <t>GENI SOUZA ZAIDAN NASSRI</t>
  </si>
  <si>
    <t>COLEGIO ESTADUAL DO CAMPO LEONCIO PEREIRA DOS SANTOS</t>
  </si>
  <si>
    <t>4098690001620536</t>
  </si>
  <si>
    <t>GENILZA MARIA DA CONCEICAO REIS DOS SANTOS</t>
  </si>
  <si>
    <t>CENTRO EST DE EDUC PROF CONTROLE E PROCESSOS INDUST NEWTON SUCUPIRA</t>
  </si>
  <si>
    <t>4098691107701659</t>
  </si>
  <si>
    <t>GEORGE MATOS DA SILVA</t>
  </si>
  <si>
    <t>COLEGIO ESTADUAL DE TEMPO INTEGRAL LOMANTO JUNIOR</t>
  </si>
  <si>
    <t>4098699679387146</t>
  </si>
  <si>
    <t>GEORGTOWN ALMIR OLIVEIRA DA SILVA</t>
  </si>
  <si>
    <t>06215799475</t>
  </si>
  <si>
    <t>CANSANCAO</t>
  </si>
  <si>
    <t>COLEGIO ESTADUAL CAMINHO DO SABER</t>
  </si>
  <si>
    <t>4098691553215410</t>
  </si>
  <si>
    <t>GEOVANE OLIVEIRA REIS</t>
  </si>
  <si>
    <t>02708413503</t>
  </si>
  <si>
    <t>COLEGIO ESTADUAL DE BARREIRINHAS</t>
  </si>
  <si>
    <t>4098699003675968</t>
  </si>
  <si>
    <t>GERCILENE DA SILVA DE SOUZA</t>
  </si>
  <si>
    <t>02605966550</t>
  </si>
  <si>
    <t>ESCOLA DONA JENNY GOMES</t>
  </si>
  <si>
    <t>4098690005307197</t>
  </si>
  <si>
    <t>GERUZA DE ARAUJO</t>
  </si>
  <si>
    <t>COLEGIO ESTADUAL INDIGENA TUPINAMBA AMOTARA</t>
  </si>
  <si>
    <t>4098694710956488</t>
  </si>
  <si>
    <t>GICELIA MENEZES DE MATOS SANTOS</t>
  </si>
  <si>
    <t>4098691104778593</t>
  </si>
  <si>
    <t>GIDEON SANTOS MIRANDA</t>
  </si>
  <si>
    <t>COLEGIO ESTADUAL DOUTOR ANTONIO CARLOS MAGALHAES</t>
  </si>
  <si>
    <t>4098690003857300</t>
  </si>
  <si>
    <t>GILBERTO DE MELO FILHO</t>
  </si>
  <si>
    <t>COLEGIO ESTADUAL DE TEMPO INTEGRAL PAULO JOSE DE OLIVEIRA</t>
  </si>
  <si>
    <t>4098694121295146</t>
  </si>
  <si>
    <t>GILBERTO FEITOSA DA SILVA</t>
  </si>
  <si>
    <t>HELIOPOLIS</t>
  </si>
  <si>
    <t>COLEGIO ESTADUAL JOSE DANTAS DE SOUZA</t>
  </si>
  <si>
    <t>4098699002672289</t>
  </si>
  <si>
    <t>GILBERTO JACO CARVALHO SANTOS</t>
  </si>
  <si>
    <t>CENTRO TER DE EDUC PROFI DA BACIA DO JACUIPE PROF LUIZ CARLOS ARAUJO</t>
  </si>
  <si>
    <t>4098690007349593</t>
  </si>
  <si>
    <t>GILDA MATOS DE OLIVEIRA</t>
  </si>
  <si>
    <t>LAJE</t>
  </si>
  <si>
    <t>COLEGIO ESTADUAL DE TEMPO INTEGRAL RUY JOSE DE ALMEIDA</t>
  </si>
  <si>
    <t>4098699003591157</t>
  </si>
  <si>
    <t>GILDENY SANTANA DE ANDRADE LIMA</t>
  </si>
  <si>
    <t>CENTRO TERRITORIAL DE EDUCACAO PROFIS. DO PIEMONTE DA DIAMANTINA II</t>
  </si>
  <si>
    <t>4098699002619454</t>
  </si>
  <si>
    <t>GILDEON ALVES DOS SANTOS</t>
  </si>
  <si>
    <t>00871178516</t>
  </si>
  <si>
    <t>WAGNER</t>
  </si>
  <si>
    <t>CENTRO TERRITORIAL DE EDUCACAO PROFISSIONAL DA CHAPADA DIAMANTINA</t>
  </si>
  <si>
    <t>4098691101130905</t>
  </si>
  <si>
    <t>GILENO PEREIRA DE MENEZES</t>
  </si>
  <si>
    <t>COLEGIO ESTADUAL DO CAMPO NOSSA SENHORA DA CONCEICAO</t>
  </si>
  <si>
    <t>4098693608339443</t>
  </si>
  <si>
    <t>GILMAR OLIVEIRA MALAQUIAS</t>
  </si>
  <si>
    <t>COLEGIO ESTADUAL DO CAMPO EDGAR SANTOS</t>
  </si>
  <si>
    <t>4098691106813026</t>
  </si>
  <si>
    <t>GILMAR SOUZA BRITO</t>
  </si>
  <si>
    <t>CAMAMU</t>
  </si>
  <si>
    <t>COLEGIO ESTADUAL LUIZ ROGERIO DE SOUZA</t>
  </si>
  <si>
    <t>4098691109969577</t>
  </si>
  <si>
    <t>GILSON SANTOS DE SANTANA</t>
  </si>
  <si>
    <t>ITIRUCU</t>
  </si>
  <si>
    <t>COLEGIO ESTADUAL MARIA CANDIDA DE CASTILHO FONTOURA</t>
  </si>
  <si>
    <t>4098694128968497</t>
  </si>
  <si>
    <t>GILTAN BARBOSA LIMA</t>
  </si>
  <si>
    <t>MATINA</t>
  </si>
  <si>
    <t>COLEGIO ESTADUAL DE TEMPO INTEGRAL GRANDES MESTRES BRASILEIROS</t>
  </si>
  <si>
    <t>4098699002635666</t>
  </si>
  <si>
    <t>GILVANE CALDAS LIMA</t>
  </si>
  <si>
    <t>RIO DE CONTAS</t>
  </si>
  <si>
    <t>COLEGIO ESTADUAL DO CAMPO MARCOLINO MOURA</t>
  </si>
  <si>
    <t>4098699003565128</t>
  </si>
  <si>
    <t>GINETON SANTOS SOUZA</t>
  </si>
  <si>
    <t>CENT.REG.DE ENS.MEDIO INTERMEDIACAO TEC CEMIT DO P. NORTE DO ITAPICURU</t>
  </si>
  <si>
    <t>4098690006904711</t>
  </si>
  <si>
    <t>GISELDA VIEIRA FEITOSA DE ALMEIDA</t>
  </si>
  <si>
    <t>COLEGIO ESTADUAL ANA NERY</t>
  </si>
  <si>
    <t>4098692282544153</t>
  </si>
  <si>
    <t>GISELLY SOUZA DE OLIVEIRA</t>
  </si>
  <si>
    <t>00024535508</t>
  </si>
  <si>
    <t>IBOTIRAMA</t>
  </si>
  <si>
    <t>COLEGIO ESTADUAL INDIGENA MARECHAL RONDON</t>
  </si>
  <si>
    <t>4098694719111010</t>
  </si>
  <si>
    <t>GISLAINE FONSECA REZENDE</t>
  </si>
  <si>
    <t>04339775584</t>
  </si>
  <si>
    <t>COLEGIO ESTADUAL YEDA BARRADAS CARNEIRO</t>
  </si>
  <si>
    <t>4098693223007714</t>
  </si>
  <si>
    <t>GIULEMAR DE SOUZA SANTANA</t>
  </si>
  <si>
    <t>JIQUIRICA</t>
  </si>
  <si>
    <t>COLEGIO ESTADUAL DE TEMPO INTEGRAL JOSE MALTA MAIA</t>
  </si>
  <si>
    <t>4098690005160679</t>
  </si>
  <si>
    <t>GIVANILSON JESUS DE SOUZA</t>
  </si>
  <si>
    <t>01478335580</t>
  </si>
  <si>
    <t>CIPO</t>
  </si>
  <si>
    <t>COLEGIO ESTADUAL DE TEMPO INTEGRAL AGUAS TERMAIS DE CIPO</t>
  </si>
  <si>
    <t>4098690008966734</t>
  </si>
  <si>
    <t>GLADYS ROSA VICTOR FERNANDES DE OLIVEIRA</t>
  </si>
  <si>
    <t>NOVO TRIUNFO</t>
  </si>
  <si>
    <t>COLEGIO ESTADUAL PROFESSORA MARIA TEREZA DE OLIVEIRA</t>
  </si>
  <si>
    <t>4098699002269763</t>
  </si>
  <si>
    <t>GLEDSON OLIVEIRA GUERRA</t>
  </si>
  <si>
    <t>04167685558</t>
  </si>
  <si>
    <t>COLEGIO ESTADUAL MOYSES BOHANA</t>
  </si>
  <si>
    <t>4098691381868851</t>
  </si>
  <si>
    <t>GLEIDE PIRES DE OLIVEIRA</t>
  </si>
  <si>
    <t>CENTRO ESTADUAL DE EDUCACAO PROFISSIONAL 2 DE JULHO</t>
  </si>
  <si>
    <t>4098690000012495</t>
  </si>
  <si>
    <t>GLEISE SILVA ALVES</t>
  </si>
  <si>
    <t>01110536500</t>
  </si>
  <si>
    <t>COLEGIO ESTADUAL PROFESSORA NADIR ARAUJO COPQUE</t>
  </si>
  <si>
    <t>4098690005926731</t>
  </si>
  <si>
    <t>GUILHERMINA DA SILVA SOUZA</t>
  </si>
  <si>
    <t>HELDER LUIZ AMORIM BARBOSA</t>
  </si>
  <si>
    <t>COLEGIO ESTADUAL RODOLFO DE QUEIROZ</t>
  </si>
  <si>
    <t>4098699002635369</t>
  </si>
  <si>
    <t>HELENA JEANNE ARRUDA CARDOZO</t>
  </si>
  <si>
    <t>COLEGIO ESTADUAL GENTIL PARAISO MARTINS</t>
  </si>
  <si>
    <t>4098691388768971</t>
  </si>
  <si>
    <t>HELIO SOUZA DE CRISTO</t>
  </si>
  <si>
    <t>02350526550</t>
  </si>
  <si>
    <t>SAUBARA</t>
  </si>
  <si>
    <t>COLEGIO ESTADUAL DE TEMPO INTEGRAL RICARDO CAMARA DA SILVA</t>
  </si>
  <si>
    <t>4098691104661971</t>
  </si>
  <si>
    <t>HELITANIA DOS SANTOS PEREIRA</t>
  </si>
  <si>
    <t>03110487578</t>
  </si>
  <si>
    <t>OUROLANDIA</t>
  </si>
  <si>
    <t>COLEGIO ESTADUAL DO CAMPO MARIA LUCIA BARBOSA DA PAIXAO</t>
  </si>
  <si>
    <t>4098697587603919</t>
  </si>
  <si>
    <t>HELTON SOUZA CAVALCANTE GAMA</t>
  </si>
  <si>
    <t>02020213516</t>
  </si>
  <si>
    <t>RIBEIRAO DO LARGO</t>
  </si>
  <si>
    <t>COLEGIO ESTADUAL ANTONIO GONCALVES</t>
  </si>
  <si>
    <t>4098693642343021</t>
  </si>
  <si>
    <t>HIGO LOPES ROCHA</t>
  </si>
  <si>
    <t>02136312537</t>
  </si>
  <si>
    <t>ESCOLA ESTADUAL PROFESSORA NATALIA VINHAES</t>
  </si>
  <si>
    <t>4098691100929950</t>
  </si>
  <si>
    <t>HILMARIA CONCEICAO CERQUEIRA</t>
  </si>
  <si>
    <t>SAO FELIX</t>
  </si>
  <si>
    <t>4098699002267718</t>
  </si>
  <si>
    <t>HOZANA MOTA COSTA PINTO</t>
  </si>
  <si>
    <t>COLEGIO ESTADUAL ALMERINDA ALMEIDA</t>
  </si>
  <si>
    <t>4098699799216381</t>
  </si>
  <si>
    <t>HUGO MACHADO HONORATO SOUSA</t>
  </si>
  <si>
    <t>07106695505</t>
  </si>
  <si>
    <t>ITAMBE</t>
  </si>
  <si>
    <t>COLEGIO ESTADUAL DE TEMPO INTEGRAL DE ITAMBE</t>
  </si>
  <si>
    <t>4098694713188733</t>
  </si>
  <si>
    <t>HUMBERTO SILVA DA PAIXAO</t>
  </si>
  <si>
    <t>URUCUCA</t>
  </si>
  <si>
    <t>COLEGIO ESTADUAL CARNEIRO RIBEIRO</t>
  </si>
  <si>
    <t>4098691109897166</t>
  </si>
  <si>
    <t>IEDA LIMA DE ALMEIDA</t>
  </si>
  <si>
    <t>COLEGIO ESTADUAL GENERAL DIONISIO CERQUEIRA</t>
  </si>
  <si>
    <t>4098690000386451</t>
  </si>
  <si>
    <t>ILCA GUIMARAES DA SILVA</t>
  </si>
  <si>
    <t>01251986552</t>
  </si>
  <si>
    <t>CENTRO ESTADUAL DE EDUCACAO PROFISSIONAL EMPREENDE BAHIA</t>
  </si>
  <si>
    <t>4098694711557889</t>
  </si>
  <si>
    <t>ILINALVA DAS VIRGENS FRANCA PEREIRA</t>
  </si>
  <si>
    <t>PARATINGA</t>
  </si>
  <si>
    <t>COLEGIO ESTADUAL DE TEMPO INTEGRAL EVANDRO BRANDAO</t>
  </si>
  <si>
    <t>4098690005484103</t>
  </si>
  <si>
    <t>ILKA MARIA MOURA BRANDAO</t>
  </si>
  <si>
    <t>COLEGIO ESTADUAL DO CAMPO MARIA QUITERIA</t>
  </si>
  <si>
    <t>4098694718012169</t>
  </si>
  <si>
    <t>INDIARA SILVA DE FREITAS</t>
  </si>
  <si>
    <t>PRESIDENTE DUTRA</t>
  </si>
  <si>
    <t>COLEGIO ESTADUAL DE TEMPO INTEGRAL LEILA JANAINA BRITO GONCALVES</t>
  </si>
  <si>
    <t>4098699003561861</t>
  </si>
  <si>
    <t>INDIRA NEIVA SOUZA</t>
  </si>
  <si>
    <t>02223829538</t>
  </si>
  <si>
    <t>AIQUARA</t>
  </si>
  <si>
    <t>COLEGIO ESTADUAL DE TEMPO INTEGRAL DE AIQUARA</t>
  </si>
  <si>
    <t>4098691102015865</t>
  </si>
  <si>
    <t>INDIRA OLIVEIRA DUQUE</t>
  </si>
  <si>
    <t>BARRA DA ESTIVA</t>
  </si>
  <si>
    <t>COLEGIO ESTADUAL NERCY ANTONIO DUARTE</t>
  </si>
  <si>
    <t>4098694662744221</t>
  </si>
  <si>
    <t>INES SILVA GONCALVES DOS SANTOS</t>
  </si>
  <si>
    <t>CENTRO TERRIT DE EDUCACAO PROFIS DA BACIA DO JACUIPE II JOAO CAMPOS</t>
  </si>
  <si>
    <t>4098691101605765</t>
  </si>
  <si>
    <t>INGRIDH ARAPIRACA OLIVEIRA</t>
  </si>
  <si>
    <t>4098691109290305</t>
  </si>
  <si>
    <t>IOLANDA CARLOS NOGUEIRA MEIRA</t>
  </si>
  <si>
    <t>COLEGIO ESTADUAL DOUTOR LUIZ VIANA FILHO</t>
  </si>
  <si>
    <t>4098691103091766</t>
  </si>
  <si>
    <t>IRADIS TEOLINA FERREIRA DA SILVA</t>
  </si>
  <si>
    <t>COLEGIO ESTADUAL DE TEMPO INTEGRAL GEORGINA DE MELO ERISMANN</t>
  </si>
  <si>
    <t>4098690001057424</t>
  </si>
  <si>
    <t>IRANEIA FERREIRA LEITE</t>
  </si>
  <si>
    <t>ANAGE</t>
  </si>
  <si>
    <t>COLEGIO ESTADUAL DE TEMPO INTEGRAL DE ANAGE</t>
  </si>
  <si>
    <t>4098699748060807</t>
  </si>
  <si>
    <t>IRANILDO FREIRE OLIVEIRA</t>
  </si>
  <si>
    <t>COLEGIO ESTADUAL DOUTOR BERLINDO MAMEDE DE OLIVEIRA</t>
  </si>
  <si>
    <t>4098690001502601</t>
  </si>
  <si>
    <t>IRILENE SANTANA SOUZA</t>
  </si>
  <si>
    <t>COLEGIO ESTADUAL QUILOMBOLA LUIS JOSE DOS SANTOS</t>
  </si>
  <si>
    <t>4098691102176097</t>
  </si>
  <si>
    <t>IRIS LUAN DE OLIVEIRA MATOS</t>
  </si>
  <si>
    <t>05402187584</t>
  </si>
  <si>
    <t>ITIUBA</t>
  </si>
  <si>
    <t>COLEGIO ESTADUAL ARY SILVA</t>
  </si>
  <si>
    <t>4098690008484100</t>
  </si>
  <si>
    <t>ISAAC BATISTA VILAS BOAS</t>
  </si>
  <si>
    <t>COLEGIO ESTADUAL MONSENHOR TURIBIO VILANOVA</t>
  </si>
  <si>
    <t>4098690004098540</t>
  </si>
  <si>
    <t>ISABEL GEANNE FELISBELA NEVES RIBEIRO</t>
  </si>
  <si>
    <t>COLEGIO ESTADUAL ALCIDES AFONSO DE SOUZA</t>
  </si>
  <si>
    <t>4098690007949822</t>
  </si>
  <si>
    <t>ISAIAS FERREIRA DE OLIVEIRA</t>
  </si>
  <si>
    <t>COLEGIO ESTADUAL ELOYNA BARRADAS</t>
  </si>
  <si>
    <t>4098690003680579</t>
  </si>
  <si>
    <t>ISRAEL MATOS MAGNO</t>
  </si>
  <si>
    <t>ITALO ERATOSTENES CHAGAS DE CARVALHO</t>
  </si>
  <si>
    <t>00576966592</t>
  </si>
  <si>
    <t>ITAJU DO COLONIA</t>
  </si>
  <si>
    <t>COLEGIO ESTADUAL CORDEIRO DE MIRANDA</t>
  </si>
  <si>
    <t>4098699463913370</t>
  </si>
  <si>
    <t>ITALO YAN SANTOS FRANCA</t>
  </si>
  <si>
    <t>06160270524</t>
  </si>
  <si>
    <t>IBITITA</t>
  </si>
  <si>
    <t>COLEGIO ESTADUAL DO CAMPO DE IBITITA</t>
  </si>
  <si>
    <t>4098691108001877</t>
  </si>
  <si>
    <t>ITAMAR FERREIRA DE BRITO</t>
  </si>
  <si>
    <t>CENTRO TERRITORIAL DE EDUCACAO PROFISSIONAL DO RECONCAVO</t>
  </si>
  <si>
    <t>4098699002841041</t>
  </si>
  <si>
    <t>IVANA APARECIDA GOMES LAGE MATOS</t>
  </si>
  <si>
    <t>ESCOLA ESTADUAL LEA LEAL</t>
  </si>
  <si>
    <t>4098691107849755</t>
  </si>
  <si>
    <t>IVANA PEREIRA DE SOUZA PINHEIRO</t>
  </si>
  <si>
    <t>COLEGIO ESTADUAL IRMA ROSA APARECIDA</t>
  </si>
  <si>
    <t>4098699002688608</t>
  </si>
  <si>
    <t>IVANETE SOUZA REIS SILVA</t>
  </si>
  <si>
    <t>COLEGIO ESTADUAL EDUARDO BAHIANA</t>
  </si>
  <si>
    <t>4098699003351909</t>
  </si>
  <si>
    <t>IVANI ALMEIDA TELES DA SILVA</t>
  </si>
  <si>
    <t>PAU BRASIL</t>
  </si>
  <si>
    <t>COLEGIO ESTADUAL DA ALDEIA INDIGENA CARAMURU PARAGUACU</t>
  </si>
  <si>
    <t>4098692280421743</t>
  </si>
  <si>
    <t>IVANILDA PEREIRA DOS SANTOS</t>
  </si>
  <si>
    <t>00497784556</t>
  </si>
  <si>
    <t>ELISIO MEDRADO</t>
  </si>
  <si>
    <t>COLEGIO ESTADUAL DEMOCRATICO PROFESSOR ROMULO GALVAO</t>
  </si>
  <si>
    <t>4098690001716714</t>
  </si>
  <si>
    <t>IVANILDO SILVA DE JESUS</t>
  </si>
  <si>
    <t>COLEGIO ESTADUAL PROFESSORA LEILA RUBENS FONSECA</t>
  </si>
  <si>
    <t>4098690006856465</t>
  </si>
  <si>
    <t>IVANILTON DE SANTANA SILVA</t>
  </si>
  <si>
    <t>CENTRO EDUCACIONAL CARNEIRO RIBEIRO - CLASSE III</t>
  </si>
  <si>
    <t>4098690009141469</t>
  </si>
  <si>
    <t>IVANIR SANTOS GANEM</t>
  </si>
  <si>
    <t>COLEGIO ESTADUAL DO CAMPO EDIVALDO MACHADO BOAVENTURA</t>
  </si>
  <si>
    <t>4098694128710808</t>
  </si>
  <si>
    <t>IVE MARIANA AZEVEDO DE BRITO LEAL</t>
  </si>
  <si>
    <t>ANGUERA</t>
  </si>
  <si>
    <t>COLEGIO ESTADUAL DE TEMPO INTEGRAL ARTHUR VIEIRA DE OLIVEIRA</t>
  </si>
  <si>
    <t>4098691101356203</t>
  </si>
  <si>
    <t>IVONE DA SILVA BORGES</t>
  </si>
  <si>
    <t>COLEGIO ESTADUAL SANTA CRUZ</t>
  </si>
  <si>
    <t>4098699675965697</t>
  </si>
  <si>
    <t>IVONE OLIVEIRA DA COSTA SOUZA</t>
  </si>
  <si>
    <t>COLEGIO ESTADUAL PROFESSORA MARIA DO CARMO MARQUES DE FREITAS</t>
  </si>
  <si>
    <t>4098691106521264</t>
  </si>
  <si>
    <t>IVONETE LIMA DE ALMEIDA</t>
  </si>
  <si>
    <t>CORDEIROS</t>
  </si>
  <si>
    <t>COLEGIO ESTADUAL JOSE MOREIRA CORDEIROS</t>
  </si>
  <si>
    <t>4098693649021836</t>
  </si>
  <si>
    <t>IZALTO ALVES MOREIRA</t>
  </si>
  <si>
    <t>COLEGIO ESTADUAL INDIGENA KIJETXAWE ZABELE</t>
  </si>
  <si>
    <t>4098690000679889</t>
  </si>
  <si>
    <t>IZAMARA ALMEIDA DE SOUZA</t>
  </si>
  <si>
    <t>03867850585</t>
  </si>
  <si>
    <t>IZOLDA LEITE PEREIRA MAIA</t>
  </si>
  <si>
    <t>COLEGIO ESTADUAL DOUTOR LAURO PASSOS</t>
  </si>
  <si>
    <t>4098691101457993</t>
  </si>
  <si>
    <t>JAASIEL JOAQUIM DOS SANTOS</t>
  </si>
  <si>
    <t>COLEGIO ESTADUAL DO IGUAPE</t>
  </si>
  <si>
    <t>4098693280984516</t>
  </si>
  <si>
    <t>JACIRA OLIVEIRA FERNANDES DOS SANTOS</t>
  </si>
  <si>
    <t>COLEGIO ESTADUAL DO CAMPO DUQUE DE CAXIAS</t>
  </si>
  <si>
    <t>4098690008449830</t>
  </si>
  <si>
    <t>JACKELINE DE SOUZA QUEIROZ</t>
  </si>
  <si>
    <t>03125730570</t>
  </si>
  <si>
    <t>JAIME CARNEIRO DOS REIS JUNIOR</t>
  </si>
  <si>
    <t>COLEGIO ESTADUAL TEREZA CONCEICAO MENEZES</t>
  </si>
  <si>
    <t>4098699002266447</t>
  </si>
  <si>
    <t>JAIRO DIAS DA COSTA</t>
  </si>
  <si>
    <t>09438238549</t>
  </si>
  <si>
    <t>CENTRO EDUCACIONAL EDGAR SANTOS</t>
  </si>
  <si>
    <t>4098698533979320</t>
  </si>
  <si>
    <t>JAIRO FRANCISCO DOS SANTOS</t>
  </si>
  <si>
    <t>CENTRO EST DE EDUCACAO PROFISSIONAL EM SAUDE DO LESTE BAIANO</t>
  </si>
  <si>
    <t>4098691107317472</t>
  </si>
  <si>
    <t>JAMILE NASCIMENTO SANTOS</t>
  </si>
  <si>
    <t>04183837588</t>
  </si>
  <si>
    <t>BOQUIRA</t>
  </si>
  <si>
    <t>COLEGIO ESTADUAL DE BOQUIRA</t>
  </si>
  <si>
    <t>4098699003496076</t>
  </si>
  <si>
    <t>JANE ANGELICA APARECIDA XAVIER SILVA</t>
  </si>
  <si>
    <t>COLEGIO ESTADUAL DE TEMPO INTEGRAL JOSE DIAS DE SALES</t>
  </si>
  <si>
    <t>4098690002565078</t>
  </si>
  <si>
    <t>JANE CLEIA DA SILVA CARNEIRO</t>
  </si>
  <si>
    <t>UBAITABA</t>
  </si>
  <si>
    <t>COLEGIO ESTADUAL OCTACILIO MANOEL GOMES</t>
  </si>
  <si>
    <t>4098693226992235</t>
  </si>
  <si>
    <t>JANE KEILA SANTOS SOUZA COSTA</t>
  </si>
  <si>
    <t>01748795554</t>
  </si>
  <si>
    <t>COLEGIO ESTADUAL DO CAMPO ALUIZIO CARNEIRO DA SILVA</t>
  </si>
  <si>
    <t>4098691106094841</t>
  </si>
  <si>
    <t>JANESSUELLY CONCEICAO DE PAULA SANTOS</t>
  </si>
  <si>
    <t>SANTA BARBARA</t>
  </si>
  <si>
    <t>COLEGIO ESTADUAL DE TEMPO INTEGRAL SAO JOSE</t>
  </si>
  <si>
    <t>4098691104822607</t>
  </si>
  <si>
    <t>JANETE AMORIM DE BRITO</t>
  </si>
  <si>
    <t>COLEGIO ESTADUAL BARTOLOMEU DE GUSMAO</t>
  </si>
  <si>
    <t>4098694289906385</t>
  </si>
  <si>
    <t>JANIRIO LUCIANO DE SOUSA</t>
  </si>
  <si>
    <t>COLEGIO ESTADUAL DOUTOR AILTON PINTO DE ANDRADE</t>
  </si>
  <si>
    <t>4098692472627214</t>
  </si>
  <si>
    <t>JAQUELINE BARBOSA PINHEIRO</t>
  </si>
  <si>
    <t>CANUDOS</t>
  </si>
  <si>
    <t>COLEGIO ESTADUAL LUIS CABRAL</t>
  </si>
  <si>
    <t>4098691380002999</t>
  </si>
  <si>
    <t>JARDEL BATISTA LIMA</t>
  </si>
  <si>
    <t>CARAIBAS</t>
  </si>
  <si>
    <t>COLEGIO ESTADUAL PETRINA NOVAIS SILVA CAIRO</t>
  </si>
  <si>
    <t>0000000000000000</t>
  </si>
  <si>
    <t>JASCIARA SHIRLLEY BARRETO BRASIL FARIAS DOS SANTOS</t>
  </si>
  <si>
    <t>02585385540</t>
  </si>
  <si>
    <t>4098699002657009</t>
  </si>
  <si>
    <t>JEAN FABIO DE AMORIM LIMA</t>
  </si>
  <si>
    <t>COLEGIO ESTADUAL DE TEMPO INTEGRAL HOMERO PIRES</t>
  </si>
  <si>
    <t>4098690006913084</t>
  </si>
  <si>
    <t>JEAN FELIPE RAMALHO E SILVA</t>
  </si>
  <si>
    <t>03163305580</t>
  </si>
  <si>
    <t>VEREDA</t>
  </si>
  <si>
    <t>COLEGIO ESTADUAL FRANCISCO SILVA PASSOS</t>
  </si>
  <si>
    <t>4098690005446854</t>
  </si>
  <si>
    <t>JEAN OLIVEIRA DA SILVA</t>
  </si>
  <si>
    <t>00158377508</t>
  </si>
  <si>
    <t>COLEGIO ESTADUAL HEITOR VILLA LOBOS</t>
  </si>
  <si>
    <t>4098691101722388</t>
  </si>
  <si>
    <t>JEANA LEMOS DE OLIVEIRA</t>
  </si>
  <si>
    <t>COLEGIO ESTADUAL PROFESSOR ARISTIDES DE SOUZA OLIVEIRA</t>
  </si>
  <si>
    <t>4098693280387207</t>
  </si>
  <si>
    <t>JEANE ALICE DA SILVA LEITE LORDELO</t>
  </si>
  <si>
    <t>IBIRATAIA</t>
  </si>
  <si>
    <t>COLEGIO ESTADUAL DO CAMPO DE ALGODAO</t>
  </si>
  <si>
    <t>4098691105845847</t>
  </si>
  <si>
    <t>JEANE DE JESUS DE SOUZA</t>
  </si>
  <si>
    <t>00149272502</t>
  </si>
  <si>
    <t>CENTRO ESTADUAL DE EDUCACAO PROFISSIONAL DO CAMPO PAULO FREIRE</t>
  </si>
  <si>
    <t>4098694712026355</t>
  </si>
  <si>
    <t>JEANE MATOS ARAUJO LIMA</t>
  </si>
  <si>
    <t>SANTA INES</t>
  </si>
  <si>
    <t>COLEGIO ESTADUAL DE TEMPO INTEGRAL DE SANTA INES</t>
  </si>
  <si>
    <t>4098699677688495</t>
  </si>
  <si>
    <t>JEANE ROCHA BANDEIRA</t>
  </si>
  <si>
    <t>02071757564</t>
  </si>
  <si>
    <t>COLEGIO ESTADUAL INDIGENA MANOEL COELHO</t>
  </si>
  <si>
    <t>4098691108509069</t>
  </si>
  <si>
    <t>JEANE THAYS SILVA OLIVEIRA</t>
  </si>
  <si>
    <t>05155527554</t>
  </si>
  <si>
    <t>JITAUNA</t>
  </si>
  <si>
    <t>COLEGIO ESTADUAL GILDA RAMOS DOS SANTOS</t>
  </si>
  <si>
    <t>4098699861163271</t>
  </si>
  <si>
    <t>JEFERSON ALVES DOS SANTOS</t>
  </si>
  <si>
    <t>02503874509</t>
  </si>
  <si>
    <t>COLEGIO ESTADUAL DE OUROLANDIA</t>
  </si>
  <si>
    <t>4098695234913251</t>
  </si>
  <si>
    <t>JEISSINALDO DE CARVALHO MACEDO</t>
  </si>
  <si>
    <t>04635417581</t>
  </si>
  <si>
    <t>COLEGIO ESTADUAL DO CAMPO DOUTOR ERALDO TINOCO</t>
  </si>
  <si>
    <t>4098694669654027</t>
  </si>
  <si>
    <t>JEORGE LUIS MARTINS DE OLIVEIRA</t>
  </si>
  <si>
    <t>COLEGIO ESTADUAL INDIGENA KIRIRI INDIO FELIZ</t>
  </si>
  <si>
    <t>4098691387213391</t>
  </si>
  <si>
    <t>JEOVAN DE JESUS SOUZA</t>
  </si>
  <si>
    <t>04993848579</t>
  </si>
  <si>
    <t>CENTRO ESTADUAL DE EDUCACAO PROFISSIONAL AUREO DE OLIVEIRA FILHO</t>
  </si>
  <si>
    <t>4098690006228707</t>
  </si>
  <si>
    <t>JHOYNE RIOS DE MENEZES OLIVEIRA</t>
  </si>
  <si>
    <t>02334841595</t>
  </si>
  <si>
    <t>CENTRO TERRITORIAL DE EDUCACAO PROFISSIONAL DA BACIA DO RIO GRANDE</t>
  </si>
  <si>
    <t>4098693497740867</t>
  </si>
  <si>
    <t>JOACIR SILVA DO NASCIMENTO</t>
  </si>
  <si>
    <t>00888811560</t>
  </si>
  <si>
    <t>CARINHANHA</t>
  </si>
  <si>
    <t>COLEGIO ESTADUAL DE TEMPO INTEGRAL VELHO CHICO</t>
  </si>
  <si>
    <t>4098697562300317</t>
  </si>
  <si>
    <t>JOAN HELDER DE JESUS SANTOS</t>
  </si>
  <si>
    <t>4098691109127853</t>
  </si>
  <si>
    <t>JOANA DARC DA SILVA BELFORT</t>
  </si>
  <si>
    <t>02452250562</t>
  </si>
  <si>
    <t>CENTRO TERRITORIAL DE EDUCACAO PROFISSIONAL MARIA DE ALMEIDA ARAUJO</t>
  </si>
  <si>
    <t>4098690007340899</t>
  </si>
  <si>
    <t>JOAO MENDES GOMES JUNIOR</t>
  </si>
  <si>
    <t>02700876482</t>
  </si>
  <si>
    <t>PEDRO ALEXANDRE</t>
  </si>
  <si>
    <t>COLEGIO ESTADUAL PROFESSORA HELENA BRITTO</t>
  </si>
  <si>
    <t>4098690004836279</t>
  </si>
  <si>
    <t>JOAO MILTON BRITO JUNIOR</t>
  </si>
  <si>
    <t>COLEGIO ESTADUAL REIS MAGALHAES</t>
  </si>
  <si>
    <t>4098699002252181</t>
  </si>
  <si>
    <t>JOAO PAULO DE SANTANA VIEIRA</t>
  </si>
  <si>
    <t>01572729589</t>
  </si>
  <si>
    <t>COLEGIO GEORGINA SOARES NASCIMENTO</t>
  </si>
  <si>
    <t>4098699002744534</t>
  </si>
  <si>
    <t>JOAO PEDRO DE OLIVEIRA FILHO</t>
  </si>
  <si>
    <t>4098690002333949</t>
  </si>
  <si>
    <t>JOCELIA NOVAES GONCALVES</t>
  </si>
  <si>
    <t>CONTENDAS DO SINCORA</t>
  </si>
  <si>
    <t>COLEGIO ESTADUAL DOUTOR LUIZ EDSON DE GOUVEIA</t>
  </si>
  <si>
    <t>4098691105407218</t>
  </si>
  <si>
    <t>JOCELMO SILVA SANTOS</t>
  </si>
  <si>
    <t>TAPEROA</t>
  </si>
  <si>
    <t>COLEGIO ESTADUAL DE TEMPO INTEGRAL ESTELA ALELUIA GUIMARAES</t>
  </si>
  <si>
    <t>4098690004526805</t>
  </si>
  <si>
    <t>JOEDNA AGUIAR DOS SANTOS</t>
  </si>
  <si>
    <t>01442877570</t>
  </si>
  <si>
    <t>CENTRO DE APOIO PEDAGOGICO ESPECIALIZADO - CAPE AMARGOSA</t>
  </si>
  <si>
    <t>4098697582419915</t>
  </si>
  <si>
    <t>JOELMA CRISTINA REBOUCAS ARGOLO</t>
  </si>
  <si>
    <t>4098690006920493</t>
  </si>
  <si>
    <t>JOELMA DE QUEIROZ BARBOSA E SILVA</t>
  </si>
  <si>
    <t>IBITIARA</t>
  </si>
  <si>
    <t>COLEGIO ESTADUAL EVILASIO SANTANA GAMA </t>
  </si>
  <si>
    <t>4098693282133260</t>
  </si>
  <si>
    <t>JOELMA ELSA MENEZES PORTO</t>
  </si>
  <si>
    <t>IRECE</t>
  </si>
  <si>
    <t>CENTRO TERRITORIAL DE EDUCACAO PROFISSIONAL DE IRECE</t>
  </si>
  <si>
    <t>4098699002846057</t>
  </si>
  <si>
    <t>JOICE MACHADO CARVALHO</t>
  </si>
  <si>
    <t>06444412595</t>
  </si>
  <si>
    <t>MUTUIPE</t>
  </si>
  <si>
    <t>COLEGIO ESTADUAL ANTONIO FELIPE EVANGELISTA NETO</t>
  </si>
  <si>
    <t>4098691104282406</t>
  </si>
  <si>
    <t>JOILDES SANTOS DE SOUSA</t>
  </si>
  <si>
    <t>00540212512</t>
  </si>
  <si>
    <t>SAO FRANCISCO DO CONDE</t>
  </si>
  <si>
    <t>COLEGIO ESTADUAL DO CAMPO ANNA JUNQUEIRA AYRES TOURINHO</t>
  </si>
  <si>
    <t>4098699003387655</t>
  </si>
  <si>
    <t>JOILMA MENEZES SALES DA CRUZ</t>
  </si>
  <si>
    <t>COLEGIO ESTADUAL ANTONIO EDUARDO RIBEIRO ROCHA</t>
  </si>
  <si>
    <t>4098690003551812</t>
  </si>
  <si>
    <t>JOLENILZE FERNANDES DE SANT ANNA</t>
  </si>
  <si>
    <t>JONATAS SILVA SANTIAGO</t>
  </si>
  <si>
    <t>COLEGIO ESTADUAL DO CAMPO DE ICO</t>
  </si>
  <si>
    <t>4098690004670736</t>
  </si>
  <si>
    <t>JONATHAS MARTINS NUNES</t>
  </si>
  <si>
    <t>02618976592</t>
  </si>
  <si>
    <t>COLEGIO ESTADUAL DO CAMPO DE CARNAIBA</t>
  </si>
  <si>
    <t>4098691101438621</t>
  </si>
  <si>
    <t>JORDANIA AZEVEDO DE MIRANDA SILVA</t>
  </si>
  <si>
    <t>02224586582</t>
  </si>
  <si>
    <t>4098699003549114</t>
  </si>
  <si>
    <t>JORGE ALBERTO CARDOSO CASTRO</t>
  </si>
  <si>
    <t>COLEGIO EST DE TEMPO INTEGRAL PROF ANA ANGELICA VERGNE DE MORAIS</t>
  </si>
  <si>
    <t>4098690005060234</t>
  </si>
  <si>
    <t>JORGE CARNEIRO RIOS</t>
  </si>
  <si>
    <t>COMPLEXO INTEGRADO DE EDUC BASICA PROFIS E TECNOLOGICA DE ITABUNA</t>
  </si>
  <si>
    <t>4098699721200131</t>
  </si>
  <si>
    <t>JORGE LUIZ BRANDAO XAVIER</t>
  </si>
  <si>
    <t>CENTRO EST DE EDUC PROFIS EM GESTAO E TECNOL DA INFORM ALVARO M VIEIRA</t>
  </si>
  <si>
    <t>4098699003696592</t>
  </si>
  <si>
    <t>JORGENEY ELCYMARCOS DE ARGOLO SOUZA</t>
  </si>
  <si>
    <t>COLEGIO ESTADUAL DE TEMPO INTEGRAL DE ITAMIRA</t>
  </si>
  <si>
    <t>4098690005645703</t>
  </si>
  <si>
    <t>JOSAIR MOURA OLIVEIRA</t>
  </si>
  <si>
    <t>COLEGIO ESTADUAL ANTONILIO DA FRANCA CARDOSO</t>
  </si>
  <si>
    <t>4098691109125790</t>
  </si>
  <si>
    <t>JOSE ADELSON TELES DA GRACA</t>
  </si>
  <si>
    <t>COLEGIO ESTADUAL GOVERNADOR OTAVIO MANGABEIRA</t>
  </si>
  <si>
    <t>4098692634332406</t>
  </si>
  <si>
    <t>JOSE ALBERTO DE JESUS</t>
  </si>
  <si>
    <t>SANTA BRIGIDA</t>
  </si>
  <si>
    <t>COLEGIO ESTADUAL LUIZ VIANA FILHO</t>
  </si>
  <si>
    <t>4098690003092809</t>
  </si>
  <si>
    <t>JOSE ANTONIO DO NASCIMENTO ALVES DE OLIVEIRA</t>
  </si>
  <si>
    <t>IRAQUARA</t>
  </si>
  <si>
    <t>COLEGIO ESTADUAL DE TEMPO INTEGRAL DE IRAQUARA</t>
  </si>
  <si>
    <t>4098691100930206</t>
  </si>
  <si>
    <t>JOSE AUGUSTO DE OLIVEIRA SANTOS</t>
  </si>
  <si>
    <t>PARIPIRANGA</t>
  </si>
  <si>
    <t>COLEGIO ESTADUAL DOUTOR JOSE CARLOS BEZERRA CARVALHO</t>
  </si>
  <si>
    <t>4098690009556385</t>
  </si>
  <si>
    <t>JOSE BARBOSA SANTANA</t>
  </si>
  <si>
    <t>COLEGIO ESTADUAL DE TEMPO INTEGRAL DE IPIAU</t>
  </si>
  <si>
    <t>4098699002271355</t>
  </si>
  <si>
    <t>JOSE CARLOS RIBEIRO SANTOS</t>
  </si>
  <si>
    <t>COLEGIO ESTADUAL ADONIAS FILHO</t>
  </si>
  <si>
    <t>4098691102736874</t>
  </si>
  <si>
    <t>JOSE DOS SANTOS JUNIOR</t>
  </si>
  <si>
    <t>COMPLEXO INTEGRADO DE EDUCACAO BASICA PROFIS. E TECNOLOGICA DE JEQUIE</t>
  </si>
  <si>
    <t>4098690004403849</t>
  </si>
  <si>
    <t>JOSE GONCALVES LOPES JUNIOR</t>
  </si>
  <si>
    <t>ITAGI</t>
  </si>
  <si>
    <t>COLEGIO ESTADUAL PROFESSORA RENI MIRANDA FERREIRA</t>
  </si>
  <si>
    <t>4098691104263448</t>
  </si>
  <si>
    <t>JOSE MAGNO RIBEIRO AGUIAR</t>
  </si>
  <si>
    <t>00788772538</t>
  </si>
  <si>
    <t>URANDI</t>
  </si>
  <si>
    <t>COLEGIO ESTADUAL DE TEMPO INTEGRAL DE URANDI</t>
  </si>
  <si>
    <t>4098699002802969</t>
  </si>
  <si>
    <t>JOSE MILTON SOUZA PINTO</t>
  </si>
  <si>
    <t>MILAGRES</t>
  </si>
  <si>
    <t>COLEGIO ESTADUAL DE MILAGRES</t>
  </si>
  <si>
    <t>4098699003701590</t>
  </si>
  <si>
    <t>JOSE PAULO ALMEIDA CERQUEIRA</t>
  </si>
  <si>
    <t>00339685514</t>
  </si>
  <si>
    <t>COLEGIO ESTADUAL SENHOR DO BONFIM</t>
  </si>
  <si>
    <t>4098699002446676</t>
  </si>
  <si>
    <t>JOSE PEIXINHO DE MACEDO</t>
  </si>
  <si>
    <t>COLEGIO ESTADUAL MARTINHO SALLES BRASIL</t>
  </si>
  <si>
    <t>4098691101881382</t>
  </si>
  <si>
    <t>JOSE RAIMUNDO DE OLIVEIRA RIBEIRO</t>
  </si>
  <si>
    <t>SENTO SE</t>
  </si>
  <si>
    <t>COLEGIO ESTADUAL DE TEMPO INTEGRAL SETE DE SETEMBRO</t>
  </si>
  <si>
    <t>4098691100226233</t>
  </si>
  <si>
    <t>JOSE RENATO DE ALMEIDA SILVA</t>
  </si>
  <si>
    <t>COLEGIO ESTADUAL GOVERNADOR LOMANTO JUNIOR</t>
  </si>
  <si>
    <t>4098695613415456</t>
  </si>
  <si>
    <t>JOSE RICARDO MONTEIRO NASCIMENTO</t>
  </si>
  <si>
    <t>IRAMAIA</t>
  </si>
  <si>
    <t>COLEGIO ESTADUAL DE TEMPO INTEGRAL ANTONIO FERNANDO SOUZA RAMOS</t>
  </si>
  <si>
    <t>4098690008886270</t>
  </si>
  <si>
    <t>JOSE ROMARIO NASCIMENTO LAGO</t>
  </si>
  <si>
    <t>03010568541</t>
  </si>
  <si>
    <t>TERRA NOVA</t>
  </si>
  <si>
    <t>COLEGIO ESTADUAL TERRA NOVA</t>
  </si>
  <si>
    <t>4098690009886709</t>
  </si>
  <si>
    <t>JOSE WILSON PEREIRA CORREIA</t>
  </si>
  <si>
    <t>08185310530</t>
  </si>
  <si>
    <t>ITAGUACU DA BAHIA</t>
  </si>
  <si>
    <t>COLEGIO ESTADUAL DO CAMPO FRANCISCO CASTRO LARANJEIRA</t>
  </si>
  <si>
    <t>4098691107832744</t>
  </si>
  <si>
    <t>JOSE WILTON FRANCISCO DA SILVA</t>
  </si>
  <si>
    <t>COLEGIO ESTADUAL DE TEMPO INTEGRAL CAROLINA MARIA DE JESUS</t>
  </si>
  <si>
    <t>4098690004304963</t>
  </si>
  <si>
    <t>JOSEANE SOUSA LIMA COSTA</t>
  </si>
  <si>
    <t>00457243503</t>
  </si>
  <si>
    <t>EUCLIDES DA CUNHA</t>
  </si>
  <si>
    <t>CENTRO TERRITORIAL DE EDUCACAO PROFISSIONAL SERTAO FORTE</t>
  </si>
  <si>
    <t>4098691101818798</t>
  </si>
  <si>
    <t>JOSEFA NEUMA ROCHA DA SILVA</t>
  </si>
  <si>
    <t>COLEGIO EST DE TEMPO INTEGRAL PROFESSORA NINALVA MARIA PARAIZO SILVA</t>
  </si>
  <si>
    <t>4098691100540369</t>
  </si>
  <si>
    <t>JOSEFA ROSA DOS SANTOS BORGES</t>
  </si>
  <si>
    <t>COLEGIO ESTADUAL DEMOCRATICO QUITERIA MARIA DE JESUS</t>
  </si>
  <si>
    <t>4098695358569327</t>
  </si>
  <si>
    <t>JOSELI FLORENTINO DE BRITO</t>
  </si>
  <si>
    <t>06700448492</t>
  </si>
  <si>
    <t>JOSELIA MARIA DOS SANTOS</t>
  </si>
  <si>
    <t>CABACEIRAS DO PARAGUACU</t>
  </si>
  <si>
    <t>COLEGIO ESTADUAL ALBERICO GOMES SANTANA</t>
  </si>
  <si>
    <t>4098690009924765</t>
  </si>
  <si>
    <t>JOSENALDO SOUZA CRUZ</t>
  </si>
  <si>
    <t>ARATUIPE</t>
  </si>
  <si>
    <t>COLEGIO ESTADUAL PROFESSOR ROCHA PITA</t>
  </si>
  <si>
    <t>4098691103139029</t>
  </si>
  <si>
    <t>JOSENEL DOS SANTOS OLIVEIRA</t>
  </si>
  <si>
    <t>03008038506</t>
  </si>
  <si>
    <t>COLEGIO ESTADUAL POLIVALENTE DE ARATU</t>
  </si>
  <si>
    <t>4098699002641391</t>
  </si>
  <si>
    <t>JOSENILDA MOITINHO SENA</t>
  </si>
  <si>
    <t>COLEGIO ESTADUAL DO CAMPO PEDRO ATANASIO GARCIA</t>
  </si>
  <si>
    <t>4098694289057601</t>
  </si>
  <si>
    <t>JOSIANE RODRIGUES PEREIRA XAVIER</t>
  </si>
  <si>
    <t>00619684550</t>
  </si>
  <si>
    <t>NOVA REDENCAO</t>
  </si>
  <si>
    <t>COLEGIO ESTADUAL DE TEMPO INTEGRAL EDILSON JOAQUIM DOS SANTOS</t>
  </si>
  <si>
    <t>4098690003703769</t>
  </si>
  <si>
    <t>JOSIELITON DIAS LIMA</t>
  </si>
  <si>
    <t>COLEGIO ESTADUAL ALBERTO VALENCA</t>
  </si>
  <si>
    <t>4098691102479491</t>
  </si>
  <si>
    <t>JOSILENE FERNANDES SALES</t>
  </si>
  <si>
    <t>COLEGIO ESTADUAL HELENA ASSIS SUZART</t>
  </si>
  <si>
    <t>4098691101425578</t>
  </si>
  <si>
    <t>JOSINEIDE LIMA DE OLIVEIRA</t>
  </si>
  <si>
    <t>CONCEICAO DO JACUIPE</t>
  </si>
  <si>
    <t>COLEGIO ESTADUAL DE TEMPO INTEGRAL CONCEICAO DO JACUIPE</t>
  </si>
  <si>
    <t>4098690001673535</t>
  </si>
  <si>
    <t>JOSOEL PEREIRA DA SILVA</t>
  </si>
  <si>
    <t>CRAVOLANDIA</t>
  </si>
  <si>
    <t>COLEGIO ESTADUAL DE CRAVOLANDIA</t>
  </si>
  <si>
    <t>4098699003617614</t>
  </si>
  <si>
    <t>JOSUE SANTOS DE ALMEIDA JUNIOR</t>
  </si>
  <si>
    <t>01124459502</t>
  </si>
  <si>
    <t>COLEGIO ESTADUAL INDIGENA FLORENTINO DOMINGOS DE ANDRADE</t>
  </si>
  <si>
    <t>4098690001515678</t>
  </si>
  <si>
    <t>JOZILENE ANDRADE DE SOUZA</t>
  </si>
  <si>
    <t>00654998590</t>
  </si>
  <si>
    <t>CENTRO ESTADUAL DE EDUCACAO PROFISSIONAL EM GESTAO SEVERINO VIEIRA</t>
  </si>
  <si>
    <t>4098699002635732</t>
  </si>
  <si>
    <t>JUCARA SILVA SANTOS</t>
  </si>
  <si>
    <t>CENTRO DE APOIO PEDAGOGICO ESPECIALIZADO SEABRA</t>
  </si>
  <si>
    <t>4098696433568508</t>
  </si>
  <si>
    <t>JUCELINA RIBEIRO GUANAIS SOUZA</t>
  </si>
  <si>
    <t>NOVA SOURE</t>
  </si>
  <si>
    <t>COLEGIO ESTADUAL DE TEMPO INTEGRAL SERTAO DA NATUBA DE NOVA SOURE</t>
  </si>
  <si>
    <t>4098691107176274</t>
  </si>
  <si>
    <t>JUCELINO MOREIRA DE CARVALHO</t>
  </si>
  <si>
    <t>05044661511</t>
  </si>
  <si>
    <t>COLEGIO ESTADUAL RUBEM NOGUEIRA</t>
  </si>
  <si>
    <t>JUDITE SANT ANNA LIMA</t>
  </si>
  <si>
    <t>COLEGIO ESTADUAL NORMAL DE SERRINHA</t>
  </si>
  <si>
    <t>4098693149532365</t>
  </si>
  <si>
    <t>JULIANA ARAUJO SANTOS</t>
  </si>
  <si>
    <t>01552071561</t>
  </si>
  <si>
    <t>ADUSTINA</t>
  </si>
  <si>
    <t>4098690001541807</t>
  </si>
  <si>
    <t>JULIANA CARVALHO MATOS</t>
  </si>
  <si>
    <t>COLEGIO ESTADUAL MARIO AUGUSTO TEIXEIRA DE FREITAS</t>
  </si>
  <si>
    <t>4098691103663655</t>
  </si>
  <si>
    <t>JULIANA CONCEICAO DE OLIVEIRA</t>
  </si>
  <si>
    <t>02501524527</t>
  </si>
  <si>
    <t>ITACARE</t>
  </si>
  <si>
    <t>COLEGIO ESTADUAL AURELINO LEAL</t>
  </si>
  <si>
    <t>4098690004214485</t>
  </si>
  <si>
    <t>JULIANA DELMONT</t>
  </si>
  <si>
    <t>COLEGIO ESTADUAL DO CAMPO JOAO BAPTISTA CARNEIRO</t>
  </si>
  <si>
    <t>4098699002304784</t>
  </si>
  <si>
    <t>JULIANA FURTADO RIBEIRO SANTOS</t>
  </si>
  <si>
    <t>COLEGIO ESTADUAL PROFESSORA CARMENILZA DE ARAUJO LIMA DE MATOS</t>
  </si>
  <si>
    <t>4098699003567298</t>
  </si>
  <si>
    <t>JULIANA RODRIGUES SALLES</t>
  </si>
  <si>
    <t>BELMONTE</t>
  </si>
  <si>
    <t>COLEGIO ESTADUAL POLIVALENTE DE BELMONTE</t>
  </si>
  <si>
    <t>JULIANA SOUZA DE AQUINO</t>
  </si>
  <si>
    <t>01633943500</t>
  </si>
  <si>
    <t>COLEGIO ESTADUAL DE TEMPO INTEGRAL LUISA MAHIM</t>
  </si>
  <si>
    <t>4098690006933967</t>
  </si>
  <si>
    <t>JULIANA SOUZA ROCHA</t>
  </si>
  <si>
    <t>03437416448</t>
  </si>
  <si>
    <t>COLEGIO ESTADUAL DE IBIRATAIA</t>
  </si>
  <si>
    <t>4098691103907383</t>
  </si>
  <si>
    <t>JULIANE MACHADO CARVALHO RIBEIRO</t>
  </si>
  <si>
    <t>CENTRO ESTADUAL DE EDUCACAO PROFISSIONAL DO CHOCOLATE NELSON SCHAUN</t>
  </si>
  <si>
    <t>4098691109336405</t>
  </si>
  <si>
    <t>JULIERME BARROS COUTO</t>
  </si>
  <si>
    <t>FLORESTA AZUL</t>
  </si>
  <si>
    <t>COLEGIO ESTADUAL DE TEMPO INTEGRAL FRED GEDEON</t>
  </si>
  <si>
    <t>4098699003580861</t>
  </si>
  <si>
    <t>JUSCELIA SIRQUEIRA PINHEIRO</t>
  </si>
  <si>
    <t>JUSSIAPE</t>
  </si>
  <si>
    <t xml:space="preserve">COLEGIO ESTADUAL RODOLFO DE ABREU - DISTRITO DE CARAGUATAI </t>
  </si>
  <si>
    <t>4098699603040415</t>
  </si>
  <si>
    <t>JUSSARA PEREIRA MARQUES MENDES</t>
  </si>
  <si>
    <t>COLEGIO ESTADUAL DE TEMPO INTEGRAL PADRE LUIS SOARES PALMEIRA</t>
  </si>
  <si>
    <t>4098695487891212</t>
  </si>
  <si>
    <t>JUSSARA SANTANA PEREIRA</t>
  </si>
  <si>
    <t>CENTRO TERRITORIAL DE EDUCAÇÃO PROFISSIONAL DO BAIXO SUL</t>
  </si>
  <si>
    <t>4098690003131953</t>
  </si>
  <si>
    <t>JUSSEANDRE SANTOS SANTANA</t>
  </si>
  <si>
    <t>CENTRO TERRITORIAL DE EDUCACAO PROFISSIONAL DO PIEMONTE PARAGUACU I</t>
  </si>
  <si>
    <t>4098691103363223</t>
  </si>
  <si>
    <t>JUVENAL MORAIS DA SILVA JUNIOR</t>
  </si>
  <si>
    <t>COLEGIO ESTADUAL DE TEMPO INTEGRAL JUSTINIANO DE CASTRO DOURADO</t>
  </si>
  <si>
    <t>4098690004546480</t>
  </si>
  <si>
    <t>KALINE CASTRO CAMPOS NEVES MORAIS</t>
  </si>
  <si>
    <t>COLEGIO ESTADUAL DO CAMPO ITAN GUIMARAES CERQUEIRA</t>
  </si>
  <si>
    <t>4098693607833032</t>
  </si>
  <si>
    <t>KALLY CRISTINA MATOS DE SOUZA CARNEIRO</t>
  </si>
  <si>
    <t>COLEGIO ESTADUAL DE TEMPO INTEGRAL RENATO MEDEIROS NETO</t>
  </si>
  <si>
    <t>4098691103240256</t>
  </si>
  <si>
    <t>KARINE RIBEIRO MOREIRA</t>
  </si>
  <si>
    <t>COLEGIO ESTADUAL PROFESSORA IRENE DE SOUZA ARAUJO</t>
  </si>
  <si>
    <t>4098691109103342</t>
  </si>
  <si>
    <t>KATIA CAMPINHO PASSOS</t>
  </si>
  <si>
    <t>UBAIRA</t>
  </si>
  <si>
    <t>COLEGIO ESTADUAL BALBINO MUNIZ BARRETO</t>
  </si>
  <si>
    <t>4098691102073187</t>
  </si>
  <si>
    <t>KATIA REGINA SANTOS ROCHA</t>
  </si>
  <si>
    <t>COLEGIO ESTADUAL PRINCESA IZABEL</t>
  </si>
  <si>
    <t>4098697585046475</t>
  </si>
  <si>
    <t>KATIUSSIA FELIX DOS SANTOS</t>
  </si>
  <si>
    <t>00027894509</t>
  </si>
  <si>
    <t>ESCOLA ESTADUAL INDIGENA TUPINAMBA DE ABAETE</t>
  </si>
  <si>
    <t>4098690004772698</t>
  </si>
  <si>
    <t>KATU TUPINAMBA SILVA AMARAL</t>
  </si>
  <si>
    <t>CATOLANDIA</t>
  </si>
  <si>
    <t>COLEGIO ESTADUAL NOSSA SENHORA DA PENHA</t>
  </si>
  <si>
    <t>4098695619031471</t>
  </si>
  <si>
    <t>KEILANE OLIVEIRA DE SOUZA</t>
  </si>
  <si>
    <t>06878496594</t>
  </si>
  <si>
    <t>MAIQUINIQUE</t>
  </si>
  <si>
    <t>COLEGIO ESTADUAL ALTAIR ALMEIDA MEIRA</t>
  </si>
  <si>
    <t>4098691101559632</t>
  </si>
  <si>
    <t>KEITIANE SANTANA SILVA</t>
  </si>
  <si>
    <t>01990095542</t>
  </si>
  <si>
    <t>COLEGIO ESTADUAL DE TEMPO INTEGRAL DE CASA NOVA</t>
  </si>
  <si>
    <t>4098699002644056</t>
  </si>
  <si>
    <t>KELLY DE CASTRO SILVA TELES</t>
  </si>
  <si>
    <t>COLEGIO DA POLICIA MILITAR - CPM LUIZ TARQUINIO</t>
  </si>
  <si>
    <t>4098690006500600</t>
  </si>
  <si>
    <t>KEUCILENE ANDRADE CUNHA</t>
  </si>
  <si>
    <t>COLEGIO ESTADUAL DE TEMPO INTEGRAL DE PAULO AFONSO</t>
  </si>
  <si>
    <t>4098698276701543</t>
  </si>
  <si>
    <t>KLEILSON RODRIGUES DA SILVA</t>
  </si>
  <si>
    <t>MADRE DE DEUS</t>
  </si>
  <si>
    <t>COLEGIO ESTADUAL ANTONIO BALBINO</t>
  </si>
  <si>
    <t>4098695350596898</t>
  </si>
  <si>
    <t>KLINSMANN PATRICK DOS SANTOS</t>
  </si>
  <si>
    <t>07457412581</t>
  </si>
  <si>
    <t>COLEGIO ESTADUAL JOAO CARDOSO DOS SANTOS</t>
  </si>
  <si>
    <t>4098690000458557</t>
  </si>
  <si>
    <t>KRENY LIMA CARVALHO DE SOUZA</t>
  </si>
  <si>
    <t>COLEGIO ESTADUAL PROFESSOR CARLOS VALADARES</t>
  </si>
  <si>
    <t>4098690004049758</t>
  </si>
  <si>
    <t>LADJANE BARBOSA DOS SANTOS</t>
  </si>
  <si>
    <t>CENT.REG.DE ENS.MEDIO COM INTERMEDIACAO TEC.CEMIT DA CHAPADA DIAMANTIN</t>
  </si>
  <si>
    <t>4098690009934061</t>
  </si>
  <si>
    <t>LAIZA BRANDAO MIRANDA</t>
  </si>
  <si>
    <t>LARISSA COSTA MELO</t>
  </si>
  <si>
    <t>02571653555</t>
  </si>
  <si>
    <t>COLEGIO ESTADUAL DO CAMPO DE SANTANA</t>
  </si>
  <si>
    <t>4098693602916758</t>
  </si>
  <si>
    <t>LAUDILINO ANUNCIACAO DAS NEVES</t>
  </si>
  <si>
    <t>02702849580</t>
  </si>
  <si>
    <t>COLEGIO ESTADUAL PROFESSORA MARILEINE DA SILVA</t>
  </si>
  <si>
    <t>4098690004153972</t>
  </si>
  <si>
    <t>LAURA RODRIGUES SOUZA SILVA</t>
  </si>
  <si>
    <t>COLEGIO ESTADUAL DE TEMPO INTEGRAL JOAO TEIXEIRA DE NOVAES</t>
  </si>
  <si>
    <t>4098691100727313</t>
  </si>
  <si>
    <t>LEANDRA PIRES FERREIRA ROCHA</t>
  </si>
  <si>
    <t>COLEGIO ESTADUAL DO CAMPO DE SERRA GRANDE</t>
  </si>
  <si>
    <t>4098691103815107</t>
  </si>
  <si>
    <t>LEANDRO LESSA BEZERRA</t>
  </si>
  <si>
    <t>03343044580</t>
  </si>
  <si>
    <t>INSTITUTO DE EDUCACAO DE TEMPO INTEGRAL GASTAO GUIMARAES</t>
  </si>
  <si>
    <t>4098691552706989</t>
  </si>
  <si>
    <t>LEANDRO MACIEL SOUZA</t>
  </si>
  <si>
    <t>CANARANA</t>
  </si>
  <si>
    <t>COLEGIO ESTADUAL DO CAMPO MAXIMINO MARTINS</t>
  </si>
  <si>
    <t>4098694289878469</t>
  </si>
  <si>
    <t>LEDA DOURADO CARNEIRO MARTINS</t>
  </si>
  <si>
    <t>05789179550</t>
  </si>
  <si>
    <t>CENTRO TERRITORIAL DE EDUCACAO PROFISSIONAL DO SERTAO DO SAO FRANCISCO</t>
  </si>
  <si>
    <t>4098691103170784</t>
  </si>
  <si>
    <t>LEILA CRISTINA SILVA SANTANA PACHECO</t>
  </si>
  <si>
    <t>UMBURANAS</t>
  </si>
  <si>
    <t>COLEGIO ESTADUAL PROFESSORA MARIA MADALENA DA SILVA</t>
  </si>
  <si>
    <t>4098699323298541</t>
  </si>
  <si>
    <t>LEILA LOPES DE ALMEIDA MATOS</t>
  </si>
  <si>
    <t>WENCESLAU GUIMARAES</t>
  </si>
  <si>
    <t>COLEGIO ESTADUAL NAIR LOPES JENKINS</t>
  </si>
  <si>
    <t>4098693229178584</t>
  </si>
  <si>
    <t>LEILA MARIA MACHADO DA SILVA SOUZA</t>
  </si>
  <si>
    <t>COLEGIO ESTADUAL SOLANGE HORTELIO FRANCO</t>
  </si>
  <si>
    <t>4098699002846016</t>
  </si>
  <si>
    <t>LEILA MARIA SOUZA DE CARVALHO</t>
  </si>
  <si>
    <t>CENTRO INTEGRADO DE EDUCACAO ASSIS CHATEAUBRIAND</t>
  </si>
  <si>
    <t>4098699003581034</t>
  </si>
  <si>
    <t>LEISLYANI COSTA DA SILVA VIEIRA</t>
  </si>
  <si>
    <t>COLEGIO ESTADUAL DE TEMPO INTEGRAL PROFESSORA ELIETE MALAQUIAS</t>
  </si>
  <si>
    <t>4098694343060138</t>
  </si>
  <si>
    <t>LENILDO ALVES SANTANA</t>
  </si>
  <si>
    <t>COLEGIO ESTADUAL DO CAMPO ALOISIO DAMASCENO DE JESUS</t>
  </si>
  <si>
    <t>4098691386400452</t>
  </si>
  <si>
    <t>LENILDO BISPO DOS SANTOS</t>
  </si>
  <si>
    <t>01455585505</t>
  </si>
  <si>
    <t>IBIPITANGA</t>
  </si>
  <si>
    <t>COLEGIO ESTADUAL DO CAMPO DE IBIPITANGA</t>
  </si>
  <si>
    <t>4098699003317058</t>
  </si>
  <si>
    <t>LENILSON CHAVES DE ARAUJO MIRANDA</t>
  </si>
  <si>
    <t>LENIRA MARIA DE FIGUEIREDO SOUZA</t>
  </si>
  <si>
    <t>FATIMA</t>
  </si>
  <si>
    <t>COLEGIO ESTADUAL DE TEMPO INTEGRAL PROFESSORA ANA MIRENA DA SILVA</t>
  </si>
  <si>
    <t>4098699002767287</t>
  </si>
  <si>
    <t>LEOMARCOS REIS ALMEIDA</t>
  </si>
  <si>
    <t>04130780514</t>
  </si>
  <si>
    <t>COLEGIO ESTADUAL INDIGENA TUPINAMBA DE OLIVENCA</t>
  </si>
  <si>
    <t>4098699002744518</t>
  </si>
  <si>
    <t>LEONARDO GONCALVES DE JESUS</t>
  </si>
  <si>
    <t>00195612531</t>
  </si>
  <si>
    <t>MASCOTE</t>
  </si>
  <si>
    <t>COLEGIO ESTADUAL DE TEMPO INTEGRAL PROFESSORA MARILENA SENA LOUREIRO</t>
  </si>
  <si>
    <t>4098693600392317</t>
  </si>
  <si>
    <t>LEONARDO JHONATAS MOREIRA DA SILVA</t>
  </si>
  <si>
    <t>COLEGIO DA POLICIA MILITAR - UNIDADE II CPM LOBATO</t>
  </si>
  <si>
    <t>4098691104459434</t>
  </si>
  <si>
    <t>LEONOR SALGADO HARDT</t>
  </si>
  <si>
    <t>COLEGIO ESTADUAL INDIGENA TANARA PATAXO PEQUI/GURITA</t>
  </si>
  <si>
    <t>4098696622012045</t>
  </si>
  <si>
    <t>LETICIA FERREIRA CARVALHO SANTOS</t>
  </si>
  <si>
    <t>LICINIO DE ALMEIDA</t>
  </si>
  <si>
    <t>COLEGIO ESTADUAL DE TEMPO INTEGRAL DE LICINIO DE ALMEIDA</t>
  </si>
  <si>
    <t>4098690009308860</t>
  </si>
  <si>
    <t>LEUCE LILIANE GAMA SILVA OLIVEIRA</t>
  </si>
  <si>
    <t>00626602505</t>
  </si>
  <si>
    <t>POTIRAGUA</t>
  </si>
  <si>
    <t>COLEGIO DEMOCRATICO ESTADUAL ANISIO TEIXEIRA</t>
  </si>
  <si>
    <t>4098691102303873</t>
  </si>
  <si>
    <t>LEVI SOUZA NASCIMENTO</t>
  </si>
  <si>
    <t>COLEGIO ESTADUAL TEMPO INTEGRAL PROFESSOR ARISMARIO SENA FERREIRA</t>
  </si>
  <si>
    <t>4098691102611697</t>
  </si>
  <si>
    <t>LIANA MACEDO DE MACEDO</t>
  </si>
  <si>
    <t>RIO DO PIRES</t>
  </si>
  <si>
    <t>COLEGIO ESTADUAL PAULO VI</t>
  </si>
  <si>
    <t>4098699003433889</t>
  </si>
  <si>
    <t>LIEGE DE CASSIA RAMOS SILVA</t>
  </si>
  <si>
    <t>LILIA CRISTINA PEIXOTO DOS SANTOS SOUSA</t>
  </si>
  <si>
    <t>CASTRO ALVES</t>
  </si>
  <si>
    <t>COLEGIO ESTADUAL DO CAMPO DE CASTRO ALVES</t>
  </si>
  <si>
    <t>4098690009094924</t>
  </si>
  <si>
    <t>LILIAN GOMES DA SILVA</t>
  </si>
  <si>
    <t>IACU</t>
  </si>
  <si>
    <t>COLEGIO ESTADUAL LAURO FARANI PEDREIRA DE FREITAS</t>
  </si>
  <si>
    <t>4098690008347208</t>
  </si>
  <si>
    <t>LILIAN RAFFAELA CASTELHANO DIAS</t>
  </si>
  <si>
    <t>01512236535</t>
  </si>
  <si>
    <t>CENTRO DE APOIO PEDAGOGICO ESPECIALIZADO - CAPE SENHOR DO BONFIM</t>
  </si>
  <si>
    <t>4098690008818927</t>
  </si>
  <si>
    <t>LILIAN REGINA MARQUES BARTILOTTI</t>
  </si>
  <si>
    <t>COLEGIO ESTADUAL DE TEMPO INTEGRAL PROF PEDRO PAULO MARQUES E MARQUES</t>
  </si>
  <si>
    <t>4098690007057733</t>
  </si>
  <si>
    <t>LILIANE FONSECA DO CARMO</t>
  </si>
  <si>
    <t>COLEGIO ESTADUAL CECILIO MATTOS</t>
  </si>
  <si>
    <t>4098691106651301</t>
  </si>
  <si>
    <t>LINDOMAR DE SOUZA MENEZES</t>
  </si>
  <si>
    <t>SANTANOPOLIS</t>
  </si>
  <si>
    <t>COLEGIO ESTADUAL DE TEMPO INTEGRAL JOSE ANTONIO DE ALMEIDA</t>
  </si>
  <si>
    <t>4098691556356435</t>
  </si>
  <si>
    <t>LISIAN CAROLINE LIMA ALVES CARDOSO</t>
  </si>
  <si>
    <t>CAIRU</t>
  </si>
  <si>
    <t>COLEGIO ESTADUAL CANDIDO MEIRELES</t>
  </si>
  <si>
    <t>4098699468578202</t>
  </si>
  <si>
    <t>LISMAR LUCAS SANTOS DOS REIS</t>
  </si>
  <si>
    <t>04991880556</t>
  </si>
  <si>
    <t>COLEGIO ESTADUAL PRISCO VIANA</t>
  </si>
  <si>
    <t>4098690001763419</t>
  </si>
  <si>
    <t>LIVIA DOS SANTOS RIBEIRO LAURINDO</t>
  </si>
  <si>
    <t>00192101595</t>
  </si>
  <si>
    <t>CENTRO TERRITORIAL DE EDUCACAO PROFISSIONAL DE VITORIA DA CONQUISTA</t>
  </si>
  <si>
    <t>4098691381794370</t>
  </si>
  <si>
    <t>LIVIA OLIVEIRA CORREIA</t>
  </si>
  <si>
    <t>00610481517</t>
  </si>
  <si>
    <t>COLEGIO ESTADUAL DE PORTO SEGURO</t>
  </si>
  <si>
    <t>4098695632364545</t>
  </si>
  <si>
    <t>LIZZIANE DO NASCIMENTO SANTOS SILVA</t>
  </si>
  <si>
    <t>IBICOARA</t>
  </si>
  <si>
    <t>COLEGIO ESTADUAL DE CASCAVEL</t>
  </si>
  <si>
    <t>4098695483727824</t>
  </si>
  <si>
    <t>LORENE SOUZA COSTA</t>
  </si>
  <si>
    <t>04485799522</t>
  </si>
  <si>
    <t>CENTRO EDUCACIONAL CARNEIRO RIBEIRO - CLASSE IV</t>
  </si>
  <si>
    <t>4098690005497527</t>
  </si>
  <si>
    <t>LOURDES CONCEICAO BARBUDA AMARAL DOS SANTOS</t>
  </si>
  <si>
    <t>BOA NOVA</t>
  </si>
  <si>
    <t>COLEGIO ESTADUAL BOANOVENSE</t>
  </si>
  <si>
    <t>4098691103220936</t>
  </si>
  <si>
    <t>LUANDA NOGUEIRA SOUZA</t>
  </si>
  <si>
    <t>01345747535</t>
  </si>
  <si>
    <t>COLEGIO ESTADUAL PROFESSORA FARAILDES SANTOS</t>
  </si>
  <si>
    <t>4098695094381615</t>
  </si>
  <si>
    <t>LUCAS FLAVIO SOUZA NUNES</t>
  </si>
  <si>
    <t>01721578544</t>
  </si>
  <si>
    <t>COLEGIO ESTADUAL DE TEMPO INTEGRAL DE IBICOARA</t>
  </si>
  <si>
    <t>4098699002270449</t>
  </si>
  <si>
    <t>LUCAS LUZ PIRES</t>
  </si>
  <si>
    <t>ITAJUIPE</t>
  </si>
  <si>
    <t>COLEGIO POLIVALENTE DE ITAJUIPE</t>
  </si>
  <si>
    <t>4098691386318977</t>
  </si>
  <si>
    <t>LUCAS OLIVEIRA ROCHA</t>
  </si>
  <si>
    <t>00911436596</t>
  </si>
  <si>
    <t>CAPELA DO ALTO ALEGRE</t>
  </si>
  <si>
    <t>COL EST DE TEMPO INTEGRAL PROF ZENILDA FERNANDES DOS SANTOS FARIAS</t>
  </si>
  <si>
    <t>4098691102940419</t>
  </si>
  <si>
    <t>LUCELIA MARINHO DA PAIXAO</t>
  </si>
  <si>
    <t>COLEGIO ESTADUAL GOES CALMON</t>
  </si>
  <si>
    <t>4098699003387648</t>
  </si>
  <si>
    <t>LUCIA GRACIETE FRAGA DE BRITO</t>
  </si>
  <si>
    <t>COLEGIO POLIVALENTE DE ITAPETINGA</t>
  </si>
  <si>
    <t>4098691106839476</t>
  </si>
  <si>
    <t>LUCIA MORAIS DA SILVA DE SOUZA</t>
  </si>
  <si>
    <t>CENTRO TERRITORIAL DE EDUCACAO PROFISSIONAL DO VALE DO JIQUIRICA</t>
  </si>
  <si>
    <t>4098699720441843</t>
  </si>
  <si>
    <t>LUCIANA BISPO DA ROSA</t>
  </si>
  <si>
    <t>00901155543</t>
  </si>
  <si>
    <t>COLEGIO ESTADUAL IMACULADA CONCEICAO</t>
  </si>
  <si>
    <t>4098699003707928</t>
  </si>
  <si>
    <t>LUCIANA DE MACEDO MACARIO</t>
  </si>
  <si>
    <t>TAPIRAMUTA</t>
  </si>
  <si>
    <t>COLEGIO ESTADUAL JOAO QUEIROZ</t>
  </si>
  <si>
    <t>4098699003408444</t>
  </si>
  <si>
    <t>LUCIANA SENA LIMA</t>
  </si>
  <si>
    <t>CENTRO EST. DE EDUC. PROF. EM GESTAO E TECN. DA INFOR. REGIS PACHECO</t>
  </si>
  <si>
    <t>4098695762508259</t>
  </si>
  <si>
    <t>LUCIANA SILVA DE DEUS</t>
  </si>
  <si>
    <t>BARRO PRETO</t>
  </si>
  <si>
    <t>COLEGIO ESTADUAL LOMANTO JUNIOR</t>
  </si>
  <si>
    <t>4098691100142885</t>
  </si>
  <si>
    <t>LUCIANE FELISBERTO DOS SANTOS</t>
  </si>
  <si>
    <t>COLEGIO ESTADUAL MANOEL DEVOTO</t>
  </si>
  <si>
    <t>4098699002304479</t>
  </si>
  <si>
    <t>LUCIANO ELOY SANTOS ALVES</t>
  </si>
  <si>
    <t>OLIVEIRA DOS BREJINHOS</t>
  </si>
  <si>
    <t>COLEGIO ESTADUAL DE TEMPO INTEGRAL TIRADENTES</t>
  </si>
  <si>
    <t>4098690006815016</t>
  </si>
  <si>
    <t>LUCIANO LUNARDI</t>
  </si>
  <si>
    <t>00363646906</t>
  </si>
  <si>
    <t>COLEGIO ESTADUAL PROFESSORA NOEMIA REGO</t>
  </si>
  <si>
    <t>4098697279504714</t>
  </si>
  <si>
    <t>LUCIANO MELLO DE CARVALHO</t>
  </si>
  <si>
    <t>PIRIPA</t>
  </si>
  <si>
    <t>COLEGIO ESTADUAL DE PIRIPA</t>
  </si>
  <si>
    <t>4098699003584251</t>
  </si>
  <si>
    <t>LUCIANO ROSA GUGE</t>
  </si>
  <si>
    <t>01212167562</t>
  </si>
  <si>
    <t>BELO CAMPO</t>
  </si>
  <si>
    <t>COLEGIO EST DE TEMPO INTEGRAL PROFESSORA ELINEUZA DA SILVA FERREIRA</t>
  </si>
  <si>
    <t>4098690006491750</t>
  </si>
  <si>
    <t>LUCIANO WEBER NUNES DE AGUIAR</t>
  </si>
  <si>
    <t>CORACAO DE MARIA</t>
  </si>
  <si>
    <t>COLEGIO ESTADUAL DE TEMPO INTEGRAL DOM PEDRO II</t>
  </si>
  <si>
    <t>4098691107645138</t>
  </si>
  <si>
    <t>LUCIANY VIEIRA RIBEIRO DE CERQUEIRA</t>
  </si>
  <si>
    <t>SAO GONCALO DOS CAMPOS</t>
  </si>
  <si>
    <t>COLEGIO ESTADUAL DE TEMPO INTEGRAL DE SAO GONCALO DOS CAMPOS</t>
  </si>
  <si>
    <t>4098690000661093</t>
  </si>
  <si>
    <t>LUCIDALVA DE JESUS DALTRO</t>
  </si>
  <si>
    <t>AMELIA RODRIGUES</t>
  </si>
  <si>
    <t>COLEGIO ESTADUAL DE TEMPO INTEGRAL AMELIA RODRIGUES</t>
  </si>
  <si>
    <t>4098691104429072</t>
  </si>
  <si>
    <t>LUCIDALVA DE OLIVEIRA BOAVENTURA</t>
  </si>
  <si>
    <t>JUSSARA</t>
  </si>
  <si>
    <t>COLEGIO EST DE TEMPO INTEGRAL PROFESSOR ETEVALDO MARTINIANO DA ROCHA</t>
  </si>
  <si>
    <t>4098691105590807</t>
  </si>
  <si>
    <t>LUCIEL RODRIGUES DA SILVA</t>
  </si>
  <si>
    <t>05580679564</t>
  </si>
  <si>
    <t>ESCOLA ESTADUAL PROFESSORA MARIINHA TAVARES</t>
  </si>
  <si>
    <t>4098691103210515</t>
  </si>
  <si>
    <t>LUCIENE OLIVEIRA LIMA</t>
  </si>
  <si>
    <t>BARRA DO CHOCA</t>
  </si>
  <si>
    <t>COLEGIO ESTADUAL DO CAMPO LUCIA ROCHA MACEDO</t>
  </si>
  <si>
    <t>4098699003603747</t>
  </si>
  <si>
    <t>LUCIENE ROCHA SILVA</t>
  </si>
  <si>
    <t>GONGOGI</t>
  </si>
  <si>
    <t>COLEGIO ESTADUAL JOSE ARAUJO PEREIRA</t>
  </si>
  <si>
    <t>LUCIENE ROSA SANTOS CARVALHO</t>
  </si>
  <si>
    <t>CENTRO DE ENSINO E CULTURA DR EDUARDO FROES DA MOTTA</t>
  </si>
  <si>
    <t>4098690005590222</t>
  </si>
  <si>
    <t>LUCIMAURA MARINHO DA PAIXAO</t>
  </si>
  <si>
    <t>SANTO AMARO</t>
  </si>
  <si>
    <t>CENTRO EST DE EDUC PROFISSIONAL EM TURISMO DO LESTE BAIANO</t>
  </si>
  <si>
    <t>4098699003696600</t>
  </si>
  <si>
    <t>LUCIMERY DOS SANTOS CARVALHO</t>
  </si>
  <si>
    <t>COMPLEXO INTEGRADO DE EDUCACAO BASICA, PROFIS E TECNOLOGICA DA BAHIA</t>
  </si>
  <si>
    <t>4098690006741964</t>
  </si>
  <si>
    <t>LUCIMONE DOS SANTOS LOPES BRUNO</t>
  </si>
  <si>
    <t>CRISOPOLIS</t>
  </si>
  <si>
    <t>COLEGIO ESTADUAL DE TEMPO INTEGRAL EUDOXIA MARIA</t>
  </si>
  <si>
    <t>4098690003121053</t>
  </si>
  <si>
    <t>LUCIO SILVA DOS SANTOS</t>
  </si>
  <si>
    <t>01641815558</t>
  </si>
  <si>
    <t>COLEGIO ESTADUAL DO CAMPO PROFESSORA LUCIA MARIA BATISTA DA SILVA</t>
  </si>
  <si>
    <t>4098699792866232</t>
  </si>
  <si>
    <t>LUIS EDUARDO LISBOA</t>
  </si>
  <si>
    <t>00206568584</t>
  </si>
  <si>
    <t>COLEGIO ESTADUAL DO CAMPO VINTE E CINCO DE JULHO</t>
  </si>
  <si>
    <t>4098695637366784</t>
  </si>
  <si>
    <t>LUIS GUILHERME ESCHENAZI LUCENA</t>
  </si>
  <si>
    <t>ARACI</t>
  </si>
  <si>
    <t>CENTRO TERRITORIAL DE EDUCACAO PROFISSIONAL DE ARACI</t>
  </si>
  <si>
    <t>4098691102021814</t>
  </si>
  <si>
    <t>LUIS HENRIQUE CARVALHO LOPES</t>
  </si>
  <si>
    <t>00171559592</t>
  </si>
  <si>
    <t>COLEGIO ESTADUAL DE TEMPO INTEGRAL PADRE FRANCISCO GONCALVES DE SOUZA</t>
  </si>
  <si>
    <t>4098690000837222</t>
  </si>
  <si>
    <t>LUIS LINDEMBERG SOUZA ABREU</t>
  </si>
  <si>
    <t>01785364588</t>
  </si>
  <si>
    <t>ESCOLA ESTADUAL PROFESSORA ARMANDINA MARQUES</t>
  </si>
  <si>
    <t>4098691106847826</t>
  </si>
  <si>
    <t>LUIS PAULO DE SOUSA PINTO COSTA</t>
  </si>
  <si>
    <t>02410543545</t>
  </si>
  <si>
    <t>IGUAI</t>
  </si>
  <si>
    <t>4098699002266991</t>
  </si>
  <si>
    <t>LUIS RAMON SOUSA DE LIMA</t>
  </si>
  <si>
    <t>COLEGIO ESTADUAL DE TEMPO INTEGRAL MARIA DAGMAR MIRANDA</t>
  </si>
  <si>
    <t>4098695619682935</t>
  </si>
  <si>
    <t>LUIZ ALBERICO RIOS CARNEIRO</t>
  </si>
  <si>
    <t>01707430551</t>
  </si>
  <si>
    <t>COLEGIO DA POLICIA MILITAR - CPM DONA LEONOR CALMON</t>
  </si>
  <si>
    <t>4098690007602967</t>
  </si>
  <si>
    <t>LUIZ CARLOS DO ESPIRITO SANTO GUIMARAES</t>
  </si>
  <si>
    <t>ARATACA</t>
  </si>
  <si>
    <t>CENTRO EST DE EDUC PROF DA FLORESTA DO CACAU E DO CHOCOL MILTON SANTOS</t>
  </si>
  <si>
    <t>4098690008553102</t>
  </si>
  <si>
    <t>LUIZ CARLOS SANTOS</t>
  </si>
  <si>
    <t>CARAVELAS</t>
  </si>
  <si>
    <t>COLEGIO POLIVALENTE DE CARAVELAS</t>
  </si>
  <si>
    <t>4098690008793534</t>
  </si>
  <si>
    <t>LUIZ LEONARDO SOARES FERREIRA</t>
  </si>
  <si>
    <t>LAGOA REAL</t>
  </si>
  <si>
    <t>COLEGIO ESTADUAL LUIS PRISCO VIANA</t>
  </si>
  <si>
    <t>4098690007467999</t>
  </si>
  <si>
    <t>LUIZ PEREIRA DOS SANTOS</t>
  </si>
  <si>
    <t>QUIXABEIRA</t>
  </si>
  <si>
    <t>COLEGIO EST DE TEMPO INTEGRAL PROF TEREZINHA GONCALVES NOVAIS</t>
  </si>
  <si>
    <t>4098691102440584</t>
  </si>
  <si>
    <t>LUIZA EXDRA CARNEIRO</t>
  </si>
  <si>
    <t>LUZIA DE OLIVEIRA SANTOS</t>
  </si>
  <si>
    <t>00405624506</t>
  </si>
  <si>
    <t>COLEGIO ESTADUAL DE NOVA ESPERANCA</t>
  </si>
  <si>
    <t>4098699002635468</t>
  </si>
  <si>
    <t>LUZIA MARIA ANDRADE PEREIRA</t>
  </si>
  <si>
    <t>COLEGIO ESTADUAL MARIA OTILIA LUTZ</t>
  </si>
  <si>
    <t>4098691107639065</t>
  </si>
  <si>
    <t>LUZICLEIA ARAUJO SOUSA</t>
  </si>
  <si>
    <t>00920678599</t>
  </si>
  <si>
    <t>ITAQUARA</t>
  </si>
  <si>
    <t>COLEGIO ESTADUAL JOAO PESSOA</t>
  </si>
  <si>
    <t>4098690004913318</t>
  </si>
  <si>
    <t>MABEL SARABELA NASCIMENTO ALMEIDA</t>
  </si>
  <si>
    <t>02459851588</t>
  </si>
  <si>
    <t>COLEGIO ESTADUAL PEDRO RAYMUNDO MOREIRA REGO</t>
  </si>
  <si>
    <t>4098691108994667</t>
  </si>
  <si>
    <t>MABIO DUTRA</t>
  </si>
  <si>
    <t>COLEGIO ESTADUAL VALDELICE SOARES PINHEIRO</t>
  </si>
  <si>
    <t>4098691102288603</t>
  </si>
  <si>
    <t>MAGALI TEIXEIRA MORAES</t>
  </si>
  <si>
    <t>COLEGIO ESTADUAL DE TEMPO INTEGRAL DUQUE DE CAXIAS</t>
  </si>
  <si>
    <t>4098695359760388</t>
  </si>
  <si>
    <t>MAGDA MARIA DA CONCEICAO LIMA SILVA</t>
  </si>
  <si>
    <t>CENTRO EDUCACIONAL DEOCLECIANO BARBOSA DE CASTRO</t>
  </si>
  <si>
    <t>4098699003549106</t>
  </si>
  <si>
    <t>MAGNA CRISTINA MARIA MAIA</t>
  </si>
  <si>
    <t>SATIRO DIAS</t>
  </si>
  <si>
    <t>COLEGIO DEMOCRATICO ESTADUAL PROFESSOR EDGARD SANTOS</t>
  </si>
  <si>
    <t>4098695617481496</t>
  </si>
  <si>
    <t>MAGNA PIRES SOUZA</t>
  </si>
  <si>
    <t>BUERAREMA</t>
  </si>
  <si>
    <t>COLEGIO ESTADUAL INDIGENA TUPINAMBA SERRA DO PADEIRO</t>
  </si>
  <si>
    <t>4098690007770277</t>
  </si>
  <si>
    <t>MAGNOLIA JESUS DA SILVA</t>
  </si>
  <si>
    <t>COLEGIO ESTADUAL INDIGENA DE CORUMBAUZINHO</t>
  </si>
  <si>
    <t>4098699002243909</t>
  </si>
  <si>
    <t>MAICON RODRIGUES DOS SANTOS</t>
  </si>
  <si>
    <t>03959029594</t>
  </si>
  <si>
    <t>COLEGIO ESTADUAL MARIO COSTA NETO</t>
  </si>
  <si>
    <t>4098699003581000</t>
  </si>
  <si>
    <t>MANOEL BARBOSA DE JESUS</t>
  </si>
  <si>
    <t>COLEGIO ESTADUAL POLIVALENTE DE CANDEIAS</t>
  </si>
  <si>
    <t>4098695486008537</t>
  </si>
  <si>
    <t>MANOEL GONCALVES DA SILVA FILHO</t>
  </si>
  <si>
    <t>COLEGIO ESTADUAL ANA BERNARDES</t>
  </si>
  <si>
    <t>4098690001970428</t>
  </si>
  <si>
    <t>MANOEL MENEZES DA SILVA</t>
  </si>
  <si>
    <t>COLEGIO ESTADUAL SAO VICENTE DE PAULO</t>
  </si>
  <si>
    <t>4098695235873140</t>
  </si>
  <si>
    <t>MANOELA CARDOSO DE MOURA</t>
  </si>
  <si>
    <t>02258083583</t>
  </si>
  <si>
    <t>LAFAIETE COUTINHO</t>
  </si>
  <si>
    <t>COLEGIO ESTADUAL PROFESSOR ERALDO TINOCO</t>
  </si>
  <si>
    <t>4098690009094825</t>
  </si>
  <si>
    <t>MANOELA DE JESUS SANTOS</t>
  </si>
  <si>
    <t>02624505504</t>
  </si>
  <si>
    <t>COLEGIO ESTADUAL DOM CLIMERIO ALMEIDA DE ANDRADE</t>
  </si>
  <si>
    <t>4098699003580994</t>
  </si>
  <si>
    <t>MARCELA GEAN MAIA DA VISITACAO BASTOS</t>
  </si>
  <si>
    <t>COLEGIO ESTADUAL PROFESSOR NOGUEIRA PASSOS</t>
  </si>
  <si>
    <t>4098691105881834</t>
  </si>
  <si>
    <t>MARCELO DA CRUZ NASCIMENTO</t>
  </si>
  <si>
    <t>CENTRO EDUCACIONAL SANTO ANTONIO</t>
  </si>
  <si>
    <t>4098691100272245</t>
  </si>
  <si>
    <t>MARCIA ANTONIA DE BARROS SANTOS</t>
  </si>
  <si>
    <t>COLEGIO ESTADUAL ALIPIO FRANCA</t>
  </si>
  <si>
    <t>4098699003580671</t>
  </si>
  <si>
    <t>MARCIA DA SILVA SOARES</t>
  </si>
  <si>
    <t>CANDIDO SALES</t>
  </si>
  <si>
    <t>COLEGIO ESTADUAL DE TEMPO INTEGRAL DE CANDIDO SALES</t>
  </si>
  <si>
    <t>4098690003231506</t>
  </si>
  <si>
    <t>MARCIA DAIANA SOARES DE OLIVEIRA</t>
  </si>
  <si>
    <t>01907598529</t>
  </si>
  <si>
    <t>COLEGIO ESTADUAL JOSE PALLES SOBRINHO</t>
  </si>
  <si>
    <t>4098691108020232</t>
  </si>
  <si>
    <t>MARCIA FATIMA DE SOUZA BARBOSA</t>
  </si>
  <si>
    <t>JACARACI</t>
  </si>
  <si>
    <t>COLEGIO ESTADUAL ZULEIDE FREIRE DE ABREU</t>
  </si>
  <si>
    <t>4098694126138051</t>
  </si>
  <si>
    <t>MARCIA LEAL SANTANA SILVA</t>
  </si>
  <si>
    <t>00721975526</t>
  </si>
  <si>
    <t>COLEGIO ESTADUAL DALVA MATOS</t>
  </si>
  <si>
    <t>4098691100985705</t>
  </si>
  <si>
    <t>MARCIA MARIA ARAUJO RIBEIRO</t>
  </si>
  <si>
    <t>COLEGIO ESTADUAL ABILIO CESAR BORGES</t>
  </si>
  <si>
    <t>4098691109839861</t>
  </si>
  <si>
    <t>MARCIA MARIA CONCEICAO DUARTE</t>
  </si>
  <si>
    <t>COLEGIO ESTADUAL HILDA CARNEIRO</t>
  </si>
  <si>
    <t>4098690006385465</t>
  </si>
  <si>
    <t>MARCIA MARIA DE OLIVEIRA ALMEIDA</t>
  </si>
  <si>
    <t>4098695480008624</t>
  </si>
  <si>
    <t>MARCIA REGO MENEZES MARQUES</t>
  </si>
  <si>
    <t>COLEGIO ESTADUAL SAO FRANCISCO</t>
  </si>
  <si>
    <t>4098694714682254</t>
  </si>
  <si>
    <t>MARCIA RITA SILVA SOUZA</t>
  </si>
  <si>
    <t>COLEGIO ESTADUAL DE TEMPO INTEGRAL DE MARAGOGIPE</t>
  </si>
  <si>
    <t>4098695619311980</t>
  </si>
  <si>
    <t>MARCIO E SILVA BARBOSA</t>
  </si>
  <si>
    <t>COLEGIO ESTADUAL LUIS ROGERIO DE SOUZA</t>
  </si>
  <si>
    <t>4098691106299275</t>
  </si>
  <si>
    <t>MARCONI EDUARDO SILVA DE JESUS</t>
  </si>
  <si>
    <t>MARCOS ANTONIO QUEIROZ PIRES</t>
  </si>
  <si>
    <t>COLEGIO ESTADUAL CLARICE SANTIAGO DOS SANTOS</t>
  </si>
  <si>
    <t>4098690001848947</t>
  </si>
  <si>
    <t>MARCOS CESAR GUIMARAES DOS SANTOS</t>
  </si>
  <si>
    <t>CENT.REG.DE ENS.MEDIO COM INTERMEDIACAO TEC.-CEMIT DE IRECE</t>
  </si>
  <si>
    <t>4098691553027880</t>
  </si>
  <si>
    <t>MARCOS PAULO DA SILVA ALMEIDA</t>
  </si>
  <si>
    <t>COLEGIO ESTADUAL INTEGRACAO</t>
  </si>
  <si>
    <t>4098691105929187</t>
  </si>
  <si>
    <t>MARCOS SANTOS NOVAIS</t>
  </si>
  <si>
    <t>COLEGIO ESTADUAL INDIGENA TUXA CACIQUE RAUL VALERIO DE OLIVEIRA</t>
  </si>
  <si>
    <t>4098691106342711</t>
  </si>
  <si>
    <t>MARCOS SILVA DOS SANTOS</t>
  </si>
  <si>
    <t>UNA</t>
  </si>
  <si>
    <t>COLEGIO ESTADUAL MENANDRO MINAHIM</t>
  </si>
  <si>
    <t>4098691107822133</t>
  </si>
  <si>
    <t>MARCOS SILVA SANTOS</t>
  </si>
  <si>
    <t>RUY BARBOSA</t>
  </si>
  <si>
    <t>COLEGIO ESTADUAL DE TEMPO INTEGRAL PROFESSOR MAGALHAES NETO</t>
  </si>
  <si>
    <t>4098691104344479</t>
  </si>
  <si>
    <t>MARIA AUXILIADORA MAGALHAES DE ARAUJO</t>
  </si>
  <si>
    <t>CENTRO EST. DE EDUCACAO PROFIS EM GESTAO E NEGOCIOS DO NORTE BAIANO</t>
  </si>
  <si>
    <t>4098694717512466</t>
  </si>
  <si>
    <t>MARIA BORGES DE CARVALHO SANTOS</t>
  </si>
  <si>
    <t>ITUACU</t>
  </si>
  <si>
    <t>COLEGIO ESTADUAL DE TEMPO INTEGRAL ALBERCIO DA COSTA BRITO</t>
  </si>
  <si>
    <t>4098693282881215</t>
  </si>
  <si>
    <t>MARIA CARMEM COSTA BRITO</t>
  </si>
  <si>
    <t>COLEGIO ESTADUAL POLIVALENTE DE AMARALINA</t>
  </si>
  <si>
    <t>4098691109141524</t>
  </si>
  <si>
    <t>MARIA CONCEICAO FERREIRA DOS SANTOS</t>
  </si>
  <si>
    <t>CANDEAL</t>
  </si>
  <si>
    <t>COLEGIO ESTADUAL JOSE RUFINO</t>
  </si>
  <si>
    <t>4098699003337916</t>
  </si>
  <si>
    <t>MARIA DA CONCEICAO PEREIRA DOS SANTOS</t>
  </si>
  <si>
    <t>COLEGIO ESTADUAL ANFRISIA SANTIAGO</t>
  </si>
  <si>
    <t>4098690007091336</t>
  </si>
  <si>
    <t>MARIA DA CONCEICAO SANTANA SOUZA DE CARVALHO</t>
  </si>
  <si>
    <t>CENTRO REG. INT. TECNOLOGICA-CEMIT LITORAL NORTE E AGRESTE BAIANO</t>
  </si>
  <si>
    <t>4098693224578408</t>
  </si>
  <si>
    <t>MARIA DA CONCEICAO SOUSA PEREIRA</t>
  </si>
  <si>
    <t>FEIRA DA MATA</t>
  </si>
  <si>
    <t>COLEGIO ESTADUAL FILOMENA PEREIRA RODRIGUES</t>
  </si>
  <si>
    <t>4098696122080526</t>
  </si>
  <si>
    <t>MARIA DA GLORIA GUEDES SENA</t>
  </si>
  <si>
    <t>00955778581</t>
  </si>
  <si>
    <t>ESCOLA ESTADUAL MARIA ROMANA CALMON</t>
  </si>
  <si>
    <t>4098690003574665</t>
  </si>
  <si>
    <t>MARIA DAS GRACAS DE OLIVEIRA</t>
  </si>
  <si>
    <t>COLEGIO ESTADUAL DO CAMPO PROJETO FORMOSO</t>
  </si>
  <si>
    <t>4098699003488974</t>
  </si>
  <si>
    <t>MARIA DAS GRACAS SANTOS RIBEIRO</t>
  </si>
  <si>
    <t>COLEGIO ESTADUAL DE ARATU</t>
  </si>
  <si>
    <t>4098690005439347</t>
  </si>
  <si>
    <t>MARIA DE FATIMA CARVALHO SANTOS</t>
  </si>
  <si>
    <t>MARIA DE FATIMA COSTA</t>
  </si>
  <si>
    <t>COLEGIO ESTADUAL INDIGENA DOM JACKSON BERENGUER PRADO</t>
  </si>
  <si>
    <t>4098691105355185</t>
  </si>
  <si>
    <t>MARIA DE FATIMA FERREIRA DE CARVALHO</t>
  </si>
  <si>
    <t>COLEGIO ESTADUAL MARQUES DE ABRANTES</t>
  </si>
  <si>
    <t>4098699002269805</t>
  </si>
  <si>
    <t>MARIA DE FATIMA SANTANA DE OLIVEIRA BASTOS</t>
  </si>
  <si>
    <t>01194647561</t>
  </si>
  <si>
    <t>ITANHEM</t>
  </si>
  <si>
    <t>COLEGIO POLIVALENTE DE ITANHEM</t>
  </si>
  <si>
    <t>4098690004151083</t>
  </si>
  <si>
    <t>MARIA DENISE PIRES LISBOA</t>
  </si>
  <si>
    <t>CENTRO REGIONAL DE ENS MEDIO COM INTERM TECNOLOGICA -CEMIT EXTREMO SUL</t>
  </si>
  <si>
    <t>4098693645840635</t>
  </si>
  <si>
    <t>MARIA DIAS ASSUNCAO</t>
  </si>
  <si>
    <t>COLEGIO DA POLICIA MILITAR - UNIDADE I CPM DENDEZEIROS</t>
  </si>
  <si>
    <t>4098691102142503</t>
  </si>
  <si>
    <t>MARIA DO CARMO COSTA DE JESUS SANTOS</t>
  </si>
  <si>
    <t>BAIXA GRANDE</t>
  </si>
  <si>
    <t>COLEGIO ESTADUAL DE TEMPO INTEGRAL JOSE RIBEIRO PAMPONET</t>
  </si>
  <si>
    <t>4098699003709338</t>
  </si>
  <si>
    <t>MARIA DO CARMO PEREIRA BISPO</t>
  </si>
  <si>
    <t>COLEGIO ESTADUAL DE TEMPO INTEGRAL CAMILLO DE JESUS LIMA</t>
  </si>
  <si>
    <t>4098691107208390</t>
  </si>
  <si>
    <t>MARIA DO SOCORRO DA COSTA PASSOS</t>
  </si>
  <si>
    <t>COLEGIO ESTADUAL NOSSA SENHORA AUXILIADORA</t>
  </si>
  <si>
    <t>4098699002597429</t>
  </si>
  <si>
    <t>MARIA DOS ANJOS BARBOZA OLIVEIRA TORRES</t>
  </si>
  <si>
    <t>COLEGIO ESTADUAL PROFESSORA LIA PUBLIO DE CASTRO</t>
  </si>
  <si>
    <t>4098690008308051</t>
  </si>
  <si>
    <t>MARIA ELIENE SILVA CORREIA</t>
  </si>
  <si>
    <t>CENTRO DE APOIO PEDAGOGICO ESPECIALIZADO PESTALOZZI</t>
  </si>
  <si>
    <t>4098691101355874</t>
  </si>
  <si>
    <t>MARIA EUGENIA SEIXAS RIBEIRO</t>
  </si>
  <si>
    <t>CENTRO EST DE EDUCACAO PROFI EM RECURSOS NATURAIS DO CENTRO BAIANO</t>
  </si>
  <si>
    <t>4098693220006057</t>
  </si>
  <si>
    <t>MARIA GORETE DE MIRANDA ALVES</t>
  </si>
  <si>
    <t>COLEGIO ESTADUAL DO CAMPO PROFESSOR JOSE WALDOMIRO SANTOS DA CONCEICAO</t>
  </si>
  <si>
    <t>4098691109623992</t>
  </si>
  <si>
    <t>MARIA GORETTI DE JESUS BORGES</t>
  </si>
  <si>
    <t>08633061520</t>
  </si>
  <si>
    <t>COLEGIO ESTADUAL DE TEMPO INTEGRAL CLEONICE OLEGARIO DOS SANTOS</t>
  </si>
  <si>
    <t>4098693601403758</t>
  </si>
  <si>
    <t>MARIA HELENA DE ASSIS LARANJEIRA GOMES</t>
  </si>
  <si>
    <t>CACHOEIRA</t>
  </si>
  <si>
    <t>COLEGIO ESTADUAL DE CACHOEIRA</t>
  </si>
  <si>
    <t>4098691105678982</t>
  </si>
  <si>
    <t>MARIA HELENA DOS SANTOS ARAUJO</t>
  </si>
  <si>
    <t>CORONEL JOAO SA</t>
  </si>
  <si>
    <t>COLEGIO ESTADUAL DE TEMPO INTEGRAL SANTO ANTONIO</t>
  </si>
  <si>
    <t>4098699003580788</t>
  </si>
  <si>
    <t>MARIA HILDA CARVALHO ANDRADE</t>
  </si>
  <si>
    <t>COLEGIO ESTADUAL LEDA JESUINO DOS SANTOS</t>
  </si>
  <si>
    <t>4098691106356992</t>
  </si>
  <si>
    <t>MARIA INES SILVA VASCONCELOS</t>
  </si>
  <si>
    <t>08646376591</t>
  </si>
  <si>
    <t>COLEGIO ESTADUAL DE TEMPO INTEGRAL GONCALO MUNIZ</t>
  </si>
  <si>
    <t>4098699002646747</t>
  </si>
  <si>
    <t>MARIA JOSE DOS SANTOS</t>
  </si>
  <si>
    <t>COLEGIO ESTADUAL DO CAMPO PROFESSOR DIDIMO MASCARENHAS RIOS</t>
  </si>
  <si>
    <t>4098699003579442</t>
  </si>
  <si>
    <t>MARIA LUIZA SILVA LIMA</t>
  </si>
  <si>
    <t>COLEGIO ESTADUAL CLERISTON ANDRADE</t>
  </si>
  <si>
    <t>4098691102143394</t>
  </si>
  <si>
    <t>MARIA MADALENA LIMA SILVA</t>
  </si>
  <si>
    <t>COLEGIO ESTADUAL DO CAMPO MIGUEL MOREIRA DE CARVALHO</t>
  </si>
  <si>
    <t>4098695638866089</t>
  </si>
  <si>
    <t>MARIA MUNIZ DA ROCHA</t>
  </si>
  <si>
    <t>01836207557</t>
  </si>
  <si>
    <t>PINTADAS</t>
  </si>
  <si>
    <t>COLEGIO ESTADUAL DE TEMPO INTEGRAL EUFRASIO GONÇALVES DE ALMEIDA</t>
  </si>
  <si>
    <t>4098690007747952</t>
  </si>
  <si>
    <t>MARIA NILZA NUNES DE ALMEIDA</t>
  </si>
  <si>
    <t>COLEGIO ESTADUAL ROTARY CLUBE</t>
  </si>
  <si>
    <t>4098699050091556</t>
  </si>
  <si>
    <t>MARIA PERPETUA DA SILVA SANTOS</t>
  </si>
  <si>
    <t>TANQUINHO</t>
  </si>
  <si>
    <t>COLEGIO ESTADUAL DE TEMPO INTEGRAL NOVIS FILHO</t>
  </si>
  <si>
    <t>4098699002804254</t>
  </si>
  <si>
    <t>MARIA REGIVALDA SOUZA DOS SANTOS</t>
  </si>
  <si>
    <t>CICERO DANTAS</t>
  </si>
  <si>
    <t>COLEGIO ESTADUAL PROFESSOR LUIZ NAVARRO DE BRITO</t>
  </si>
  <si>
    <t>4098691109556051</t>
  </si>
  <si>
    <t>MARIA SALETE DA SILVA</t>
  </si>
  <si>
    <t>COLEGIO DEMOCRATICO ESTADUAL MARCOS FREIRE</t>
  </si>
  <si>
    <t>4098691108250250</t>
  </si>
  <si>
    <t>MARIA ZILDA DE CARVALHO DA SILVA</t>
  </si>
  <si>
    <t>COMPLEXO INTEGRADO DE EDUC BASICA PROFIS E TECNOLOGICA DE ITAMARAJU</t>
  </si>
  <si>
    <t>4098690008486022</t>
  </si>
  <si>
    <t>MARIALDA DIAS ASSUNCAO</t>
  </si>
  <si>
    <t>NOVA FATIMA</t>
  </si>
  <si>
    <t>COLEGIO ESTADUAL DE TEMPO INTEGRAL VIRGILIO FRANCISCO PEREIRA</t>
  </si>
  <si>
    <t>4098697286118326</t>
  </si>
  <si>
    <t>MARIANA CARNEIRO SANTANA</t>
  </si>
  <si>
    <t>06517745513</t>
  </si>
  <si>
    <t>CENTRO EST. DE EDUCACAO PROFISSIONAL FORMACAO E EVENTOS ISAIAS ALVES</t>
  </si>
  <si>
    <t>4098699002635278</t>
  </si>
  <si>
    <t>MARIBEL COSTA SILVA</t>
  </si>
  <si>
    <t>COLEGIO ESTADUAL DE TEMPO INTEGRAL PROF CARLOS ROBERTO ARLEO BARBOSA</t>
  </si>
  <si>
    <t>4098691386664453</t>
  </si>
  <si>
    <t>MARICELIA CARDOSO MATOS</t>
  </si>
  <si>
    <t>4098699003567553</t>
  </si>
  <si>
    <t>MARILENE SACRAMENTO MIRANDA</t>
  </si>
  <si>
    <t>TEOLANDIA</t>
  </si>
  <si>
    <t>COLEGIO ESTADUAL DEMOCRATICO LIBIA TINOCO MELO</t>
  </si>
  <si>
    <t>4098690006252046</t>
  </si>
  <si>
    <t>MARILENE SOUZA BARRETO LIMA</t>
  </si>
  <si>
    <t>COLEGIO ESTADUAL DO CAMPO JOAO CARLOS MEIRELES PAULILO</t>
  </si>
  <si>
    <t>4098699098900198</t>
  </si>
  <si>
    <t>MARILIA DE BRITO IMPROTA</t>
  </si>
  <si>
    <t>01271293595</t>
  </si>
  <si>
    <t>COLEGIO ESTADUAL DAVID MENDES PEREIRA</t>
  </si>
  <si>
    <t>4098690004007137</t>
  </si>
  <si>
    <t>MARILIA MALHADO DE ARAUJO SANTOS</t>
  </si>
  <si>
    <t>CONCEICAO DO ALMEIDA</t>
  </si>
  <si>
    <t>COLEGIO ESTADUAL MANDINHO DE SOUZA ALMEIDA</t>
  </si>
  <si>
    <t>4098692285631627</t>
  </si>
  <si>
    <t>MARILSON CARVALHO SANTOS</t>
  </si>
  <si>
    <t>CENTRO TERRIT EDUC PROF DO SERTAO SAO FRANCISCO II ANTONIO CONSELHEIRO</t>
  </si>
  <si>
    <t>4098691100749457</t>
  </si>
  <si>
    <t>MARILUCE CARDOSO DOS SANTOS</t>
  </si>
  <si>
    <t>COLEGIO CENTRAL DE RIBEIRA DO POMBAL</t>
  </si>
  <si>
    <t>4098699002688640</t>
  </si>
  <si>
    <t>MARINEIDE DAMACENA CRISTO</t>
  </si>
  <si>
    <t>COLEGIO ESTADUAL JUTAHY MAGALHAES</t>
  </si>
  <si>
    <t>4098691108475543</t>
  </si>
  <si>
    <t>MARINEZ SILVA MENEZES SANTOS</t>
  </si>
  <si>
    <t>RAFAEL JAMBEIRO</t>
  </si>
  <si>
    <t>COLEGIO ESTADUAL ANA LUCIA MAGALHAES</t>
  </si>
  <si>
    <t>4098699002804239</t>
  </si>
  <si>
    <t>MARIO SERGIO DE JESUS ARAUJO</t>
  </si>
  <si>
    <t>BIRITINGA</t>
  </si>
  <si>
    <t>COLEGIO ESTADUAL DE BIRITINGA</t>
  </si>
  <si>
    <t>4098691102826139</t>
  </si>
  <si>
    <t>MARIO TIERRES DE ARAUJO JUNIOR</t>
  </si>
  <si>
    <t>05781676546</t>
  </si>
  <si>
    <t>COLEGIO ESTADUAL JOAO DAS BOTAS</t>
  </si>
  <si>
    <t>4098699003701459</t>
  </si>
  <si>
    <t>MARISE ARAUJO SANTOS</t>
  </si>
  <si>
    <t>09239707549</t>
  </si>
  <si>
    <t>4098692237260558</t>
  </si>
  <si>
    <t>MARISTELA NEVES MACHADO</t>
  </si>
  <si>
    <t>4098691107713092</t>
  </si>
  <si>
    <t>MARISTELA PORTELA PEREIRA</t>
  </si>
  <si>
    <t>PINDAI</t>
  </si>
  <si>
    <t>COLEGIO EST DE TEMPO INTEGRAL PETRONILIO DA SILVA PRADO</t>
  </si>
  <si>
    <t>4098699003642356</t>
  </si>
  <si>
    <t>MARIVONE MARTINHO DA SILVA</t>
  </si>
  <si>
    <t>ABAIRA</t>
  </si>
  <si>
    <t>COLEGIO ESTADUAL DOUTOR FRANCISCO ROCHA FILHO</t>
  </si>
  <si>
    <t>4098699002268088</t>
  </si>
  <si>
    <t>MARK SLAD NOVAIS AZEVEDO</t>
  </si>
  <si>
    <t>COLEGIO ESTADUAL POLIVALENTE SAN DIEGO</t>
  </si>
  <si>
    <t>4098691103480514</t>
  </si>
  <si>
    <t>MARLENE BISPO DOS SANTOS</t>
  </si>
  <si>
    <t>MARLENE VIRGENS PIMENTEL AZEVEDO</t>
  </si>
  <si>
    <t>4098692475631163</t>
  </si>
  <si>
    <t>MARLY ANDRADE REIS</t>
  </si>
  <si>
    <t>COLEGIO ESTADUAL DO CAMPO CASTELO BRANCO</t>
  </si>
  <si>
    <t>4098699003465097</t>
  </si>
  <si>
    <t>MARTINA EMILLE RIBEIRO CERQUEIRA</t>
  </si>
  <si>
    <t>02497081590</t>
  </si>
  <si>
    <t>COLEGIO ESTADUAL ERNESTO CARNEIRO RIBEIRO</t>
  </si>
  <si>
    <t>4098699003326711</t>
  </si>
  <si>
    <t>MARYANGELA PINHEIRO DE ALMEIDA FRANCA</t>
  </si>
  <si>
    <t>CARDEAL DA SILVA</t>
  </si>
  <si>
    <t>COLEGIO ESTADUAL DOUTOR JOSE ANTONIO DE ARAUJO PIMENTA</t>
  </si>
  <si>
    <t>4098690007600631</t>
  </si>
  <si>
    <t>MATHEUS GOMES DA SILVA</t>
  </si>
  <si>
    <t>05107518575</t>
  </si>
  <si>
    <t>MORPARA</t>
  </si>
  <si>
    <t>COLEGIO ESTADUAL DE TEMPO INTEGRAL NEMISIA RIBEIRO DOS SANTOS</t>
  </si>
  <si>
    <t>4098699002635476</t>
  </si>
  <si>
    <t>MATIAS SOUZA SODRE</t>
  </si>
  <si>
    <t>LENCOIS</t>
  </si>
  <si>
    <t>CENTRO EDUCACIONAL RENATO PEREIRA VIANA</t>
  </si>
  <si>
    <t>4098698259043228</t>
  </si>
  <si>
    <t>MAURICIO DA SILVA ALVES</t>
  </si>
  <si>
    <t>COLEGIO ESTADUAL DOUTOR MILTON SANTOS</t>
  </si>
  <si>
    <t>4098695480146192</t>
  </si>
  <si>
    <t>MAVIEL DOS SANTOS ARRUDA</t>
  </si>
  <si>
    <t>03376698562</t>
  </si>
  <si>
    <t>JEREMOABO</t>
  </si>
  <si>
    <t>CENTRO TERRITORIAL DE EDUCACAO PROFISSIONAL RASO DA CATARINA</t>
  </si>
  <si>
    <t>4098695352077970</t>
  </si>
  <si>
    <t>MAXIMILIANO JOSE CARVALHO VARJAO</t>
  </si>
  <si>
    <t>4098691387026728</t>
  </si>
  <si>
    <t>MAYARA CARVALHO DE ANDRADE</t>
  </si>
  <si>
    <t>04109524512</t>
  </si>
  <si>
    <t>ANDORINHA</t>
  </si>
  <si>
    <t>COLEGIO ESTADUAL DO CAMPO DE TEMPO INTEGRAL DE ANDORINHA</t>
  </si>
  <si>
    <t>4098693288073080</t>
  </si>
  <si>
    <t>MEIDIMERE COUTINHO DA SILVA NASCIMENTO</t>
  </si>
  <si>
    <t>02183416521</t>
  </si>
  <si>
    <t>MUCUGE</t>
  </si>
  <si>
    <t>COLEGIO ESTADUAL HORACIO DE MATOS</t>
  </si>
  <si>
    <t>4098691106547335</t>
  </si>
  <si>
    <t>MEL REIS LOUREIRO</t>
  </si>
  <si>
    <t>COLEGIO ESTADUAL PINTO DE AGUIAR</t>
  </si>
  <si>
    <t>4098690009785992</t>
  </si>
  <si>
    <t>MELISSA SOUZA MELLO</t>
  </si>
  <si>
    <t>COLEGIO ESTADUAL ANTONIO DOS SANTOS PAIM</t>
  </si>
  <si>
    <t>4098690001023442</t>
  </si>
  <si>
    <t>MERCIA MARGARETE OLIVEIRA</t>
  </si>
  <si>
    <t>COLEGIO ESTADUAL HENRIQUETA MARTINS CATHARINO</t>
  </si>
  <si>
    <t>4098690004887835</t>
  </si>
  <si>
    <t>MERCIA MARIA DE SOUZA SANTOS</t>
  </si>
  <si>
    <t>PE DE SERRA</t>
  </si>
  <si>
    <t>COLEGIO ESTADUAL DE TEMPO INTEGRAL PEDRO FALCONERI RIOS</t>
  </si>
  <si>
    <t>4098699003656182</t>
  </si>
  <si>
    <t>MIGUEL ANGELO DA SILVA OLIVEIRA</t>
  </si>
  <si>
    <t>CAATIBA</t>
  </si>
  <si>
    <t>COLEGIO ESTADUAL GELASIO ALVES DOS SANTOS</t>
  </si>
  <si>
    <t>4098690005608966</t>
  </si>
  <si>
    <t>MIKELAL ROST ARAUJO</t>
  </si>
  <si>
    <t>04996524529</t>
  </si>
  <si>
    <t>COLEGIO DA POLICIA MILITAR - CPM ERALDO TINOCO</t>
  </si>
  <si>
    <t>4098691102500247</t>
  </si>
  <si>
    <t>MILANA RIBEIRO GONCALVES DOS SANTOS</t>
  </si>
  <si>
    <t>00001915584</t>
  </si>
  <si>
    <t>COLEGIO ESTADUAL DE SEABRA</t>
  </si>
  <si>
    <t>4098699295501625</t>
  </si>
  <si>
    <t>MILENA LIVIA PEREIRA MARQUES</t>
  </si>
  <si>
    <t>00088224503</t>
  </si>
  <si>
    <t>COLEGIO ESTADUAL DE TEMPO INTEGRAL JORGE AMADO</t>
  </si>
  <si>
    <t>4098691101727213</t>
  </si>
  <si>
    <t>MILENA SANTOS DE JESUS</t>
  </si>
  <si>
    <t>02420634543</t>
  </si>
  <si>
    <t>BOM JESUS DA SERRA</t>
  </si>
  <si>
    <t>COLEGIO ESTADUAL DE TEMPO INTEGRAL DE BOM JESUS DA SERRA</t>
  </si>
  <si>
    <t>4098691104969218</t>
  </si>
  <si>
    <t>MIRAMAR BASTOS SILVA VILASBOAS ALVES</t>
  </si>
  <si>
    <t>MUNIZ FERREIRA</t>
  </si>
  <si>
    <t>COLEGIO ESTADUAL DE TEMPO INTEGRAL EVANCLEIDE ALMEIDA SANTOS BARRETO</t>
  </si>
  <si>
    <t>4098699002635625</t>
  </si>
  <si>
    <t>MIRIAN FERREIRA BRITO DE ALMEIDA</t>
  </si>
  <si>
    <t>LAJEDO DO TABOCAL</t>
  </si>
  <si>
    <t>COLEGIO ESTADUAL FERNANDO PRESIDIO</t>
  </si>
  <si>
    <t>4098690009677165</t>
  </si>
  <si>
    <t>MIRIAN FERREIRA MOREIRA</t>
  </si>
  <si>
    <t>COLEGIO ESTADUAL SANTA RITA DE CASSIA</t>
  </si>
  <si>
    <t>4098691108259855</t>
  </si>
  <si>
    <t>MIRIAN OLIVEIRA MACHADO</t>
  </si>
  <si>
    <t>MIRANTE</t>
  </si>
  <si>
    <t>COLEGIO ESTADUAL PROFESSOR DIOMAR SILVA BRITO</t>
  </si>
  <si>
    <t>4098691107954860</t>
  </si>
  <si>
    <t>MISAEL VIEIRA CASCAES</t>
  </si>
  <si>
    <t>01628812583</t>
  </si>
  <si>
    <t>SAUDE</t>
  </si>
  <si>
    <t>4098690008623764</t>
  </si>
  <si>
    <t>MOEMA FREITAS DE ALENCAR WANDERLEY</t>
  </si>
  <si>
    <t>COLEGIO ESTADUAL DE TEMPO INTEGRAL SAO DANIEL COMBONI</t>
  </si>
  <si>
    <t>4098694710560298</t>
  </si>
  <si>
    <t>MONICA BONFIM DE SANTANA</t>
  </si>
  <si>
    <t>MONICA DA SILVA CARMO</t>
  </si>
  <si>
    <t>03869622512</t>
  </si>
  <si>
    <t>COLEGIO DA POLICIA MILITAR - CPM ANISIO TEIXEIRA</t>
  </si>
  <si>
    <t>4098691102979359</t>
  </si>
  <si>
    <t>MONICA DA SILVA SANTOS</t>
  </si>
  <si>
    <t>COLEGIO ESTADUAL PROFESSORA JANE ASSIS PEIXOTO</t>
  </si>
  <si>
    <t>4098691107036882</t>
  </si>
  <si>
    <t>MONICA ILEDE REY ALVES</t>
  </si>
  <si>
    <t>CENTRO TERRITORIAL DE EDUCACAO PROFISSIONAL DA REGIAO METROPOLITANA</t>
  </si>
  <si>
    <t>4098690004081462</t>
  </si>
  <si>
    <t>MONICA MARIA ARAUJO DOS SANTOS</t>
  </si>
  <si>
    <t>CENT.REG.DE ENS.MEDIO COM INTERMEDIACAO TEC.-CEMIT DE VIT.DA CONQUISTA</t>
  </si>
  <si>
    <t>4098691553895203</t>
  </si>
  <si>
    <t>MONIQUE ALVES BRITO</t>
  </si>
  <si>
    <t>02396886517</t>
  </si>
  <si>
    <t>CENTRO REGIONAL DE ENS M COM INTE TECNOLOGICA-CEMIT BACIA DO PARAMIRIM</t>
  </si>
  <si>
    <t>4098691104160958</t>
  </si>
  <si>
    <t>MOYSES ANTONIO LIMA SANTOS</t>
  </si>
  <si>
    <t>01711940550</t>
  </si>
  <si>
    <t>COLEGIO ESTADUAL DE TEMPO INTEGRAL DE PORTAO</t>
  </si>
  <si>
    <t>4098699388364584</t>
  </si>
  <si>
    <t>MURILO JOSE RIBEIRO CERQUEIRA</t>
  </si>
  <si>
    <t>00040786595</t>
  </si>
  <si>
    <t>MORTUGABA</t>
  </si>
  <si>
    <t>COLEGIO ESTADUAL LEONIDIA SILVA MOREIRA PARDINHO</t>
  </si>
  <si>
    <t>4098699003317041</t>
  </si>
  <si>
    <t>MURILO SOUSA ALVES</t>
  </si>
  <si>
    <t>00810624516</t>
  </si>
  <si>
    <t>COLEGIO ESTADUAL LUIZ JOSE DE OLIVEIRA</t>
  </si>
  <si>
    <t>4098690009921712</t>
  </si>
  <si>
    <t>NADILSON JOSE ANDRADE SILVA</t>
  </si>
  <si>
    <t>COLEGIO ESTADUAL ODILIO ALVES NETO</t>
  </si>
  <si>
    <t>4098691100251256</t>
  </si>
  <si>
    <t>NAIR JULIA DA SILVA CORDEIRO</t>
  </si>
  <si>
    <t>SANTA CRUZ CABRALIA</t>
  </si>
  <si>
    <t>COLEGIO ESTADUAL PROFESSORA TEREZINHA SCARAMUSSA</t>
  </si>
  <si>
    <t>4098690001458069</t>
  </si>
  <si>
    <t>NAISANGELA CARRILHO DE OLIVEIRA</t>
  </si>
  <si>
    <t>COLEGIO ESTADUAL PROFESSOR EDILSON SOUTO FREIRE</t>
  </si>
  <si>
    <t>4098690005148252</t>
  </si>
  <si>
    <t>NANCY ARAUJO DE JESUS</t>
  </si>
  <si>
    <t>SANTANA</t>
  </si>
  <si>
    <t>COLEGIO ESTADUAL EDVALDO FLORES</t>
  </si>
  <si>
    <t>4098693282800363</t>
  </si>
  <si>
    <t>NANCY ROSA PEREIRA NEVES</t>
  </si>
  <si>
    <t>03342354569</t>
  </si>
  <si>
    <t>UIBAI</t>
  </si>
  <si>
    <t>COLEGIO ESTADUAL MANOEL LEVI</t>
  </si>
  <si>
    <t>4098690009198576</t>
  </si>
  <si>
    <t>NATERCIA SILVA MATOS</t>
  </si>
  <si>
    <t>CAPIM GROSSO</t>
  </si>
  <si>
    <t>CENTRO TERRITORIAL DE EDUC PROFI DA BACIA DO JACUIPE III-EDNA DALTRO</t>
  </si>
  <si>
    <t>4098691107692734</t>
  </si>
  <si>
    <t>NAYARA CESAR ALMEIDA SILVA</t>
  </si>
  <si>
    <t>01144878551</t>
  </si>
  <si>
    <t>COMPLEXO INTEGRADO DE EDUC BASICA PROFIS E TEC DE VITORIA DA CONQUISTA</t>
  </si>
  <si>
    <t>4098690005303154</t>
  </si>
  <si>
    <t>NAYARA OLIVEIRA VASCONCELOS</t>
  </si>
  <si>
    <t>NAZARE DOS SANTOS COSTA ALVES</t>
  </si>
  <si>
    <t>CANAPOLIS</t>
  </si>
  <si>
    <t>COLEGIO ESTADUAL DE TEMPO INTEGRAL RUY BARBOSA</t>
  </si>
  <si>
    <t>4098696629533423</t>
  </si>
  <si>
    <t>NEIDE DA SILVA CARACIOLA</t>
  </si>
  <si>
    <t>COLEGIO ESTADUAL BRIGADEIRO EDUARDO GOMES</t>
  </si>
  <si>
    <t>4098691101690957</t>
  </si>
  <si>
    <t>NEIDE MARIA OLIVEIRA AZEVEDO DE ALMEIDA</t>
  </si>
  <si>
    <t>CENT REG DE ENS MEDIO COM INTERMEDIACAO TEC-CEMIT VELHO CHICO-BARRA</t>
  </si>
  <si>
    <t>4098699003696741</t>
  </si>
  <si>
    <t>NEIDE RAFAEL DE SOUZA ROCHA</t>
  </si>
  <si>
    <t>COLEGIO ESTADUAL PAPA JOAO PAULO I</t>
  </si>
  <si>
    <t>4098699002269136</t>
  </si>
  <si>
    <t>NEIDILSON RODRIGUES DOS SANTOS</t>
  </si>
  <si>
    <t>GUARATINGA</t>
  </si>
  <si>
    <t>COLEGIO ESTADUAL JESUS MOURA</t>
  </si>
  <si>
    <t>4098699720552714</t>
  </si>
  <si>
    <t>NEILSON CASTRO SOARES</t>
  </si>
  <si>
    <t>06390624581</t>
  </si>
  <si>
    <t>SAO FELIPE</t>
  </si>
  <si>
    <t>COLEGIO ESTADUAL SAO FELIPE</t>
  </si>
  <si>
    <t>4098691106699813</t>
  </si>
  <si>
    <t>NEILSON GUEDES FERREIRA</t>
  </si>
  <si>
    <t>COLEGIO ESTADUAL LAZARO DOS SANTOS FERREIRA</t>
  </si>
  <si>
    <t>4098691109582172</t>
  </si>
  <si>
    <t>NEUMA CRISTINA PEREIRA PORTUGAL</t>
  </si>
  <si>
    <t>COLEGIO ESTADUAL OSMILTON BATISTA SOUZA</t>
  </si>
  <si>
    <t>4098691109829037</t>
  </si>
  <si>
    <t>NEUSA ALCANTARA DA SILVA SOUZA</t>
  </si>
  <si>
    <t>4098690007018123</t>
  </si>
  <si>
    <t>NEUSA MARIA LIMA SANTOS CARVALHO</t>
  </si>
  <si>
    <t>01063186595</t>
  </si>
  <si>
    <t>IRARA</t>
  </si>
  <si>
    <t>COLEGIO ESTADUAL DE TEMPO INTEGRAL PROFESSORA MARLENE ALVES DOS SANTOS</t>
  </si>
  <si>
    <t>4098691106282446</t>
  </si>
  <si>
    <t>NEUZA ALVES DOS SANTOS</t>
  </si>
  <si>
    <t>CENTRO EDUCACIONAL CARNEIRO RIBEIRO - CLASSE II</t>
  </si>
  <si>
    <t>4098694498809768</t>
  </si>
  <si>
    <t>NEUZA RIBEIRO DOS SANTOS</t>
  </si>
  <si>
    <t>COLEGIO ESTADUAL DO CAMPO PROFESSORA HILDA MONTEIRO MENEZES</t>
  </si>
  <si>
    <t>4098694663296627</t>
  </si>
  <si>
    <t>NIERIVANIA CUNHA DE OLIVEIRA SENA</t>
  </si>
  <si>
    <t>00603250548</t>
  </si>
  <si>
    <t>CENT.REG.DE ENS.MEDIO COM INTERMEDIACAO TEC.-CEMIT DO BAIXO SUL</t>
  </si>
  <si>
    <t>4098695611817257</t>
  </si>
  <si>
    <t>NILCEANNE NOGUEIRA LIMA</t>
  </si>
  <si>
    <t>02908855585</t>
  </si>
  <si>
    <t>VARZEA NOVA</t>
  </si>
  <si>
    <t>COLEGIO ESTADUAL PROFESSORA ADJACI MARTINS DURANS</t>
  </si>
  <si>
    <t>4098699002804296</t>
  </si>
  <si>
    <t>NILMA CARNEIRO DE SOUZA</t>
  </si>
  <si>
    <t>TEODORO SAMPAIO</t>
  </si>
  <si>
    <t>COLEGIO ESTADUAL ASSIS VALENTE</t>
  </si>
  <si>
    <t>4098699003114380</t>
  </si>
  <si>
    <t>NILTON CESAR COUTINHO</t>
  </si>
  <si>
    <t>ARACAS</t>
  </si>
  <si>
    <t>COLEGIO ESTADUAL DE TEMPO INTEGRAL JOSE VICENTE LEAL</t>
  </si>
  <si>
    <t>4098691106864334</t>
  </si>
  <si>
    <t>NIVEA BISPO DE SANTANA</t>
  </si>
  <si>
    <t>NIVEA MARIA GOMES ARAUJO</t>
  </si>
  <si>
    <t>COLEGIO ESTADUAL ASSIS CHATEAUBRIAND</t>
  </si>
  <si>
    <t>4098691105406327</t>
  </si>
  <si>
    <t>NOEMI DA SILVA CALMON SANTANA</t>
  </si>
  <si>
    <t>MACURURE</t>
  </si>
  <si>
    <t>COLEGIO ESTADUAL DE TEMPO INTEGRAL IRMA OLIVEIRA</t>
  </si>
  <si>
    <t>4098699002635542</t>
  </si>
  <si>
    <t>NOEMI RAQUEL GOMES DE BRITO</t>
  </si>
  <si>
    <t>03199802516</t>
  </si>
  <si>
    <t>COLEGIO ESTADUAL DE TEMPO INTEGRAL BERILO VILAS BOAS</t>
  </si>
  <si>
    <t>4098695488585706</t>
  </si>
  <si>
    <t>NUBIA OLIVEIRA DA SILVA</t>
  </si>
  <si>
    <t>00933539525</t>
  </si>
  <si>
    <t>COLEGIO ESTADUAL DO CAMPO ANDERSON FRANCA</t>
  </si>
  <si>
    <t>4098691103594801</t>
  </si>
  <si>
    <t>NURIA SILVA LYRA</t>
  </si>
  <si>
    <t>COLEGIO ESTADUAL PAULO FREIRE</t>
  </si>
  <si>
    <t>4098699003581026</t>
  </si>
  <si>
    <t>ODINAELTON CARVALHO DE MORAIS</t>
  </si>
  <si>
    <t>COLEGIO ESTADUAL NELSON MANDELA</t>
  </si>
  <si>
    <t>4098699003675992</t>
  </si>
  <si>
    <t>OLIVIA VIRGINIA VIEIRA COSTA</t>
  </si>
  <si>
    <t>EDUCANDARIO OLIVEIRA BRITO</t>
  </si>
  <si>
    <t>4098699003702960</t>
  </si>
  <si>
    <t>ONIRAM SOARES DO NASCIMENTO</t>
  </si>
  <si>
    <t>COLEGIO ESTADUAL JOSE RIBEIRO DE ARAUJO</t>
  </si>
  <si>
    <t>4098691107303225</t>
  </si>
  <si>
    <t>OSIAS CARDOSO PIMENTA</t>
  </si>
  <si>
    <t>ESCOLA ESTADUAL DEPUTADO NAOMAR ALCANTARA</t>
  </si>
  <si>
    <t>4098691105850805</t>
  </si>
  <si>
    <t>PALOMA VANDERLEI DA SILVA</t>
  </si>
  <si>
    <t>CENTRO EST PROF EM SAUDE E TECN DA INF CARLOS CORR DE MENEZES SANTANNA</t>
  </si>
  <si>
    <t>4098694285062977</t>
  </si>
  <si>
    <t>PATRICIA ANDRADE DO CARMO</t>
  </si>
  <si>
    <t>COLEGIO ESTADUAL DONA MORA GUIMARAES</t>
  </si>
  <si>
    <t>4098691554071598</t>
  </si>
  <si>
    <t>PATRICIA BONFIM POCEIRO</t>
  </si>
  <si>
    <t>COLEGIO ESTADUAL DO CAMPO DE JAGUARA</t>
  </si>
  <si>
    <t>4098695238941332</t>
  </si>
  <si>
    <t>PATRICIA FARIAS DOS SANTOS</t>
  </si>
  <si>
    <t>CENTRO DE APOIO PEDAGOGICO ESPEC. PARA PESSOAS COM SURDEZ WILSON LINS</t>
  </si>
  <si>
    <t>4098695482325083</t>
  </si>
  <si>
    <t>PATRICIA PEREIRA DA SILVA MACHADO</t>
  </si>
  <si>
    <t>COLEGIO ESTADUAL DE TEMPO INTEGRAL PROFª ODONTINA LARANJEIRA DE SOUZA</t>
  </si>
  <si>
    <t>4098692475799887</t>
  </si>
  <si>
    <t>PATRICIA REJANE AMARAL SAMPAIO</t>
  </si>
  <si>
    <t>SAO MIGUEL DAS MATAS</t>
  </si>
  <si>
    <t>COLEGIO ESTADUAL ALDEMIRO VILAS BOAS</t>
  </si>
  <si>
    <t>4098690008101951</t>
  </si>
  <si>
    <t>PATRICIA SOUZA ANDRADE</t>
  </si>
  <si>
    <t>COLEGIO ESTADUAL SISINIO RIBEIRO SILVA</t>
  </si>
  <si>
    <t>PATRICK GOMES PEIXOTO</t>
  </si>
  <si>
    <t>05651058508</t>
  </si>
  <si>
    <t>COLEGIO ESTADUAL DO CAMPO GEOVANE FERREIRA DE QUEIROZ</t>
  </si>
  <si>
    <t>4098699003584665</t>
  </si>
  <si>
    <t>PAULA APARECIDA DOS SANTOS AVELAR</t>
  </si>
  <si>
    <t>ITAGIBA</t>
  </si>
  <si>
    <t>COLEGIO ESTADUAL DULCE ALMEIDA</t>
  </si>
  <si>
    <t>4098691105124177</t>
  </si>
  <si>
    <t>PAULA LEONOR MARCELO MIRANDA SAMPAIO</t>
  </si>
  <si>
    <t>01289266514</t>
  </si>
  <si>
    <t>IBIPEBA</t>
  </si>
  <si>
    <t>COLEGIO EST DE TEMPO INTEGRAL PROFESSORA CELIA OLIVEIRA LEITE</t>
  </si>
  <si>
    <t>4098690007633954</t>
  </si>
  <si>
    <t>PAULINY GABRIELA BARRETO</t>
  </si>
  <si>
    <t>ITAPICURU</t>
  </si>
  <si>
    <t>COLEGIO ESTADUAL DO CAMPO PROFESSORA MARIA FREIRE ANUNCIACAO SILVA</t>
  </si>
  <si>
    <t>4098699003438748</t>
  </si>
  <si>
    <t>PAULO ANDRE DAS NEVES MATOS NASCIMENTO</t>
  </si>
  <si>
    <t>01873176589</t>
  </si>
  <si>
    <t>PAULO CESAR PINHEIRO PATROCINIO DOS SANTOS</t>
  </si>
  <si>
    <t>COLEGIO ESTADUAL SUZANA DE ARAUJO BOMFIM</t>
  </si>
  <si>
    <t>4098694128250839</t>
  </si>
  <si>
    <t>PAULO SERGIO PEREIRA PAMPLONA</t>
  </si>
  <si>
    <t>05079085541</t>
  </si>
  <si>
    <t>CORIBE</t>
  </si>
  <si>
    <t>COLEGIO ESTADUAL SAO JOAO DOS GERAIS</t>
  </si>
  <si>
    <t>4098697279997959</t>
  </si>
  <si>
    <t>PEDRO MOREIRA DE SOUZA SOBRINHO</t>
  </si>
  <si>
    <t>06627029561</t>
  </si>
  <si>
    <t>ARACATU</t>
  </si>
  <si>
    <t>COLEGIO ESTADUAL DE TEMPO INTEGRAL DE ARACATU</t>
  </si>
  <si>
    <t>4098699606276073</t>
  </si>
  <si>
    <t>PETRONIO SILVEIRA DA ROCHA</t>
  </si>
  <si>
    <t>00230599583</t>
  </si>
  <si>
    <t>CONDEUBA</t>
  </si>
  <si>
    <t>COLEGIO ESTADUAL DE TEMPO INTEGRAL DE CONDEUBA</t>
  </si>
  <si>
    <t>4098691108729899</t>
  </si>
  <si>
    <t>PLINIO JOSE BARBOSA JUNIOR</t>
  </si>
  <si>
    <t>COLEGIO ESTADUAL DE JUNCO</t>
  </si>
  <si>
    <t>4098699003681586</t>
  </si>
  <si>
    <t>PRISCILA DE OLIVEIRA SANTANA</t>
  </si>
  <si>
    <t>03099639583</t>
  </si>
  <si>
    <t>4098699003106592</t>
  </si>
  <si>
    <t>QUEZIA NARDE DE OLIVEIRA ROSA</t>
  </si>
  <si>
    <t>CENTRO TERRITORIAL DE EDUCACAO PROFISSIONAL DO MEDIO RIO DAS CONTAS</t>
  </si>
  <si>
    <t>4098691109452855</t>
  </si>
  <si>
    <t>RADIMARA BOMFIM RAMOS DA SILVA</t>
  </si>
  <si>
    <t>00206829566</t>
  </si>
  <si>
    <t>COLEGIO ESTADUAL DO CAMPO OLAVO FERREIRA NETO</t>
  </si>
  <si>
    <t>4098692280141416</t>
  </si>
  <si>
    <t>RAFAEL DA SILVA ASSIS</t>
  </si>
  <si>
    <t>04842261340</t>
  </si>
  <si>
    <t>COLEGIO ESTADUAL DE TEMPO INTEGRAL DE SOUTO SOARES</t>
  </si>
  <si>
    <t>4098692634090343</t>
  </si>
  <si>
    <t>RAFAEL MACHADO DOS SANTOS</t>
  </si>
  <si>
    <t>08526173642</t>
  </si>
  <si>
    <t>COLEGIO ESTADUAL TEOTONIO VILELA</t>
  </si>
  <si>
    <t>4098694327213711</t>
  </si>
  <si>
    <t>RAFAELA GIOVANA LIMA SANTANA DE ARAUJO</t>
  </si>
  <si>
    <t>00593465580</t>
  </si>
  <si>
    <t>COLEGIO ESTADUAL LINDEMBERGUE CARDOSO</t>
  </si>
  <si>
    <t>4098691100695163</t>
  </si>
  <si>
    <t>RAILDA FERNANDES MATO GROSSO</t>
  </si>
  <si>
    <t>COLEGIO ESTADUAL INDIGENA COROA VERMELHA</t>
  </si>
  <si>
    <t>4098690007838421</t>
  </si>
  <si>
    <t>RAILSON SENA BRAZ CONCEICAO</t>
  </si>
  <si>
    <t>COLEGIO ESTADUAL PRESIDENTE COSTA E SILVA</t>
  </si>
  <si>
    <t>4098699002635898</t>
  </si>
  <si>
    <t>RAIMUNDO NONATO COSTA MELO</t>
  </si>
  <si>
    <t>COLEGIO ESTADUAL ROLANDO LARANJEIRA BARBOSA</t>
  </si>
  <si>
    <t>4098690008826516</t>
  </si>
  <si>
    <t>RAMON DE SA AMARAL</t>
  </si>
  <si>
    <t>01102594598</t>
  </si>
  <si>
    <t>RAMON DUTRA LOBO</t>
  </si>
  <si>
    <t>COLEGIO ESTADUAL DANIEL LISBOA</t>
  </si>
  <si>
    <t>4098694288387454</t>
  </si>
  <si>
    <t>RANY DE FATIMA SALDANHA CARNEIRO</t>
  </si>
  <si>
    <t>COLEGIO ESTADUAL DO CAMPO PROFESSORA MARIA MENEZES RIBEIRO</t>
  </si>
  <si>
    <t>4098699720567712</t>
  </si>
  <si>
    <t>RAQUEL SA MELLO DE OLIVEIRA</t>
  </si>
  <si>
    <t>06865016599</t>
  </si>
  <si>
    <t>JOAO DOURADO</t>
  </si>
  <si>
    <t>COLEGIO ESTADUAL DE TEMPO INTEGRAL IDALINA DA SILVA DOURADO</t>
  </si>
  <si>
    <t>4098691105776232</t>
  </si>
  <si>
    <t>RAQUEL VASCONCELOS DOS SANTOS NETA</t>
  </si>
  <si>
    <t>REGINITA CEZAR DOS SANTOS DE JESUS</t>
  </si>
  <si>
    <t>ESCOLA ESTADUAL INDIGENA NOSSA SENHORA DE LOURDES</t>
  </si>
  <si>
    <t>4098699672243551</t>
  </si>
  <si>
    <t>REGIVALDO ALVES DE MENEZES</t>
  </si>
  <si>
    <t>ESCOLA ESTADUAL OCRIDALINA MADUREIRA</t>
  </si>
  <si>
    <t>4098690002379082</t>
  </si>
  <si>
    <t>REJANE CUNHA FREIRE BANDEIRA</t>
  </si>
  <si>
    <t>05216436782</t>
  </si>
  <si>
    <t>CENTRO TERRITORIAL DE EDUCACAO PROFISSIONAL DO VELHO CHICO</t>
  </si>
  <si>
    <t>4098690009281653</t>
  </si>
  <si>
    <t>RENAILDO PEREIRA DOS SANTOS</t>
  </si>
  <si>
    <t>MACAJUBA</t>
  </si>
  <si>
    <t>COLEGIO ESTADUAL CARLITO DE CARVALHO</t>
  </si>
  <si>
    <t>4098699002737041</t>
  </si>
  <si>
    <t>RENAN MACEDO DA SILVA</t>
  </si>
  <si>
    <t>00345221583</t>
  </si>
  <si>
    <t>COLEGIO ESTADUAL HILDETE LOMANTO</t>
  </si>
  <si>
    <t>4098691106325369</t>
  </si>
  <si>
    <t>RENATA LIMA MARTINS</t>
  </si>
  <si>
    <t>COLEGIO ESTADUAL JOAO FRANCISCO DA SILVA</t>
  </si>
  <si>
    <t>4098694285057100</t>
  </si>
  <si>
    <t>RENATA SILVA DE FREITAS SANTOS</t>
  </si>
  <si>
    <t>02473007560</t>
  </si>
  <si>
    <t>RETIROLANDIA</t>
  </si>
  <si>
    <t>COLEGIO ESTADUAL DE TEMPO INTEGRAL OLAVO ALVES PINTO</t>
  </si>
  <si>
    <t>4098691107667538</t>
  </si>
  <si>
    <t>RENICIO LIMA DA SILVA</t>
  </si>
  <si>
    <t>COLEGIO ESTADUAL BATISTA NEVES</t>
  </si>
  <si>
    <t>4098699293228619</t>
  </si>
  <si>
    <t>RENILDO MANOEL DA HORA CONCEICAO</t>
  </si>
  <si>
    <t>CENTRO DE APOIO PEDAGOGICO ESPECIALIZADO ALBERTO DE ASSIS</t>
  </si>
  <si>
    <t>4098690008987870</t>
  </si>
  <si>
    <t>REUVAN SODRE DE OLIVEIRA</t>
  </si>
  <si>
    <t>CENTRO EST DE EDUC PROF CONT E GEST DO N BAIANO PEDRO RIBEIRO PESSOA</t>
  </si>
  <si>
    <t>4098691102665768</t>
  </si>
  <si>
    <t>RICARDO ARAUJO MIRANDA</t>
  </si>
  <si>
    <t>COLEGIO ESTADUAL DE TEMPO INTEGRAL DE BARRA DE POJUCA</t>
  </si>
  <si>
    <t>4098699461889804</t>
  </si>
  <si>
    <t>RICARDO DA ENCARNACAO CONCEICAO</t>
  </si>
  <si>
    <t>COLEGIO ESTADUAL DEPUTADO MANOEL NOVAES</t>
  </si>
  <si>
    <t>4098691104110458</t>
  </si>
  <si>
    <t>RICARDO LEITE TEIXEIRA</t>
  </si>
  <si>
    <t>COLEGIO ESTADUAL DO CAMPO DE PEDRAS ALTAS</t>
  </si>
  <si>
    <t>4098691559392189</t>
  </si>
  <si>
    <t>RICARDO MAGNO MACEDO ARGOLO</t>
  </si>
  <si>
    <t>05908872547</t>
  </si>
  <si>
    <t>4098691104109534</t>
  </si>
  <si>
    <t>RISIA LOPES SOARES FURTUOSO</t>
  </si>
  <si>
    <t>COLEGIO ESTADUAL JOSIAS DE ALMEIDA MELO</t>
  </si>
  <si>
    <t>4098691105316435</t>
  </si>
  <si>
    <t>RITA DE CASSIA COELHO MEDEIROS</t>
  </si>
  <si>
    <t>COLEGIO ESTADUAL DE TEMPO INTEGRAL PROFESSORA CELIA SANTOS ANDRADE</t>
  </si>
  <si>
    <t>4098692630438264</t>
  </si>
  <si>
    <t>RITA DE CASSIA DE SOUZA COSTA</t>
  </si>
  <si>
    <t>GOVERNADOR MANGABEIRA</t>
  </si>
  <si>
    <t>COLEGIO ESTADUAL PROFESSOR EDGARD SANTOS</t>
  </si>
  <si>
    <t>4098691102672673</t>
  </si>
  <si>
    <t>RITA DE CASSIA FERREIRA DE CERQUEIRA DE SANTANA</t>
  </si>
  <si>
    <t>PLANALTO</t>
  </si>
  <si>
    <t>COLEGIO ESTADUAL DE TEMPO INTEGRAL DE PLANALTO</t>
  </si>
  <si>
    <t>4098690004278548</t>
  </si>
  <si>
    <t>RITA DE CASSIA GOMES FONSECA ROCHA</t>
  </si>
  <si>
    <t>CENTRO DE APOIO PEDAGOGICO ESPECIALIZADO DE FEIRA DE SANTANA</t>
  </si>
  <si>
    <t>4098691100442806</t>
  </si>
  <si>
    <t>RITA DE CASSIA JAMBEIRO TABOADA DA SILVA</t>
  </si>
  <si>
    <t>COLEGIO POLIVALENTE DE CONCEICAO DO COITE</t>
  </si>
  <si>
    <t>4098690003465252</t>
  </si>
  <si>
    <t>RITA TARCISA COSTA DA SILVA</t>
  </si>
  <si>
    <t>01002820596</t>
  </si>
  <si>
    <t>COLEGIO ESTADUAL QUILOMBOLA DE TEMPO INTEGRAL DA MATINHA</t>
  </si>
  <si>
    <t>RITALI VITORIA RABELO</t>
  </si>
  <si>
    <t>CENTRO DE APOIO PEDAGOGICO ESPECIALIZADO CATIA MARIA PAIM CRUZ</t>
  </si>
  <si>
    <t>4098691108106783</t>
  </si>
  <si>
    <t>RIVER CARVALHO DE AZEVEDO SANTANA</t>
  </si>
  <si>
    <t>COLEGIO ESTADUAL AGOSTINHO MUNIZ</t>
  </si>
  <si>
    <t>4098693287269952</t>
  </si>
  <si>
    <t>ROBERIO GRANJA</t>
  </si>
  <si>
    <t>COLEGIO DA POLICIA MILITAR - CPM FRANCISCO PEDRO DE OLIVEIRA</t>
  </si>
  <si>
    <t>4098691101554450</t>
  </si>
  <si>
    <t>ROBERT DA CRUZ COSTA</t>
  </si>
  <si>
    <t>PLANALTINO</t>
  </si>
  <si>
    <t>COLEGIO ESTADUAL MANOEL JOSE DE ANDRADE</t>
  </si>
  <si>
    <t>4098693280097186</t>
  </si>
  <si>
    <t>ROBERTH NOVAES NASCIMENTO</t>
  </si>
  <si>
    <t>COLEGIO DA POLICIA MILITAR - CPM JOAO FLORENCIO GOMES</t>
  </si>
  <si>
    <t>4098694345185701</t>
  </si>
  <si>
    <t>ROBERTO ARAUJO ALVES</t>
  </si>
  <si>
    <t>COLEGIO ESTADUAL PROFESSOR CARLOS ALBERTO CERQUEIRA</t>
  </si>
  <si>
    <t>4098691104218525</t>
  </si>
  <si>
    <t>ROBERTO SOUZA FREITAS</t>
  </si>
  <si>
    <t>JANDAIRA</t>
  </si>
  <si>
    <t>4098699002688681</t>
  </si>
  <si>
    <t>ROBSON LUIZ DE CAMPOS VAQUEIRO</t>
  </si>
  <si>
    <t>COLEGIO ESTADUAL MESTRE MOA DO KATENDE</t>
  </si>
  <si>
    <t>4098691104774261</t>
  </si>
  <si>
    <t>RODRENICE SANTANA BORGES</t>
  </si>
  <si>
    <t>POCOES</t>
  </si>
  <si>
    <t>COLEGIO ESTADUAL DE TEMPO INTEGRAL ROBERTO SANTOS</t>
  </si>
  <si>
    <t>4098699003465030</t>
  </si>
  <si>
    <t>RODRIGO SCHETTINI LONGO CALDAS</t>
  </si>
  <si>
    <t>COLEGIO ESTADUAL EDIVALDO BOAVENTURA</t>
  </si>
  <si>
    <t>4098690009025068</t>
  </si>
  <si>
    <t>ROGERIA MARTINS DOS SANTOS</t>
  </si>
  <si>
    <t>COLEGIO ESTADUAL VITORIA LIMA DE OLIVEIRA</t>
  </si>
  <si>
    <t>4098699003625591</t>
  </si>
  <si>
    <t>ROMENITO VIANA DE SOUZA</t>
  </si>
  <si>
    <t>02823532595</t>
  </si>
  <si>
    <t>ROMILDA ALVES DOS ANJOS</t>
  </si>
  <si>
    <t>COLEGIO ESTADUAL DE VALENTE</t>
  </si>
  <si>
    <t>4098690002543745</t>
  </si>
  <si>
    <t>ROMULO MONTEIRO SOARES JUNIOR</t>
  </si>
  <si>
    <t>IBIRAPUA</t>
  </si>
  <si>
    <t>COLEGIO ESTADUAL PROFESSOR PAULO FREIRE</t>
  </si>
  <si>
    <t>4098698752153243</t>
  </si>
  <si>
    <t>RONALDO BANDEIRA DA SILVA</t>
  </si>
  <si>
    <t>COLEGIO ESTADUAL BADEN POWELL</t>
  </si>
  <si>
    <t>4098691109945411</t>
  </si>
  <si>
    <t>RONALDO SANTANA PEREIRA</t>
  </si>
  <si>
    <t>DOM MACEDO COSTA</t>
  </si>
  <si>
    <t>COLEGIO ESTADUAL ERALDO TINOCO MELO</t>
  </si>
  <si>
    <t>4098699003263732</t>
  </si>
  <si>
    <t>RONELIS PEREIRA MACEDO</t>
  </si>
  <si>
    <t>COLEGIO ESTADUAL CARLINA BARBOSA DE DEUS</t>
  </si>
  <si>
    <t>4098690000872146</t>
  </si>
  <si>
    <t>RONILSON SANTOS DE MENEZES</t>
  </si>
  <si>
    <t>COLEGIO ESTADUAL YPIRANGA</t>
  </si>
  <si>
    <t>4098690002782988</t>
  </si>
  <si>
    <t>ROSA DO AMPARO CUNHA DE MATTOS</t>
  </si>
  <si>
    <t>COLEGIO ESTADUAL NORMA RIBEIRO</t>
  </si>
  <si>
    <t>4098691102488633</t>
  </si>
  <si>
    <t>ROSANA DE CARVALHO SOUZA ANDRADE</t>
  </si>
  <si>
    <t>PRESIDENTE JANIO QUADROS</t>
  </si>
  <si>
    <t>COLEGIO ESTADUAL DO CAMPO ERALDO TINOCO</t>
  </si>
  <si>
    <t>4098694129134917</t>
  </si>
  <si>
    <t>ROSANGELA DA SOLIDADE PEREIRA</t>
  </si>
  <si>
    <t>COLEGIO ESTADUAL DOUTOR JAIRO AZZI</t>
  </si>
  <si>
    <t>4098691100575811</t>
  </si>
  <si>
    <t>ROSANGELA DOS SANTOS LIMA SOUZA</t>
  </si>
  <si>
    <t>COLEGIO ESTADUAL MACHADO DE ASSIS</t>
  </si>
  <si>
    <t>4098691106126510</t>
  </si>
  <si>
    <t>ROSANGELA MARTINS DE SOUZA PASSOS</t>
  </si>
  <si>
    <t>COLEGIO ESTADUAL BRAULIO XAVIER</t>
  </si>
  <si>
    <t>4098691102992287</t>
  </si>
  <si>
    <t>ROSANI GENTIL DE OLIVEIRA</t>
  </si>
  <si>
    <t>COLEGIO ESTADUAL DE PRAIA GRANDE</t>
  </si>
  <si>
    <t>4098691109930504</t>
  </si>
  <si>
    <t>ROSELENE MESQUITA DE PAULA</t>
  </si>
  <si>
    <t>4098699003483579</t>
  </si>
  <si>
    <t>ROSELI DE CARVALHO MAGALHAES</t>
  </si>
  <si>
    <t>COLEGIO ESTADUAL FREDERICO COSTA</t>
  </si>
  <si>
    <t>4098694284137622</t>
  </si>
  <si>
    <t>ROSEMEIRE ALFAIA DE SANTANA</t>
  </si>
  <si>
    <t>COLEGIO ESTADUAL DA BAHIA CENTRAL</t>
  </si>
  <si>
    <t>4098699003634130</t>
  </si>
  <si>
    <t>ROSENILDA MESQUITA DE SANTANA</t>
  </si>
  <si>
    <t>RODELAS</t>
  </si>
  <si>
    <t>COLEGIO ESTADUAL DULCINA CRUZ LIMA</t>
  </si>
  <si>
    <t>4098699002251860</t>
  </si>
  <si>
    <t>ROSENILDE MARINA DA SILVA</t>
  </si>
  <si>
    <t>COLEGIO ESTADUAL DE TEMPO INTEGRAL EDITH MACHADO BOAVENTURA</t>
  </si>
  <si>
    <t>4098690002227802</t>
  </si>
  <si>
    <t>ROSIENE FIGUEREDO RODRIGUES</t>
  </si>
  <si>
    <t>COLEGIO ESTADUAL JOAO CARIBE</t>
  </si>
  <si>
    <t>4098690007157673</t>
  </si>
  <si>
    <t>ROSILANE MARIA GOMES DE JESUS</t>
  </si>
  <si>
    <t>COLEGIO ESTADUAL SARA VIOLETA DE MELLO KERTESZ</t>
  </si>
  <si>
    <t>4098699003610296</t>
  </si>
  <si>
    <t>ROSILENE FRANCA ARAUJO REIS</t>
  </si>
  <si>
    <t>COLEGIO ESTADUAL PROFESSOR ADEUM HILARIO SAUER</t>
  </si>
  <si>
    <t>4098691105897897</t>
  </si>
  <si>
    <t>ROSIMEIRE DOS SANTOS GUERRA</t>
  </si>
  <si>
    <t>00280981538</t>
  </si>
  <si>
    <t>COLEGIO ESTADUAL CAROLINA SEVERIANO RIBEIRO</t>
  </si>
  <si>
    <t>4098691108075152</t>
  </si>
  <si>
    <t>ROSIMEIRE SILVA SANTOS REIS</t>
  </si>
  <si>
    <t>00131314513</t>
  </si>
  <si>
    <t>RIACHO DE SANTANA</t>
  </si>
  <si>
    <t>COLEGIO ESTADUAL SINESIO COSTA</t>
  </si>
  <si>
    <t>4098690005658086</t>
  </si>
  <si>
    <t>ROSIMERE MARQUES CARDOSO FARIAS</t>
  </si>
  <si>
    <t>COLEGIO ESTADUAL GERSON DE SOUZA MELO PATAXO</t>
  </si>
  <si>
    <t>4098691103462975</t>
  </si>
  <si>
    <t>ROSINEIDE VENANCIO DO NASCIMENTO SANTANA</t>
  </si>
  <si>
    <t>COLEGIO ESTADUAL INDIGENA CAPITAO FRANCISCO RODELAS</t>
  </si>
  <si>
    <t>4098690007297933</t>
  </si>
  <si>
    <t>ROSIVANIA DE ARAUJO ALMEIDA</t>
  </si>
  <si>
    <t>01607568551</t>
  </si>
  <si>
    <t>CENTRO TERRITORIAL DE EDUC.PROFISS. DO LITORAL NORTE E AGRESTE BAIANO</t>
  </si>
  <si>
    <t>4098690006058401</t>
  </si>
  <si>
    <t>ROUSE MARIA DE SANTANA SANTOS</t>
  </si>
  <si>
    <t>01085421570</t>
  </si>
  <si>
    <t>BONITO</t>
  </si>
  <si>
    <t>COLEGIO ESTADUAL DE TEMPO INTEGRAL DO BONITO</t>
  </si>
  <si>
    <t>4098696623595048</t>
  </si>
  <si>
    <t>RUBEM SANTOS FIGUEREDO</t>
  </si>
  <si>
    <t>02966742577</t>
  </si>
  <si>
    <t>UBATA</t>
  </si>
  <si>
    <t>COLEGIO ESTADUAL DE TEMPO INTEGRAL DE UBATA</t>
  </si>
  <si>
    <t>RUBENS SANTOS</t>
  </si>
  <si>
    <t>COLEGIO ESTADUAL BARROS BARRETO</t>
  </si>
  <si>
    <t>4098691106428205</t>
  </si>
  <si>
    <t>RUI CESAR CERQUEIRA DA SILVA</t>
  </si>
  <si>
    <t>CENTRO DE APOIO PEDAGOGICO ESPECIALIZADO - CAPE VITORIA DA CONQUISTA</t>
  </si>
  <si>
    <t>4098694122895829</t>
  </si>
  <si>
    <t>RUTHNELLE DE OLIVEIRA CHAGAS</t>
  </si>
  <si>
    <t>COLEGIO ESTADUAL DO CAMPO DE CABRALIA</t>
  </si>
  <si>
    <t>4098693284977425</t>
  </si>
  <si>
    <t>SABRINA KAREN OLIVEIRA SOUZA ARAUJO</t>
  </si>
  <si>
    <t>04540186574</t>
  </si>
  <si>
    <t>ESCOLA ESTADUAL RAUL SA</t>
  </si>
  <si>
    <t>4098690008403746</t>
  </si>
  <si>
    <t>SABRINA LIMA DE SOUZA</t>
  </si>
  <si>
    <t>CENTRO TERRITORIAL DE EDUCACAO PROFISSIONAL DA COSTA DO DESCOBRIMENTO</t>
  </si>
  <si>
    <t>4098693281631850</t>
  </si>
  <si>
    <t>SALATIELE PEREIRA DA SILVA CEO</t>
  </si>
  <si>
    <t>00193082560</t>
  </si>
  <si>
    <t>CENTRO EST DE EDUC PROF EM ALIMENTOS E RECURSOS NATURAIS PIO XII</t>
  </si>
  <si>
    <t>4098699002635328</t>
  </si>
  <si>
    <t>SAMARA MACEDO DE ALMEIDA</t>
  </si>
  <si>
    <t>COLEGIO EST QUILOMBOLA DE TEMPO INTEGRAL DA BACIA DO IGUAPE</t>
  </si>
  <si>
    <t>4098690002310921</t>
  </si>
  <si>
    <t>SAMIRA GESSICA ALVES DE SANTANA SANTOS</t>
  </si>
  <si>
    <t>01279946539</t>
  </si>
  <si>
    <t>CENT.EST DE EDUC PROFIS EM INF E GESTAO LOURDES CARVALHO NEVES BATISTA</t>
  </si>
  <si>
    <t>4098690007167920</t>
  </si>
  <si>
    <t>SANDRA CONCEICAO LIRA DE ALMEIDA</t>
  </si>
  <si>
    <t>COLEGIO ESTADUAL EURICLES DE MATOS</t>
  </si>
  <si>
    <t>4098692255204926</t>
  </si>
  <si>
    <t>SANDRA DOS SANTOS CONCEICAO MATOS</t>
  </si>
  <si>
    <t>FIRMINO ALVES</t>
  </si>
  <si>
    <t>CENTRO EDUCACIONAL MONTEIRO LOBATO</t>
  </si>
  <si>
    <t>4098690007552030</t>
  </si>
  <si>
    <t>SANDRA HELENA LEMOS FRANCA ALMEIDA</t>
  </si>
  <si>
    <t>COCOS</t>
  </si>
  <si>
    <t>COLEGIO ESTADUAL DE TEMPO INTEGRAL DE COCOS</t>
  </si>
  <si>
    <t>4098691105735949</t>
  </si>
  <si>
    <t>SANDRA MARIA MOURA DA TRINDADE VIANA</t>
  </si>
  <si>
    <t>COLEGIO DA POLICIA MILITAR - CPM PROFESSOR CARLOS ROSA</t>
  </si>
  <si>
    <t>4098699002635427</t>
  </si>
  <si>
    <t>SANDRA REGINA LIMA NASCIMENTO</t>
  </si>
  <si>
    <t>COLEGIO ESTADUAL MARIA JOSE BASTOS SILVA</t>
  </si>
  <si>
    <t>4098690000159007</t>
  </si>
  <si>
    <t>SANDRA SANTOS CONCEICAO</t>
  </si>
  <si>
    <t>ANTONIO CARDOSO</t>
  </si>
  <si>
    <t>COLEGIO EST DO CAMPO DE TEMPO INT GENIVALDO DE ALMEIDA BRANDAO</t>
  </si>
  <si>
    <t>4098691108969115</t>
  </si>
  <si>
    <t>SANDRO AUGUSTO DA SILVA CERQUEIRA JUNIOR</t>
  </si>
  <si>
    <t>04717971540</t>
  </si>
  <si>
    <t>COLEGIO ESTADUAL INDIGENA BOM JESUS</t>
  </si>
  <si>
    <t>4098695481258632</t>
  </si>
  <si>
    <t>SARA ALVES OLIVEIRA SILVA</t>
  </si>
  <si>
    <t>MAIRI</t>
  </si>
  <si>
    <t>COLEGIO ESTADUAL DE TEMPO INTEGRAL ABELARDO MOREIRA</t>
  </si>
  <si>
    <t>4098690007792263</t>
  </si>
  <si>
    <t>SARA SILVA SOUZA</t>
  </si>
  <si>
    <t>COLEGIO ESTADUAL DE TEMPO INTEGRAL DE BARRA DO CHOCA</t>
  </si>
  <si>
    <t>4098695480658303</t>
  </si>
  <si>
    <t>SATURNINO BARBOSA DOS SANTOS NETO</t>
  </si>
  <si>
    <t>COLEGIO ESTADUAL NOSSA SENHORA DO ROSARIO</t>
  </si>
  <si>
    <t>4098690009896351</t>
  </si>
  <si>
    <t>SEBASTIAO TEIXEIRA SOARES</t>
  </si>
  <si>
    <t>COLEGIO ESTADUAL DEPUTADO HENRIQUE BRITO</t>
  </si>
  <si>
    <t>4098691108649139</t>
  </si>
  <si>
    <t>SELMA SAMPAIO CORREIA</t>
  </si>
  <si>
    <t>CENTRO INTEGRADO OSCAR MARINHO FALCAO</t>
  </si>
  <si>
    <t>4098690003420505</t>
  </si>
  <si>
    <t>SEMIRAMES CRISTINA DIAS SILVA DE CASTRO</t>
  </si>
  <si>
    <t>MEDEIROS NETO</t>
  </si>
  <si>
    <t>CENTRO TERRITORIAL DE EDUCACAO PROFISSIONAL DE MEDEIROS NETO</t>
  </si>
  <si>
    <t>4098691108646481</t>
  </si>
  <si>
    <t>SERGIO ALVES DE SOUZA</t>
  </si>
  <si>
    <t>03289922596</t>
  </si>
  <si>
    <t>COLEGIO ESTADUAL ALBERTO SANTOS DUMONT</t>
  </si>
  <si>
    <t>4098690001513590</t>
  </si>
  <si>
    <t>SERGIO NOGUEIRA NONATO</t>
  </si>
  <si>
    <t>COLEGIO ESTADUAL VALE DOS LAGOS</t>
  </si>
  <si>
    <t>4098699002584278</t>
  </si>
  <si>
    <t>SERGIO RICARDO DE CARVALHO FURTADO</t>
  </si>
  <si>
    <t>COLEGIO ESTADUAL ODORICO TAVARES</t>
  </si>
  <si>
    <t>4098690004666254</t>
  </si>
  <si>
    <t>SHEILA CRISTINA TORRES SANTOS</t>
  </si>
  <si>
    <t>COLEGIO ESTADUAL REGINA SIMOES</t>
  </si>
  <si>
    <t>4098690009957450</t>
  </si>
  <si>
    <t>SHEILA MACEDO PINTO DE SOUSA</t>
  </si>
  <si>
    <t>CENTRO DE APOIO PEDAGOGICO ESPECIALIZADO DA BAHIA</t>
  </si>
  <si>
    <t>4098690005621860</t>
  </si>
  <si>
    <t>SIDENISE ESTRELADO SOUSA</t>
  </si>
  <si>
    <t>TEOFILANDIA</t>
  </si>
  <si>
    <t>COLEGIO ESTADUAL DE TEMPO INTEGRAL DE TEOFILANDIA</t>
  </si>
  <si>
    <t>4098691100790584</t>
  </si>
  <si>
    <t>SIDNEI SILVA DA VISITACAO</t>
  </si>
  <si>
    <t>CENTRO TERRITORIAL DE EDUCACAO PROFISSIONAL DO PORTAL DO SERTAO</t>
  </si>
  <si>
    <t>4098695485802021</t>
  </si>
  <si>
    <t>SIDNEY SANTOS MARTINS DA SILVA</t>
  </si>
  <si>
    <t>COLEGIO ESTADUAL DE TEMPO INTEGRAL DO CAMPO DE MIROROS</t>
  </si>
  <si>
    <t>4098693284119986</t>
  </si>
  <si>
    <t>SIDON FELIPE SILVA DA CRUZ</t>
  </si>
  <si>
    <t>04436315576</t>
  </si>
  <si>
    <t>COLEGIO ESTADUAL DO CAMPO SIDNEY MASCARENHAS</t>
  </si>
  <si>
    <t>4098699517929018</t>
  </si>
  <si>
    <t>SILAS SEBASTIAO AMORIM</t>
  </si>
  <si>
    <t>CANAVIEIRAS</t>
  </si>
  <si>
    <t>4098690004397306</t>
  </si>
  <si>
    <t>SILVAN AVELINO DOS SANTOS</t>
  </si>
  <si>
    <t>SANTA LUZIA</t>
  </si>
  <si>
    <t>4098699675355931</t>
  </si>
  <si>
    <t>SILVANA ARAUJO DA SILVA</t>
  </si>
  <si>
    <t>SILVANA PEREIRA SANTOS</t>
  </si>
  <si>
    <t>PONTO NOVO</t>
  </si>
  <si>
    <t>COLEGIO ESTADUAL DE TEMPO INTEGRAL NELSON MAIA</t>
  </si>
  <si>
    <t>4098691101643337</t>
  </si>
  <si>
    <t>SILVANIA CARVALHO</t>
  </si>
  <si>
    <t>COLEGIO ESTADUAL DANTAS JUNIOR</t>
  </si>
  <si>
    <t>4098699003671827</t>
  </si>
  <si>
    <t>SILVIA CELESTE FERREIRA DA CONCEICAO</t>
  </si>
  <si>
    <t>CENTRO TERRITORIAL DE EDUC. PROFI. DO RECONCAVO JONIVAL LUCAS</t>
  </si>
  <si>
    <t>4098691106703623</t>
  </si>
  <si>
    <t>SILVIA REGINA DAS NEVES COAXI</t>
  </si>
  <si>
    <t>COLEGIO ESTADUAL DOIS DE JULHO</t>
  </si>
  <si>
    <t>4098690005495554</t>
  </si>
  <si>
    <t>SILVONILTON CARVALHO BASTOS</t>
  </si>
  <si>
    <t>COLEGIO ESTADUAL DE FEDEGOSOS</t>
  </si>
  <si>
    <t>4098690008082326</t>
  </si>
  <si>
    <t>SIMONE CARLA OLIVEIRA E SILVA FREITAS</t>
  </si>
  <si>
    <t>03123454533</t>
  </si>
  <si>
    <t>ESCOLA ESTADUAL OSCAR CORDEIRO</t>
  </si>
  <si>
    <t>4098690005015741</t>
  </si>
  <si>
    <t>SIMONE DEOLINA SANTANA</t>
  </si>
  <si>
    <t>IPECAETA</t>
  </si>
  <si>
    <t>COLEGIO ESTADUAL DE TEMPO INTEGRAL AUREO FILHO</t>
  </si>
  <si>
    <t>4098691107676190</t>
  </si>
  <si>
    <t>SIMONE NETO DE SANTANA OLIVEIRA</t>
  </si>
  <si>
    <t>COLEGIO ESTADUAL SATIRO DIAS</t>
  </si>
  <si>
    <t>4098691109300708</t>
  </si>
  <si>
    <t>SOANE NASCIMENTO LIMA</t>
  </si>
  <si>
    <t>COLEGIO ESTADUAL HENRIQUE BRITO</t>
  </si>
  <si>
    <t>4098691387329403</t>
  </si>
  <si>
    <t>SOFIA APARECIDA SANTANA MESQUITA DA SILVA</t>
  </si>
  <si>
    <t>02999673523</t>
  </si>
  <si>
    <t>FILADELFIA</t>
  </si>
  <si>
    <t>COLEGIO ESTADUAL CECENTINO PEREIRA MAIA</t>
  </si>
  <si>
    <t>4098690007818399</t>
  </si>
  <si>
    <t>SOLANGE BARROS MUNIZ MOTA</t>
  </si>
  <si>
    <t>NILO PECANHA</t>
  </si>
  <si>
    <t>COLEGIO ESTADUAL ADELAIDE SOUZA</t>
  </si>
  <si>
    <t>4098690007373643</t>
  </si>
  <si>
    <t>SONY MARIA LOPES DO ROSARIO</t>
  </si>
  <si>
    <t>OURICANGAS</t>
  </si>
  <si>
    <t>COLEGIO ESTADUAL ELIEL MARTINS</t>
  </si>
  <si>
    <t>4098697279630154</t>
  </si>
  <si>
    <t>SORAIA DE CRISTO SANTOS</t>
  </si>
  <si>
    <t>4098699002688822</t>
  </si>
  <si>
    <t>STEFANI LAIRA DUTRA FERREIRA</t>
  </si>
  <si>
    <t>04720840540</t>
  </si>
  <si>
    <t>CENT REG DE ENS MEDIO COM INTERMEDIACAO TEC.CEMIT BACIA DO RIO GRANDE</t>
  </si>
  <si>
    <t>4098691103478492</t>
  </si>
  <si>
    <t>SUELY PASSOS DE SOUZA</t>
  </si>
  <si>
    <t>COLEGIO ESTADUAL DO CAMPO DE TEMPO INTEGRAL NECY NOVAES</t>
  </si>
  <si>
    <t>4098690008171293</t>
  </si>
  <si>
    <t>SUZANEIDE OLIVEIRA MEDRADO</t>
  </si>
  <si>
    <t>00205703500</t>
  </si>
  <si>
    <t>COLEGIO ESTADUAL WILSON LINS</t>
  </si>
  <si>
    <t>4098699673968669</t>
  </si>
  <si>
    <t>SUZANNE SALES DE SOUZA</t>
  </si>
  <si>
    <t>01429194545</t>
  </si>
  <si>
    <t>COMPLEXO INTEGRADO DE EDUC BASICA PROFISSIONAL E TECNOLOGICA DE IPIAU</t>
  </si>
  <si>
    <t>4098699003408428</t>
  </si>
  <si>
    <t>SUZERLEA LEITE BARRETO</t>
  </si>
  <si>
    <t>WANDERLEY</t>
  </si>
  <si>
    <t>COLEGIO ESTADUAL ANTONIO INACIO DE OLIVEIRA</t>
  </si>
  <si>
    <t>4098693284995690</t>
  </si>
  <si>
    <t>TACIANA VANESSA SANTANA RIOS</t>
  </si>
  <si>
    <t>ITAMARI</t>
  </si>
  <si>
    <t>COLEGIO ESTADUAL JOAO GALVAO SOBRINHO</t>
  </si>
  <si>
    <t>4098699002767303</t>
  </si>
  <si>
    <t>TAIANA ARAUJO VENEGEROLES</t>
  </si>
  <si>
    <t>00964094525</t>
  </si>
  <si>
    <t>MARCIONILIO SOUZA</t>
  </si>
  <si>
    <t>COLEGIO ESTADUAL DE TEMPO INTEGRAL EURIDICE SANTANA</t>
  </si>
  <si>
    <t>4098691105629589</t>
  </si>
  <si>
    <t>TAILANE NEVES DE JESUS</t>
  </si>
  <si>
    <t>05767147558</t>
  </si>
  <si>
    <t>NOVA IBIA</t>
  </si>
  <si>
    <t>COLEGIO ESTADUAL PROFESSORA MARIA LEAL LOPES</t>
  </si>
  <si>
    <t>TAIS DA SILVA MEIRA</t>
  </si>
  <si>
    <t>04976859576</t>
  </si>
  <si>
    <t>TALITA DAS NEVES MELO</t>
  </si>
  <si>
    <t>COLEGIO ESTADUAL EURIDES SANTANA</t>
  </si>
  <si>
    <t>4098691101973742</t>
  </si>
  <si>
    <t>TANIA CRISTINA ALMEIDA NOLASCO</t>
  </si>
  <si>
    <t>COLEGIO ESTADUAL BRAZILINO VIEGAS</t>
  </si>
  <si>
    <t>4098699003580697</t>
  </si>
  <si>
    <t>TANIA LUCIA MORAIS SILVA</t>
  </si>
  <si>
    <t>COLEGIO ESTADUAL DOUTOR JOAO PEDRO DOS SANTOS</t>
  </si>
  <si>
    <t>4098691105281860</t>
  </si>
  <si>
    <t>TANIA MARCIA MAIA DE CARVALHO</t>
  </si>
  <si>
    <t>ESCOLA ESTADUAL DOM AVELAR BRANDAO VILELA</t>
  </si>
  <si>
    <t>4098690007685459</t>
  </si>
  <si>
    <t>TARCISIO FERREIRA DE JESUS</t>
  </si>
  <si>
    <t>CRISTOPOLIS</t>
  </si>
  <si>
    <t>COLEGIO ESTADUAL DE CRISTOPOLIS</t>
  </si>
  <si>
    <t>4098694711101894</t>
  </si>
  <si>
    <t>TARCISIO ITALO OLIVEIRA DEFENSOR</t>
  </si>
  <si>
    <t>04164455519</t>
  </si>
  <si>
    <t>IGRAPIUNA</t>
  </si>
  <si>
    <t>COLEGIO ESTADUAL PROFESSOR NEILTON LIMA MOREIRA</t>
  </si>
  <si>
    <t>4098690007183364</t>
  </si>
  <si>
    <t>TATIANA DE OLIVEIRA REIS</t>
  </si>
  <si>
    <t>COLEGIO ESTADUAL RAFAEL OLIVEIRA</t>
  </si>
  <si>
    <t>4098690008656350</t>
  </si>
  <si>
    <t>TATIANA FRANCA SOUZA</t>
  </si>
  <si>
    <t>ESCOLA ESTADUAL INDIGENA ANANIAS VITORIANO </t>
  </si>
  <si>
    <t>4098691108738858</t>
  </si>
  <si>
    <t>TATIANE ARAUJO DOS SANTOS</t>
  </si>
  <si>
    <t>02165824583</t>
  </si>
  <si>
    <t>COLEGIO ESTADUAL HELENA CELESTINO MAGALHAES</t>
  </si>
  <si>
    <t>4098690007020392</t>
  </si>
  <si>
    <t>TATIANE COELHO DOS SANTOS</t>
  </si>
  <si>
    <t>01086099524</t>
  </si>
  <si>
    <t>COLEGIO ESTADUAL DE TEMPO INTEGRAL PROFESSORA HELENA SOUZA BISPO</t>
  </si>
  <si>
    <t>4098691101673383</t>
  </si>
  <si>
    <t>TATIANE RIBEIRO DE SOUZA</t>
  </si>
  <si>
    <t>TAYRA VIEIRA ALMEIDA DE OLIVEIRA</t>
  </si>
  <si>
    <t>00917652509</t>
  </si>
  <si>
    <t>CENTRO REGIONAL DE ENSINO MEDIO COM INTERMEDIACAO TECNOLO -CEMIT SISAL</t>
  </si>
  <si>
    <t>4098696502001001</t>
  </si>
  <si>
    <t>TECIO LUIZ BOAVENTURA DE MENEZES</t>
  </si>
  <si>
    <t>00750770511</t>
  </si>
  <si>
    <t>COLEGIO ESTADUAL EDSON OLIVEIRA</t>
  </si>
  <si>
    <t>4098691107658982</t>
  </si>
  <si>
    <t>TEDICARLA OTACILIA NOVAIS SILVA RIBEIRO</t>
  </si>
  <si>
    <t>COLEGIO ESTADUAL INDIGENA SANTA RITA DE CASSIA</t>
  </si>
  <si>
    <t>4098699002228553</t>
  </si>
  <si>
    <t>TELMA ARAUJO CRUZ</t>
  </si>
  <si>
    <t>ESCOLA ESTADUAL PROFESSOR GERMANO MACHADO NETO</t>
  </si>
  <si>
    <t>4098693224137205</t>
  </si>
  <si>
    <t>TELMA LIMA DA CRUZ</t>
  </si>
  <si>
    <t>COLEGIO ESTADUAL PAULO AMERICO DE OLIVEIRA</t>
  </si>
  <si>
    <t>4098694126777585</t>
  </si>
  <si>
    <t>TELMA MARIA DOURADO DE ANDRADE</t>
  </si>
  <si>
    <t>COLEGIO ESTADUAL DE TEMPO INTEGRAL DE TUCANO</t>
  </si>
  <si>
    <t>4098699003649922</t>
  </si>
  <si>
    <t>TELMA PIMENTEL DA CONCEICAO</t>
  </si>
  <si>
    <t>COLEGIO ESTADUAL DO CAMPO DE LAGOA DO DIONISIO</t>
  </si>
  <si>
    <t>4098691100378356</t>
  </si>
  <si>
    <t>TERESA CRISTINA SILVA ABADE</t>
  </si>
  <si>
    <t>ESPLANADA</t>
  </si>
  <si>
    <t>COLEGIO ESTADUAL DE TEMPO INTEGRAL CELINA SARAIVA</t>
  </si>
  <si>
    <t>4098691105507736</t>
  </si>
  <si>
    <t>TERESA CRISTINA SILVA CAVALCANTE DOS SANTOS</t>
  </si>
  <si>
    <t>COLEGIO ESTADUAL DE INUBIA</t>
  </si>
  <si>
    <t>4098690007533428</t>
  </si>
  <si>
    <t>TERESA REGINA DOS SANTOS MATTOS</t>
  </si>
  <si>
    <t>CENTRAL</t>
  </si>
  <si>
    <t>COLEGIO ESTADUAL DE TEMPO INTEGRAL JOSE DE SOUZA MACHADO</t>
  </si>
  <si>
    <t>4098699003515008</t>
  </si>
  <si>
    <t>TEREZA CRISTINA PORTO DE CARVALHO</t>
  </si>
  <si>
    <t>CENTRO EST EDUC PROF GESTAO NEGOCIOS TURISMO LUIZ NAVARRO DE BRITO</t>
  </si>
  <si>
    <t>4098699003467390</t>
  </si>
  <si>
    <t>TEREZA CRISTINA REZENDE DA SILVA</t>
  </si>
  <si>
    <t>LIVRAMENTO DE NOSSA SENHORA</t>
  </si>
  <si>
    <t>COLEGIO ESTADUAL JOAO VILAS BOAS</t>
  </si>
  <si>
    <t>4098692239624728</t>
  </si>
  <si>
    <t>THIAGO AMARAL MARTINS</t>
  </si>
  <si>
    <t>00777867508</t>
  </si>
  <si>
    <t>IGAPORA</t>
  </si>
  <si>
    <t>COLEGIO ESTADUAL DE TEMPO INTEGRAL DE IGAPORA</t>
  </si>
  <si>
    <t>4098699003701574</t>
  </si>
  <si>
    <t>TIAGO ALENCAR DE AQUINO ALVES</t>
  </si>
  <si>
    <t>ITATIM</t>
  </si>
  <si>
    <t>COLEGIO ESTADUAL GEOVANIA NOGUEIRA NUNES</t>
  </si>
  <si>
    <t>4098699263772851</t>
  </si>
  <si>
    <t>TIAGO ALVES BARBOSA</t>
  </si>
  <si>
    <t>02849027561</t>
  </si>
  <si>
    <t>SAO JOSE DA VITORIA</t>
  </si>
  <si>
    <t>COLEGIO ESTADUAL 13 DE JUNHO</t>
  </si>
  <si>
    <t>4098690009728505</t>
  </si>
  <si>
    <t>TIAGO DOS SANTOS VIANA</t>
  </si>
  <si>
    <t>01284124533</t>
  </si>
  <si>
    <t>MALHADA</t>
  </si>
  <si>
    <t>COLEGIO ESTADUAL ROSALVO OLIVEIRA SOUZA</t>
  </si>
  <si>
    <t>4098690002617416</t>
  </si>
  <si>
    <t>TIAGO TEIXEIRA SOARES</t>
  </si>
  <si>
    <t>02207316599</t>
  </si>
  <si>
    <t>COLEGIO ESTADUAL DO CAMPO JOSE GONCALVES</t>
  </si>
  <si>
    <t>4098690003510685</t>
  </si>
  <si>
    <t>UILDIMA LIMA DO PRADO PEREIRA</t>
  </si>
  <si>
    <t>4098692280447987</t>
  </si>
  <si>
    <t>ULISSES MACEDO JUNIOR</t>
  </si>
  <si>
    <t>GENTIO DO OURO</t>
  </si>
  <si>
    <t>COLEGIO ESTADUAL MARIA QUITERIA</t>
  </si>
  <si>
    <t>4098695230962229</t>
  </si>
  <si>
    <t>UMBERTO GOMES LEITE</t>
  </si>
  <si>
    <t>COLEGIO ESTADUAL POLIVALENTE DE CAMACAN</t>
  </si>
  <si>
    <t>4098691108505638</t>
  </si>
  <si>
    <t>VAGNER GONCALVES VIANA</t>
  </si>
  <si>
    <t>VALDECI SILVA CARVALHO DE SANTANA</t>
  </si>
  <si>
    <t>NOVA ITARANA</t>
  </si>
  <si>
    <t>4098694668732287</t>
  </si>
  <si>
    <t>VALDECIO DE QUEIROZ ARAUJO</t>
  </si>
  <si>
    <t>COLEGIO ESTADUAL DO CAMPO DE BANDIACU</t>
  </si>
  <si>
    <t>4098690008730635</t>
  </si>
  <si>
    <t>VALDEMARA SOUZA DE OLIVEIRA COSTA</t>
  </si>
  <si>
    <t>COLEGIO ESTADUAL DE APLICACAO ANISIO TEIXEIRA</t>
  </si>
  <si>
    <t>4098699002708836</t>
  </si>
  <si>
    <t>VALDENICE CERQUEIRA ESTRELA DE SOUSA</t>
  </si>
  <si>
    <t>COLEGIO ESTADUAL ANDRELINA EUFRAZIA DE JESUS REIS</t>
  </si>
  <si>
    <t>4098699469957694</t>
  </si>
  <si>
    <t>VALDENILTON JOSE DOS SANTOS</t>
  </si>
  <si>
    <t>00774702575</t>
  </si>
  <si>
    <t>ESCOLA VISCONDE DE ITAPARICA</t>
  </si>
  <si>
    <t>4098690001075558</t>
  </si>
  <si>
    <t>VALDEZE ANTONIA SILVA E SILVA</t>
  </si>
  <si>
    <t>CANDIBA</t>
  </si>
  <si>
    <t>COLEGIO ESTADUAL ANTONIO BATISTA</t>
  </si>
  <si>
    <t>4098691100547661</t>
  </si>
  <si>
    <t>VALDIMIR PEREIRA REIS</t>
  </si>
  <si>
    <t>COTEGIPE</t>
  </si>
  <si>
    <t>COLEGIO ESTADUAL DE TEMPO INTEGRAL JOSE MARCELO SILVEIRA MARIANI</t>
  </si>
  <si>
    <t>4098694123357787</t>
  </si>
  <si>
    <t>VALDINEA MOREIRA NUNES</t>
  </si>
  <si>
    <t>COLEGIO ESTADUAL AGROVILA 08</t>
  </si>
  <si>
    <t>4098690002345992</t>
  </si>
  <si>
    <t>VALDIR PEREIRA ALVES</t>
  </si>
  <si>
    <t>03176915462</t>
  </si>
  <si>
    <t>SITIO DO QUINTO</t>
  </si>
  <si>
    <t>COLEGIO ESTADUAL DE TEMPO INTEGRAL JOAO FRANCISCO DA SILVA</t>
  </si>
  <si>
    <t>4098692234081593</t>
  </si>
  <si>
    <t>VALDIRENE PEREIRA DOS SANTOS</t>
  </si>
  <si>
    <t>03118004592</t>
  </si>
  <si>
    <t>COLEGIO ESTADUAL ARTUR DE SALES</t>
  </si>
  <si>
    <t>4098691108300519</t>
  </si>
  <si>
    <t>VALERIA SOUZA LIMA VILARONGA</t>
  </si>
  <si>
    <t>COLEGIO ESTADUAL ENEDINA OLIVA</t>
  </si>
  <si>
    <t>4098699002384554</t>
  </si>
  <si>
    <t>VALTER BRITO DA SILVA</t>
  </si>
  <si>
    <t>COLEGIO ESTADUAL PROFESSORA ELISABETH CHAVES VELOSO</t>
  </si>
  <si>
    <t>4098691104172417</t>
  </si>
  <si>
    <t>VANIA MARIA NASCIMENTO FONSECA DA GLORIA</t>
  </si>
  <si>
    <t>COLEGIO ESTADUAL DO CAMPO PADRE HENRIQUE ALVES BORGES</t>
  </si>
  <si>
    <t>4098699138903905</t>
  </si>
  <si>
    <t>VENICIUS BOMFIM PANTOJA</t>
  </si>
  <si>
    <t>CENTRO TERRITORIAL DE EDUCACAO PROFISSIONAL DO EXTREMO SUL</t>
  </si>
  <si>
    <t>4098691550549985</t>
  </si>
  <si>
    <t>VERA LUCIA DA SILVA</t>
  </si>
  <si>
    <t>PEDRAO</t>
  </si>
  <si>
    <t>COLEGIO ESTADUAL JOAO BENEVIDES NOGUEIRA</t>
  </si>
  <si>
    <t>4098699002635294</t>
  </si>
  <si>
    <t>VERA LUCIA DE ARAUJO SANTOS</t>
  </si>
  <si>
    <t>COLEGIO ESTADUAL UIRASSU DE ASSIS BATISTA</t>
  </si>
  <si>
    <t>4098690008382403</t>
  </si>
  <si>
    <t>VERALDIANA SILVA GUIMARAES</t>
  </si>
  <si>
    <t>JABORANDI</t>
  </si>
  <si>
    <t>COLEGIO ESTADUAL FRANCISCO MOREIRA ALVES</t>
  </si>
  <si>
    <t>4098699003584673</t>
  </si>
  <si>
    <t>VERALUZIA SANTOS CASTRO</t>
  </si>
  <si>
    <t>COLEGIO DA POLICIA MILITAR - CPM ANTONIO CARLOS MAGALHAES</t>
  </si>
  <si>
    <t>4098691550181441</t>
  </si>
  <si>
    <t>VERONICA ISABEL LODUVICO NASCIMENTO</t>
  </si>
  <si>
    <t>00348968566</t>
  </si>
  <si>
    <t>CENTRO ESTADUAL DE EDUCACAO PROFISSIONAL EM SAUDE ANISIO TEIXEIRA</t>
  </si>
  <si>
    <t>4098690008810916</t>
  </si>
  <si>
    <t>VERONICA LISBOA RAMOS</t>
  </si>
  <si>
    <t>ITAETE</t>
  </si>
  <si>
    <t>COLEGIO ESTADUAL DE TEMPO INTEGRAL JOSE AMERICO ARAUJO</t>
  </si>
  <si>
    <t>4098690006337243</t>
  </si>
  <si>
    <t>VINICIUS SANTOS NONATO</t>
  </si>
  <si>
    <t>05454440558</t>
  </si>
  <si>
    <t>ESCOLA DOS RODOVIARIOS</t>
  </si>
  <si>
    <t>4098699003529249</t>
  </si>
  <si>
    <t>VIRGINIA MARIA BRITO SANTOS</t>
  </si>
  <si>
    <t>COLEGIO ESTADUAL AMERICO SIMAS</t>
  </si>
  <si>
    <t>4098699002641755</t>
  </si>
  <si>
    <t>VIRGINIA ROCHA COSTA</t>
  </si>
  <si>
    <t>COLEGIO ESTADUAL POLIVALENTE DE CAMACARI</t>
  </si>
  <si>
    <t>4098690008507520</t>
  </si>
  <si>
    <t>VIVIANA OLIVEIRA MATEUS</t>
  </si>
  <si>
    <t>00889352569</t>
  </si>
  <si>
    <t>ESCOLA ESTADUAL PRESCILIANO SILVA</t>
  </si>
  <si>
    <t>4098693227682074</t>
  </si>
  <si>
    <t>VIVIANE CARLA BANDEIRA SANTOS</t>
  </si>
  <si>
    <t>4098699604236467</t>
  </si>
  <si>
    <t>VIVIANE DA GAMA SILVA</t>
  </si>
  <si>
    <t>01318125561</t>
  </si>
  <si>
    <t>ANTONIO GONCALVES</t>
  </si>
  <si>
    <t>COLEGIO ESTADUAL DE TEMPO INTEGRAL DE ANTONIO GONCALVES</t>
  </si>
  <si>
    <t>4098690002467598</t>
  </si>
  <si>
    <t>VIVIANNE LEAL POMBO OLIVEIRA</t>
  </si>
  <si>
    <t>00363824502</t>
  </si>
  <si>
    <t>COLEGIO ESTADUAL VERA LUX</t>
  </si>
  <si>
    <t>4098699003495144</t>
  </si>
  <si>
    <t>VLADIMIR DE CASTRO MORAES</t>
  </si>
  <si>
    <t>COLEGIO ESTADUAL OURO NEGRO</t>
  </si>
  <si>
    <t>4098699003156142</t>
  </si>
  <si>
    <t>WALDENILMA CARDOSO DE SANTANA DA SILVA</t>
  </si>
  <si>
    <t>CENTRO TERRITORIAL DE EDUCACAO PROFISSIONAL DE ITAPARICA</t>
  </si>
  <si>
    <t>4098690004789585</t>
  </si>
  <si>
    <t>WALLACE BEZERRA RIBEIRO</t>
  </si>
  <si>
    <t>4098692028115284</t>
  </si>
  <si>
    <t>WANIA IMBRAHIM ALVES GOMES</t>
  </si>
  <si>
    <t>COLEGIO ESTADUAL DO CAMPO DE IBIAJARA</t>
  </si>
  <si>
    <t>4098690005825677</t>
  </si>
  <si>
    <t>WASHINGTON LUIZ DE ARAUJO</t>
  </si>
  <si>
    <t>COLEGIO ESTADUAL PROFESSOR JORGE RODRIGUES DOS SANTOS</t>
  </si>
  <si>
    <t>4098690007828109</t>
  </si>
  <si>
    <t>WASHINGTON VINICIO MATOS DE SOUZA</t>
  </si>
  <si>
    <t>COLEGIO ESTADUAL DO CAMPO MAMEDIO BATISTA LOBAO</t>
  </si>
  <si>
    <t>4098697284469838</t>
  </si>
  <si>
    <t>WELDER CARDOSO OLIVEIRA</t>
  </si>
  <si>
    <t>06031583585</t>
  </si>
  <si>
    <t>COLEGIO ESTADUAL PIO ALVES DOS SANTOS</t>
  </si>
  <si>
    <t>4098699002269540</t>
  </si>
  <si>
    <t>WELLINGTON FRANCISCO DA SILVA</t>
  </si>
  <si>
    <t>00266712550</t>
  </si>
  <si>
    <t>COLEGIO ESTADUAL DE TEMPO INTEGRAL PROFESSORA KELLY MAGALHAES</t>
  </si>
  <si>
    <t>4098691102700813</t>
  </si>
  <si>
    <t>WELLINGTON MATOS PEREIRA</t>
  </si>
  <si>
    <t>02606317521</t>
  </si>
  <si>
    <t>COMPLEXO INTEGRADO DE EDUC BASICA PROFIS E TECNOLOGICA DE PORTO SEGURO</t>
  </si>
  <si>
    <t>4098693225043857</t>
  </si>
  <si>
    <t>WELLINGTON SALGADO RODRIGUES</t>
  </si>
  <si>
    <t>02797819624</t>
  </si>
  <si>
    <t>CALDEIRAO GRANDE</t>
  </si>
  <si>
    <t>COLEGIO ESTADUAL DO CAMPO ROMULO GALVAO</t>
  </si>
  <si>
    <t>4098695230894547</t>
  </si>
  <si>
    <t>WELLITON SANTOS REIS</t>
  </si>
  <si>
    <t>04105574558</t>
  </si>
  <si>
    <t>COLEGIO ESTADUAL HELENA MAGALHAES</t>
  </si>
  <si>
    <t>4098690003457697</t>
  </si>
  <si>
    <t>WENDEL COSTA DA SILVA</t>
  </si>
  <si>
    <t>WILLIAMS PANFILE SANTOS BRANDAO</t>
  </si>
  <si>
    <t>COLEGIO ESTADUAL DE TEMPO INTEGRAL TEODORO SAMPAIO</t>
  </si>
  <si>
    <t>4098691388014764</t>
  </si>
  <si>
    <t>WILLIANA NEPOMUCENO SINVAL</t>
  </si>
  <si>
    <t>4098699003529108</t>
  </si>
  <si>
    <t>WILSON SANTOS DE SANTANA</t>
  </si>
  <si>
    <t>COLEGIO ESTADUAL DURVALINA CARNEIRO</t>
  </si>
  <si>
    <t>4098691104314134</t>
  </si>
  <si>
    <t>YANEZ MARCELO DE CERQUEIRA FREITAS</t>
  </si>
  <si>
    <t>PALMEIRAS</t>
  </si>
  <si>
    <t>COLEGIO ESTADUAL PROFESSORA NILDE MARIA MONTEIRO XAVIER</t>
  </si>
  <si>
    <t>4098690001091142</t>
  </si>
  <si>
    <t>YARA PEREIRA GONCALVES</t>
  </si>
  <si>
    <t>ZENAIDE BATISTA DE SOUZA</t>
  </si>
  <si>
    <t>COLEGIO ESTADUAL LUCIANO PASSOS</t>
  </si>
  <si>
    <t>4098691103640216</t>
  </si>
  <si>
    <t>ZENAIDE DA SILVA OLIVEIRA</t>
  </si>
  <si>
    <t>CATURAMA</t>
  </si>
  <si>
    <t>4098691103243904</t>
  </si>
  <si>
    <t>ZULEIDE ABREU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</si>
</sst>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111214"/>
      <name val="BancoDoBrasilTextos-Medium"/>
    </font>
    <font>
      <b/>
      <sz val="9"/>
      <color theme="0"/>
      <name val="BancoDoBrasilTextos-Medium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" fontId="4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9" fontId="4" fillId="4" borderId="2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" fontId="0" fillId="0" borderId="0" xfId="0" applyNumberFormat="1"/>
    <xf numFmtId="9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2">
    <dxf>
      <font>
        <color theme="0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/CE/CDF/REPASSE%20DE%20RECURSOS%202025/RETORNOS_REMESSA_CART&#195;O_PNAE_FAED%202025/CONSULTA%20CARTAO%20PNAE%20RETRONO%20439%20PNAE%20e%20FAED%20-%20JAN%20&#224;%20DEZ%20-%20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ORNO 439"/>
      <sheetName val="CPF"/>
      <sheetName val="Planilha1"/>
      <sheetName val="DIRETORES NTE"/>
      <sheetName val="FAED RESUMO"/>
      <sheetName val="FAED MANUT3"/>
      <sheetName val="PNAE RESUMO"/>
      <sheetName val="zerar pnae"/>
      <sheetName val="zerar faed"/>
      <sheetName val="Consultar Sistema Escolar"/>
      <sheetName val="Planilha3"/>
      <sheetName val="Plan atualizada aptas e desativ"/>
      <sheetName val="RELATORIO PNAE"/>
      <sheetName val="RELATORIO FAED"/>
      <sheetName val="RELATORIO MANUTENCAO"/>
    </sheetNames>
    <sheetDataSet>
      <sheetData sheetId="0"/>
      <sheetData sheetId="1"/>
      <sheetData sheetId="2"/>
      <sheetData sheetId="3">
        <row r="5">
          <cell r="E5" t="str">
            <v>FABRIZIA PIRES DE OLIVEIRA (DIRETOR DE NTE)</v>
          </cell>
          <cell r="H5">
            <v>81425821553</v>
          </cell>
        </row>
        <row r="6">
          <cell r="E6" t="str">
            <v>ALINE D OLIVEIRA LOPES (DIRETOR DE NTE)</v>
          </cell>
          <cell r="H6">
            <v>79922880504</v>
          </cell>
        </row>
        <row r="7">
          <cell r="E7" t="str">
            <v>ELIZABETE GONCALVES DE SOUZA (DIRETOR DE NTE)</v>
          </cell>
          <cell r="H7">
            <v>42139805534</v>
          </cell>
        </row>
        <row r="8">
          <cell r="E8" t="str">
            <v>ANALENE FERREIRA DA SILVA (DIRETOR DE NTE)</v>
          </cell>
          <cell r="H8">
            <v>39807800587</v>
          </cell>
        </row>
        <row r="9">
          <cell r="E9" t="str">
            <v>LARISSA COSTA MELO (DIRETOR DE NTE)</v>
          </cell>
          <cell r="H9" t="str">
            <v>02571653555</v>
          </cell>
        </row>
        <row r="10">
          <cell r="E10" t="str">
            <v>JOSELIA MARIA DOS SANTOS (DIRETOR DE NTE)</v>
          </cell>
          <cell r="H10">
            <v>49926799515</v>
          </cell>
        </row>
        <row r="11">
          <cell r="E11" t="str">
            <v>MARIA DIAS ASSUNCAO (DIRETOR DE NTE)</v>
          </cell>
          <cell r="H11">
            <v>68618913553</v>
          </cell>
        </row>
        <row r="12">
          <cell r="E12" t="str">
            <v>CARLOS EDUARDO CRUZ CARDOSO (DIRETOR DE NTE)</v>
          </cell>
          <cell r="H12">
            <v>88015262534</v>
          </cell>
        </row>
        <row r="13">
          <cell r="E13" t="str">
            <v>WILLIAMS PANFILE SANTOS BRANDAO (DIRETOR DE NTE)</v>
          </cell>
          <cell r="H13">
            <v>86231138534</v>
          </cell>
        </row>
        <row r="14">
          <cell r="E14" t="str">
            <v>REGIVALDO ALVES DE MENEZES (DIRETOR DE NTE)</v>
          </cell>
          <cell r="H14">
            <v>68062737420</v>
          </cell>
        </row>
        <row r="15">
          <cell r="E15" t="str">
            <v>IZOLDA LEITE PEREIRA MAIA (DIRETOR DE NTE)</v>
          </cell>
          <cell r="H15">
            <v>20359039553</v>
          </cell>
        </row>
        <row r="16">
          <cell r="E16" t="str">
            <v>FLORDENICE REGO PEREIRA OLIVEIRA COSTA (DIRETOR DE NTE)</v>
          </cell>
          <cell r="H16">
            <v>56986432534</v>
          </cell>
        </row>
        <row r="17">
          <cell r="E17" t="str">
            <v>RAMON DUTRA LOBO (DIRETOR DE NTE)</v>
          </cell>
          <cell r="H17">
            <v>60958979634</v>
          </cell>
        </row>
        <row r="18">
          <cell r="E18" t="str">
            <v>VALDECI SILVA CARVALHO DE SANTANA (DIRETOR DE NTE)</v>
          </cell>
          <cell r="H18">
            <v>44392478572</v>
          </cell>
        </row>
        <row r="19">
          <cell r="E19" t="str">
            <v>NIVEA MARIA GOMES ARAUJO (DIRETOR DE NTE)</v>
          </cell>
          <cell r="H19">
            <v>68835914515</v>
          </cell>
        </row>
        <row r="20">
          <cell r="E20" t="str">
            <v>NAZARE DOS SANTOS COSTA ALVES (DIRETOR DE NTE)</v>
          </cell>
          <cell r="H20">
            <v>49241877553</v>
          </cell>
        </row>
        <row r="21">
          <cell r="E21" t="str">
            <v>DEUSDETE GOMES DE ALMEIDA JUNIOR (DIRETOR DE NTE)</v>
          </cell>
          <cell r="H21">
            <v>78828350563</v>
          </cell>
        </row>
        <row r="22">
          <cell r="E22" t="str">
            <v>MARLENE VIRGENS PIMENTEL AZEVEDO (DIRETOR DE NTE)</v>
          </cell>
          <cell r="H22">
            <v>72530723591</v>
          </cell>
        </row>
        <row r="23">
          <cell r="E23" t="str">
            <v>MURILO JOSE RIBEIRO CERQUEIRA (DIRETOR DE NTE)</v>
          </cell>
          <cell r="H23" t="str">
            <v>00040786595</v>
          </cell>
        </row>
        <row r="24">
          <cell r="E24" t="str">
            <v>LENIRA MARIA DE FIGUEIREDO SOUZA (DIRETOR DE NTE)</v>
          </cell>
          <cell r="H24">
            <v>45665818534</v>
          </cell>
        </row>
        <row r="25">
          <cell r="E25" t="str">
            <v>LILIA CRISTINA PEIXOTO DOS SANTOS SOUSA (DIRETOR DE NTE)</v>
          </cell>
          <cell r="H25">
            <v>40984761500</v>
          </cell>
        </row>
        <row r="26">
          <cell r="E26" t="str">
            <v>SILVANA PEREIRA SANTOS (DIRETOR DE NTE)</v>
          </cell>
          <cell r="H26">
            <v>65527720504</v>
          </cell>
        </row>
        <row r="27">
          <cell r="E27" t="str">
            <v>MONICA DA SILVA CARMO (DIRETOR DE NTE)</v>
          </cell>
          <cell r="H27" t="str">
            <v>03869622512</v>
          </cell>
        </row>
        <row r="28">
          <cell r="E28" t="str">
            <v>MARCOS ANTONIO QUEIROZ PIRES (DIRETOR DE NTE)</v>
          </cell>
          <cell r="H28">
            <v>44255314500</v>
          </cell>
        </row>
        <row r="29">
          <cell r="E29" t="str">
            <v>HELDER LUIZ AMORIM BARBOSA (DIRETOR DE NTE)</v>
          </cell>
          <cell r="H29">
            <v>49545248572</v>
          </cell>
        </row>
        <row r="30">
          <cell r="E30" t="str">
            <v>MARIA DE FATIMA COSTA (DIRETOR DE NTE)</v>
          </cell>
          <cell r="H30">
            <v>25411330572</v>
          </cell>
        </row>
        <row r="31">
          <cell r="E31" t="str">
            <v>EVELIN LOURENA MOURA (DIRETOR DE NTE)</v>
          </cell>
          <cell r="H31" t="str">
            <v>03405334551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O2115"/>
  <sheetViews>
    <sheetView tabSelected="1" zoomScale="85" zoomScaleNormal="85" workbookViewId="0">
      <pane ySplit="2" topLeftCell="A3" activePane="bottomLeft" state="frozen"/>
      <selection pane="bottomLeft" sqref="A1:P1"/>
    </sheetView>
  </sheetViews>
  <sheetFormatPr defaultRowHeight="15" x14ac:dyDescent="0.25"/>
  <cols>
    <col min="1" max="1" width="7.5703125" style="10" customWidth="1"/>
    <col min="2" max="2" width="14" style="11" bestFit="1" customWidth="1"/>
    <col min="3" max="3" width="35.140625" customWidth="1"/>
    <col min="4" max="4" width="14.140625" style="10" customWidth="1"/>
    <col min="5" max="5" width="21.28515625" style="10" customWidth="1"/>
    <col min="6" max="6" width="89" style="16" customWidth="1"/>
    <col min="7" max="7" width="19.28515625" style="17" customWidth="1"/>
    <col min="8" max="8" width="52" bestFit="1" customWidth="1"/>
    <col min="9" max="9" width="21.28515625" style="10" customWidth="1"/>
    <col min="10" max="10" width="21.42578125" style="14" customWidth="1"/>
    <col min="11" max="11" width="17.5703125" style="14" customWidth="1"/>
    <col min="12" max="12" width="28" style="10" customWidth="1"/>
    <col min="13" max="13" width="39.7109375" customWidth="1"/>
    <col min="14" max="14" width="15.5703125" style="15" customWidth="1"/>
    <col min="15" max="15" width="35.85546875" customWidth="1"/>
  </cols>
  <sheetData>
    <row r="1" spans="1:15" ht="4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7.75" customHeight="1" x14ac:dyDescent="0.25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5" t="s">
        <v>9</v>
      </c>
      <c r="J2" s="6" t="s">
        <v>10</v>
      </c>
      <c r="K2" s="6" t="s">
        <v>11</v>
      </c>
      <c r="L2" s="5" t="s">
        <v>12</v>
      </c>
      <c r="M2" s="7" t="s">
        <v>13</v>
      </c>
      <c r="N2" s="8" t="s">
        <v>14</v>
      </c>
      <c r="O2" s="9" t="s">
        <v>15</v>
      </c>
    </row>
    <row r="3" spans="1:15" x14ac:dyDescent="0.25">
      <c r="A3" s="10">
        <v>1</v>
      </c>
      <c r="B3" s="11">
        <v>10</v>
      </c>
      <c r="C3" s="11" t="s">
        <v>16</v>
      </c>
      <c r="D3" s="11">
        <v>1179111</v>
      </c>
      <c r="E3" s="11">
        <v>29456509</v>
      </c>
      <c r="F3" s="12" t="s">
        <v>17</v>
      </c>
      <c r="G3" s="11" t="s">
        <v>18</v>
      </c>
      <c r="H3" t="s">
        <v>19</v>
      </c>
      <c r="I3" s="13" t="s">
        <v>20</v>
      </c>
      <c r="J3" s="14">
        <v>12917</v>
      </c>
      <c r="K3" s="14">
        <v>12917</v>
      </c>
      <c r="L3" s="10" t="s">
        <v>21</v>
      </c>
      <c r="M3" s="14">
        <v>0</v>
      </c>
      <c r="N3" s="15">
        <v>0</v>
      </c>
      <c r="O3" t="str">
        <f>IFERROR(VLOOKUP($I3,CHOOSE({1,2},'[1]DIRETORES NTE'!$H$5:$H$31,'[1]DIRETORES NTE'!$E$5:$E$31,),2,0),"-")</f>
        <v>-</v>
      </c>
    </row>
    <row r="4" spans="1:15" x14ac:dyDescent="0.25">
      <c r="A4" s="10">
        <v>2</v>
      </c>
      <c r="B4" s="11">
        <v>20</v>
      </c>
      <c r="C4" s="11" t="s">
        <v>22</v>
      </c>
      <c r="D4" s="11">
        <v>1165722</v>
      </c>
      <c r="E4" s="11">
        <v>29270570</v>
      </c>
      <c r="F4" s="12" t="s">
        <v>23</v>
      </c>
      <c r="G4" s="11" t="s">
        <v>24</v>
      </c>
      <c r="H4" t="s">
        <v>25</v>
      </c>
      <c r="I4" s="13" t="s">
        <v>26</v>
      </c>
      <c r="J4" s="14">
        <v>10203</v>
      </c>
      <c r="K4" s="14">
        <v>10203</v>
      </c>
      <c r="L4" s="10" t="s">
        <v>27</v>
      </c>
      <c r="M4" s="14">
        <v>0</v>
      </c>
      <c r="N4" s="15">
        <v>0</v>
      </c>
      <c r="O4" t="str">
        <f>IFERROR(VLOOKUP($I4,CHOOSE({1,2},'[1]DIRETORES NTE'!$H$5:$H$31,'[1]DIRETORES NTE'!$E$5:$E$31,),2,0),"-")</f>
        <v>-</v>
      </c>
    </row>
    <row r="5" spans="1:15" x14ac:dyDescent="0.25">
      <c r="A5" s="10">
        <v>3</v>
      </c>
      <c r="B5" s="11">
        <v>13</v>
      </c>
      <c r="C5" s="11" t="s">
        <v>28</v>
      </c>
      <c r="D5" s="11">
        <v>1177101</v>
      </c>
      <c r="E5" s="11">
        <v>29422167</v>
      </c>
      <c r="F5" s="12" t="s">
        <v>29</v>
      </c>
      <c r="G5" s="11" t="s">
        <v>30</v>
      </c>
      <c r="H5" t="s">
        <v>31</v>
      </c>
      <c r="I5" s="13" t="s">
        <v>32</v>
      </c>
      <c r="J5" s="14">
        <v>8750</v>
      </c>
      <c r="K5" s="14">
        <v>8750</v>
      </c>
      <c r="L5" s="10" t="s">
        <v>33</v>
      </c>
      <c r="M5" s="14">
        <v>0</v>
      </c>
      <c r="N5" s="15">
        <v>0</v>
      </c>
      <c r="O5" t="str">
        <f>IFERROR(VLOOKUP($I5,CHOOSE({1,2},'[1]DIRETORES NTE'!$H$5:$H$31,'[1]DIRETORES NTE'!$E$5:$E$31,),2,0),"-")</f>
        <v>-</v>
      </c>
    </row>
    <row r="6" spans="1:15" x14ac:dyDescent="0.25">
      <c r="A6" s="10">
        <v>4</v>
      </c>
      <c r="B6" s="11">
        <v>11</v>
      </c>
      <c r="C6" s="11" t="s">
        <v>34</v>
      </c>
      <c r="D6" s="11">
        <v>1179377</v>
      </c>
      <c r="E6" s="11">
        <v>29464765</v>
      </c>
      <c r="F6" s="12" t="s">
        <v>35</v>
      </c>
      <c r="G6" s="11" t="s">
        <v>36</v>
      </c>
      <c r="H6" t="s">
        <v>37</v>
      </c>
      <c r="I6" s="13" t="s">
        <v>38</v>
      </c>
      <c r="J6" s="14">
        <v>2939</v>
      </c>
      <c r="K6" s="14">
        <v>2939</v>
      </c>
      <c r="L6" s="10" t="s">
        <v>39</v>
      </c>
      <c r="M6" s="14">
        <v>0</v>
      </c>
      <c r="N6" s="15">
        <v>0</v>
      </c>
      <c r="O6" t="str">
        <f>IFERROR(VLOOKUP($I6,CHOOSE({1,2},'[1]DIRETORES NTE'!$H$5:$H$31,'[1]DIRETORES NTE'!$E$5:$E$31,),2,0),"-")</f>
        <v>-</v>
      </c>
    </row>
    <row r="7" spans="1:15" x14ac:dyDescent="0.25">
      <c r="A7" s="10">
        <v>5</v>
      </c>
      <c r="B7" s="11">
        <v>5</v>
      </c>
      <c r="C7" s="11" t="s">
        <v>40</v>
      </c>
      <c r="D7" s="11">
        <v>1176675</v>
      </c>
      <c r="E7" s="11">
        <v>29406889</v>
      </c>
      <c r="F7" s="12" t="s">
        <v>41</v>
      </c>
      <c r="G7" s="11" t="s">
        <v>42</v>
      </c>
      <c r="H7" t="s">
        <v>43</v>
      </c>
      <c r="I7" s="13">
        <v>98591576500</v>
      </c>
      <c r="J7" s="14">
        <v>7243</v>
      </c>
      <c r="K7" s="14">
        <v>7243</v>
      </c>
      <c r="L7" s="10" t="s">
        <v>44</v>
      </c>
      <c r="M7" s="14">
        <v>0</v>
      </c>
      <c r="N7" s="15">
        <v>0</v>
      </c>
      <c r="O7" t="str">
        <f>IFERROR(VLOOKUP($I7,CHOOSE({1,2},'[1]DIRETORES NTE'!$H$5:$H$31,'[1]DIRETORES NTE'!$E$5:$E$31,),2,0),"-")</f>
        <v>-</v>
      </c>
    </row>
    <row r="8" spans="1:15" x14ac:dyDescent="0.25">
      <c r="A8" s="10">
        <v>6</v>
      </c>
      <c r="B8" s="11">
        <v>6</v>
      </c>
      <c r="C8" s="11" t="s">
        <v>45</v>
      </c>
      <c r="D8" s="11">
        <v>1179311</v>
      </c>
      <c r="E8" s="11">
        <v>29460646</v>
      </c>
      <c r="F8" s="12" t="s">
        <v>46</v>
      </c>
      <c r="G8" s="11" t="s">
        <v>47</v>
      </c>
      <c r="H8" t="s">
        <v>48</v>
      </c>
      <c r="I8" s="13">
        <v>95881425553</v>
      </c>
      <c r="J8" s="14">
        <v>1556</v>
      </c>
      <c r="K8" s="14">
        <v>1556</v>
      </c>
      <c r="L8" s="10" t="s">
        <v>49</v>
      </c>
      <c r="M8" s="14">
        <v>0</v>
      </c>
      <c r="N8" s="15">
        <v>0</v>
      </c>
      <c r="O8" t="str">
        <f>IFERROR(VLOOKUP($I8,CHOOSE({1,2},'[1]DIRETORES NTE'!$H$5:$H$31,'[1]DIRETORES NTE'!$E$5:$E$31,),2,0),"-")</f>
        <v>-</v>
      </c>
    </row>
    <row r="9" spans="1:15" x14ac:dyDescent="0.25">
      <c r="A9" s="10">
        <v>7</v>
      </c>
      <c r="B9" s="11">
        <v>20</v>
      </c>
      <c r="C9" s="11" t="s">
        <v>50</v>
      </c>
      <c r="D9" s="11">
        <v>1125992</v>
      </c>
      <c r="E9" s="11">
        <v>29279887</v>
      </c>
      <c r="F9" s="12" t="s">
        <v>51</v>
      </c>
      <c r="G9" s="11" t="s">
        <v>52</v>
      </c>
      <c r="H9" t="s">
        <v>53</v>
      </c>
      <c r="I9" s="13">
        <v>78970989587</v>
      </c>
      <c r="J9" s="14">
        <v>42436</v>
      </c>
      <c r="K9" s="14">
        <v>42436</v>
      </c>
      <c r="L9" s="10" t="s">
        <v>27</v>
      </c>
      <c r="M9" s="14">
        <v>0</v>
      </c>
      <c r="N9" s="15">
        <v>0</v>
      </c>
      <c r="O9" t="str">
        <f>IFERROR(VLOOKUP($I9,CHOOSE({1,2},'[1]DIRETORES NTE'!$H$5:$H$31,'[1]DIRETORES NTE'!$E$5:$E$31,),2,0),"-")</f>
        <v>-</v>
      </c>
    </row>
    <row r="10" spans="1:15" x14ac:dyDescent="0.25">
      <c r="A10" s="10">
        <v>8</v>
      </c>
      <c r="B10" s="11">
        <v>4</v>
      </c>
      <c r="C10" s="11" t="s">
        <v>54</v>
      </c>
      <c r="D10" s="11">
        <v>1179117</v>
      </c>
      <c r="E10" s="11">
        <v>29399238</v>
      </c>
      <c r="F10" s="12" t="s">
        <v>55</v>
      </c>
      <c r="G10" s="11" t="s">
        <v>56</v>
      </c>
      <c r="H10" t="s">
        <v>57</v>
      </c>
      <c r="I10" s="13">
        <v>73251402587</v>
      </c>
      <c r="J10" s="14">
        <v>7677</v>
      </c>
      <c r="K10" s="14">
        <v>7677</v>
      </c>
      <c r="L10" s="10" t="s">
        <v>58</v>
      </c>
      <c r="M10" s="14">
        <v>0</v>
      </c>
      <c r="N10" s="15">
        <v>0</v>
      </c>
      <c r="O10" t="str">
        <f>IFERROR(VLOOKUP($I10,CHOOSE({1,2},'[1]DIRETORES NTE'!$H$5:$H$31,'[1]DIRETORES NTE'!$E$5:$E$31,),2,0),"-")</f>
        <v>-</v>
      </c>
    </row>
    <row r="11" spans="1:15" x14ac:dyDescent="0.25">
      <c r="A11" s="10">
        <v>9</v>
      </c>
      <c r="B11" s="11">
        <v>21</v>
      </c>
      <c r="C11" s="11" t="s">
        <v>59</v>
      </c>
      <c r="D11" s="11">
        <v>1178030</v>
      </c>
      <c r="E11" s="11">
        <v>29174805</v>
      </c>
      <c r="F11" s="12" t="s">
        <v>60</v>
      </c>
      <c r="G11" s="11" t="s">
        <v>61</v>
      </c>
      <c r="H11" t="s">
        <v>62</v>
      </c>
      <c r="I11" s="13">
        <v>95257217520</v>
      </c>
      <c r="J11" s="14">
        <v>4999</v>
      </c>
      <c r="K11" s="14">
        <v>4999</v>
      </c>
      <c r="L11" s="10" t="s">
        <v>63</v>
      </c>
      <c r="M11" s="14">
        <v>0</v>
      </c>
      <c r="N11" s="15">
        <v>0</v>
      </c>
      <c r="O11" t="str">
        <f>IFERROR(VLOOKUP($I11,CHOOSE({1,2},'[1]DIRETORES NTE'!$H$5:$H$31,'[1]DIRETORES NTE'!$E$5:$E$31,),2,0),"-")</f>
        <v>-</v>
      </c>
    </row>
    <row r="12" spans="1:15" x14ac:dyDescent="0.25">
      <c r="A12" s="10">
        <v>10</v>
      </c>
      <c r="B12" s="11">
        <v>18</v>
      </c>
      <c r="C12" s="11" t="s">
        <v>64</v>
      </c>
      <c r="D12" s="11">
        <v>1176465</v>
      </c>
      <c r="E12" s="11">
        <v>29395712</v>
      </c>
      <c r="F12" s="12" t="s">
        <v>65</v>
      </c>
      <c r="G12" s="11" t="s">
        <v>66</v>
      </c>
      <c r="H12" t="s">
        <v>67</v>
      </c>
      <c r="I12" s="13">
        <v>21749540525</v>
      </c>
      <c r="J12" s="14">
        <v>6259</v>
      </c>
      <c r="K12" s="14">
        <v>6259</v>
      </c>
      <c r="L12" s="10" t="s">
        <v>68</v>
      </c>
      <c r="M12" s="14">
        <v>0</v>
      </c>
      <c r="N12" s="15">
        <v>0</v>
      </c>
      <c r="O12" t="str">
        <f>IFERROR(VLOOKUP($I12,CHOOSE({1,2},'[1]DIRETORES NTE'!$H$5:$H$31,'[1]DIRETORES NTE'!$E$5:$E$31,),2,0),"-")</f>
        <v>-</v>
      </c>
    </row>
    <row r="13" spans="1:15" x14ac:dyDescent="0.25">
      <c r="A13" s="10">
        <v>11</v>
      </c>
      <c r="B13" s="11">
        <v>16</v>
      </c>
      <c r="C13" s="11" t="s">
        <v>69</v>
      </c>
      <c r="D13" s="11">
        <v>1178027</v>
      </c>
      <c r="E13" s="11">
        <v>29068320</v>
      </c>
      <c r="F13" s="12" t="s">
        <v>70</v>
      </c>
      <c r="G13" s="11" t="s">
        <v>71</v>
      </c>
      <c r="H13" t="s">
        <v>72</v>
      </c>
      <c r="I13" s="13" t="s">
        <v>73</v>
      </c>
      <c r="J13" s="14">
        <v>7922</v>
      </c>
      <c r="K13" s="14">
        <v>7922</v>
      </c>
      <c r="L13" s="10" t="s">
        <v>74</v>
      </c>
      <c r="M13" s="14">
        <v>0</v>
      </c>
      <c r="N13" s="15">
        <v>0</v>
      </c>
      <c r="O13" t="str">
        <f>IFERROR(VLOOKUP($I13,CHOOSE({1,2},'[1]DIRETORES NTE'!$H$5:$H$31,'[1]DIRETORES NTE'!$E$5:$E$31,),2,0),"-")</f>
        <v>-</v>
      </c>
    </row>
    <row r="14" spans="1:15" x14ac:dyDescent="0.25">
      <c r="A14" s="10">
        <v>12</v>
      </c>
      <c r="B14" s="11">
        <v>25</v>
      </c>
      <c r="C14" s="11" t="s">
        <v>75</v>
      </c>
      <c r="D14" s="11">
        <v>1176700</v>
      </c>
      <c r="E14" s="11">
        <v>29419468</v>
      </c>
      <c r="F14" s="12" t="s">
        <v>76</v>
      </c>
      <c r="G14" s="11" t="s">
        <v>77</v>
      </c>
      <c r="H14" t="s">
        <v>78</v>
      </c>
      <c r="I14" s="13" t="s">
        <v>79</v>
      </c>
      <c r="J14" s="14">
        <v>15978</v>
      </c>
      <c r="K14" s="14">
        <v>15978</v>
      </c>
      <c r="L14" s="10" t="s">
        <v>80</v>
      </c>
      <c r="M14" s="14">
        <v>0</v>
      </c>
      <c r="N14" s="15">
        <v>0</v>
      </c>
      <c r="O14" t="str">
        <f>IFERROR(VLOOKUP($I14,CHOOSE({1,2},'[1]DIRETORES NTE'!$H$5:$H$31,'[1]DIRETORES NTE'!$E$5:$E$31,),2,0),"-")</f>
        <v>-</v>
      </c>
    </row>
    <row r="15" spans="1:15" x14ac:dyDescent="0.25">
      <c r="A15" s="10">
        <v>13</v>
      </c>
      <c r="B15" s="11">
        <v>6</v>
      </c>
      <c r="C15" s="11" t="s">
        <v>81</v>
      </c>
      <c r="D15" s="11">
        <v>1109814</v>
      </c>
      <c r="E15" s="11">
        <v>29298954</v>
      </c>
      <c r="F15" s="12" t="s">
        <v>82</v>
      </c>
      <c r="G15" s="11" t="s">
        <v>83</v>
      </c>
      <c r="H15" t="s">
        <v>84</v>
      </c>
      <c r="I15" s="13" t="s">
        <v>85</v>
      </c>
      <c r="J15" s="14">
        <v>19850</v>
      </c>
      <c r="K15" s="14">
        <v>19850</v>
      </c>
      <c r="L15" s="10" t="s">
        <v>49</v>
      </c>
      <c r="M15" s="14">
        <v>0</v>
      </c>
      <c r="N15" s="15">
        <v>0</v>
      </c>
      <c r="O15" t="str">
        <f>IFERROR(VLOOKUP($I15,CHOOSE({1,2},'[1]DIRETORES NTE'!$H$5:$H$31,'[1]DIRETORES NTE'!$E$5:$E$31,),2,0),"-")</f>
        <v>-</v>
      </c>
    </row>
    <row r="16" spans="1:15" x14ac:dyDescent="0.25">
      <c r="A16" s="10">
        <v>14</v>
      </c>
      <c r="B16" s="11">
        <v>12</v>
      </c>
      <c r="C16" s="11" t="s">
        <v>86</v>
      </c>
      <c r="D16" s="11">
        <v>1128088</v>
      </c>
      <c r="E16" s="11">
        <v>29209439</v>
      </c>
      <c r="F16" s="12" t="s">
        <v>87</v>
      </c>
      <c r="G16" s="11" t="s">
        <v>88</v>
      </c>
      <c r="H16" t="s">
        <v>89</v>
      </c>
      <c r="I16" s="13">
        <v>43985874549</v>
      </c>
      <c r="J16" s="14">
        <v>3212</v>
      </c>
      <c r="K16" s="14">
        <v>1139.6199999999999</v>
      </c>
      <c r="L16" s="10" t="s">
        <v>90</v>
      </c>
      <c r="M16" s="14">
        <v>2072.38</v>
      </c>
      <c r="N16" s="15">
        <v>0.64519925280199253</v>
      </c>
      <c r="O16" t="str">
        <f>IFERROR(VLOOKUP($I16,CHOOSE({1,2},'[1]DIRETORES NTE'!$H$5:$H$31,'[1]DIRETORES NTE'!$E$5:$E$31,),2,0),"-")</f>
        <v>-</v>
      </c>
    </row>
    <row r="17" spans="1:15" x14ac:dyDescent="0.25">
      <c r="A17" s="10">
        <v>15</v>
      </c>
      <c r="B17" s="11">
        <v>5</v>
      </c>
      <c r="C17" s="11" t="s">
        <v>91</v>
      </c>
      <c r="D17" s="11">
        <v>1178112</v>
      </c>
      <c r="E17" s="11">
        <v>29434017</v>
      </c>
      <c r="F17" s="12" t="s">
        <v>92</v>
      </c>
      <c r="G17" s="11" t="s">
        <v>93</v>
      </c>
      <c r="H17" t="s">
        <v>94</v>
      </c>
      <c r="I17" s="13">
        <v>62431544591</v>
      </c>
      <c r="J17" s="14">
        <v>7989</v>
      </c>
      <c r="K17" s="14">
        <v>7989</v>
      </c>
      <c r="L17" s="10" t="s">
        <v>44</v>
      </c>
      <c r="M17" s="14">
        <v>0</v>
      </c>
      <c r="N17" s="15">
        <v>0</v>
      </c>
      <c r="O17" t="str">
        <f>IFERROR(VLOOKUP($I17,CHOOSE({1,2},'[1]DIRETORES NTE'!$H$5:$H$31,'[1]DIRETORES NTE'!$E$5:$E$31,),2,0),"-")</f>
        <v>-</v>
      </c>
    </row>
    <row r="18" spans="1:15" x14ac:dyDescent="0.25">
      <c r="A18" s="10">
        <v>16</v>
      </c>
      <c r="B18" s="11">
        <v>26</v>
      </c>
      <c r="C18" s="11" t="s">
        <v>95</v>
      </c>
      <c r="D18" s="11">
        <v>1100400</v>
      </c>
      <c r="E18" s="11">
        <v>29182689</v>
      </c>
      <c r="F18" s="12" t="s">
        <v>96</v>
      </c>
      <c r="G18" s="11" t="s">
        <v>97</v>
      </c>
      <c r="H18" t="s">
        <v>98</v>
      </c>
      <c r="I18" s="13">
        <v>90443691568</v>
      </c>
      <c r="J18" s="14">
        <v>28215</v>
      </c>
      <c r="K18" s="14">
        <v>28215</v>
      </c>
      <c r="L18" s="10" t="s">
        <v>99</v>
      </c>
      <c r="M18" s="14">
        <v>0</v>
      </c>
      <c r="N18" s="15">
        <v>0</v>
      </c>
      <c r="O18" t="str">
        <f>IFERROR(VLOOKUP($I18,CHOOSE({1,2},'[1]DIRETORES NTE'!$H$5:$H$31,'[1]DIRETORES NTE'!$E$5:$E$31,),2,0),"-")</f>
        <v>-</v>
      </c>
    </row>
    <row r="19" spans="1:15" x14ac:dyDescent="0.25">
      <c r="A19" s="10">
        <v>17</v>
      </c>
      <c r="B19" s="11">
        <v>2</v>
      </c>
      <c r="C19" s="11" t="s">
        <v>100</v>
      </c>
      <c r="D19" s="11">
        <v>1179304</v>
      </c>
      <c r="E19" s="11">
        <v>29460794</v>
      </c>
      <c r="F19" s="12" t="s">
        <v>101</v>
      </c>
      <c r="G19" s="11" t="s">
        <v>102</v>
      </c>
      <c r="H19" t="s">
        <v>103</v>
      </c>
      <c r="I19" s="13" t="s">
        <v>104</v>
      </c>
      <c r="J19" s="14">
        <v>1510</v>
      </c>
      <c r="K19" s="14">
        <v>1510</v>
      </c>
      <c r="L19" s="10" t="s">
        <v>105</v>
      </c>
      <c r="M19" s="14">
        <v>0</v>
      </c>
      <c r="N19" s="15">
        <v>0</v>
      </c>
      <c r="O19" t="str">
        <f>IFERROR(VLOOKUP($I19,CHOOSE({1,2},'[1]DIRETORES NTE'!$H$5:$H$31,'[1]DIRETORES NTE'!$E$5:$E$31,),2,0),"-")</f>
        <v>-</v>
      </c>
    </row>
    <row r="20" spans="1:15" x14ac:dyDescent="0.25">
      <c r="A20" s="10">
        <v>18</v>
      </c>
      <c r="B20" s="11">
        <v>26</v>
      </c>
      <c r="C20" s="11" t="s">
        <v>95</v>
      </c>
      <c r="D20" s="11">
        <v>1178076</v>
      </c>
      <c r="E20" s="11">
        <v>29436877</v>
      </c>
      <c r="F20" s="12" t="s">
        <v>106</v>
      </c>
      <c r="G20" s="11" t="s">
        <v>107</v>
      </c>
      <c r="H20" t="s">
        <v>108</v>
      </c>
      <c r="I20" s="13">
        <v>80332617572</v>
      </c>
      <c r="J20" s="14">
        <v>11696</v>
      </c>
      <c r="K20" s="14">
        <v>11696</v>
      </c>
      <c r="L20" s="10" t="s">
        <v>99</v>
      </c>
      <c r="M20" s="14">
        <v>0</v>
      </c>
      <c r="N20" s="15">
        <v>0</v>
      </c>
      <c r="O20" t="str">
        <f>IFERROR(VLOOKUP($I20,CHOOSE({1,2},'[1]DIRETORES NTE'!$H$5:$H$31,'[1]DIRETORES NTE'!$E$5:$E$31,),2,0),"-")</f>
        <v>-</v>
      </c>
    </row>
    <row r="21" spans="1:15" x14ac:dyDescent="0.25">
      <c r="A21" s="10">
        <v>19</v>
      </c>
      <c r="B21" s="11">
        <v>26</v>
      </c>
      <c r="C21" s="11" t="s">
        <v>95</v>
      </c>
      <c r="D21" s="11">
        <v>1103786</v>
      </c>
      <c r="E21" s="11">
        <v>29181496</v>
      </c>
      <c r="F21" s="12" t="s">
        <v>109</v>
      </c>
      <c r="G21" s="11" t="s">
        <v>110</v>
      </c>
      <c r="H21" t="s">
        <v>111</v>
      </c>
      <c r="I21" s="13">
        <v>50545990530</v>
      </c>
      <c r="J21" s="14">
        <v>34189</v>
      </c>
      <c r="K21" s="14">
        <v>34189</v>
      </c>
      <c r="L21" s="10" t="s">
        <v>99</v>
      </c>
      <c r="M21" s="14">
        <v>0</v>
      </c>
      <c r="N21" s="15">
        <v>0</v>
      </c>
      <c r="O21" t="str">
        <f>IFERROR(VLOOKUP($I21,CHOOSE({1,2},'[1]DIRETORES NTE'!$H$5:$H$31,'[1]DIRETORES NTE'!$E$5:$E$31,),2,0),"-")</f>
        <v>-</v>
      </c>
    </row>
    <row r="22" spans="1:15" x14ac:dyDescent="0.25">
      <c r="A22" s="10">
        <v>20</v>
      </c>
      <c r="B22" s="11">
        <v>3</v>
      </c>
      <c r="C22" s="11" t="s">
        <v>112</v>
      </c>
      <c r="D22" s="11">
        <v>1164491</v>
      </c>
      <c r="E22" s="11">
        <v>29209994</v>
      </c>
      <c r="F22" s="12" t="s">
        <v>113</v>
      </c>
      <c r="G22" s="11" t="s">
        <v>114</v>
      </c>
      <c r="H22" t="s">
        <v>115</v>
      </c>
      <c r="I22" s="13" t="s">
        <v>116</v>
      </c>
      <c r="J22" s="14">
        <v>6823</v>
      </c>
      <c r="K22" s="14">
        <v>6823</v>
      </c>
      <c r="L22" s="10" t="s">
        <v>117</v>
      </c>
      <c r="M22" s="14">
        <v>0</v>
      </c>
      <c r="N22" s="15">
        <v>0</v>
      </c>
      <c r="O22" t="str">
        <f>IFERROR(VLOOKUP($I22,CHOOSE({1,2},'[1]DIRETORES NTE'!$H$5:$H$31,'[1]DIRETORES NTE'!$E$5:$E$31,),2,0),"-")</f>
        <v>-</v>
      </c>
    </row>
    <row r="23" spans="1:15" x14ac:dyDescent="0.25">
      <c r="A23" s="10">
        <v>21</v>
      </c>
      <c r="B23" s="11">
        <v>26</v>
      </c>
      <c r="C23" s="11" t="s">
        <v>95</v>
      </c>
      <c r="D23" s="11">
        <v>1176661</v>
      </c>
      <c r="E23" s="11">
        <v>29404290</v>
      </c>
      <c r="F23" s="12" t="s">
        <v>118</v>
      </c>
      <c r="G23" s="11" t="s">
        <v>119</v>
      </c>
      <c r="H23" t="s">
        <v>120</v>
      </c>
      <c r="I23" s="13">
        <v>69750734572</v>
      </c>
      <c r="J23" s="14">
        <v>4502</v>
      </c>
      <c r="K23" s="14">
        <v>4502</v>
      </c>
      <c r="L23" s="10" t="s">
        <v>99</v>
      </c>
      <c r="M23" s="14">
        <v>0</v>
      </c>
      <c r="N23" s="15">
        <v>0</v>
      </c>
      <c r="O23" t="str">
        <f>IFERROR(VLOOKUP($I23,CHOOSE({1,2},'[1]DIRETORES NTE'!$H$5:$H$31,'[1]DIRETORES NTE'!$E$5:$E$31,),2,0),"-")</f>
        <v>-</v>
      </c>
    </row>
    <row r="24" spans="1:15" x14ac:dyDescent="0.25">
      <c r="A24" s="10">
        <v>22</v>
      </c>
      <c r="B24" s="11">
        <v>26</v>
      </c>
      <c r="C24" s="11" t="s">
        <v>95</v>
      </c>
      <c r="D24" s="11">
        <v>1146140</v>
      </c>
      <c r="E24" s="11">
        <v>29199930</v>
      </c>
      <c r="F24" s="12" t="s">
        <v>121</v>
      </c>
      <c r="G24" s="11" t="s">
        <v>122</v>
      </c>
      <c r="H24" t="s">
        <v>123</v>
      </c>
      <c r="I24" s="13">
        <v>44278454520</v>
      </c>
      <c r="J24" s="14">
        <v>12746</v>
      </c>
      <c r="K24" s="14">
        <v>12746</v>
      </c>
      <c r="L24" s="10" t="s">
        <v>99</v>
      </c>
      <c r="M24" s="14">
        <v>0</v>
      </c>
      <c r="N24" s="15">
        <v>0</v>
      </c>
      <c r="O24" t="str">
        <f>IFERROR(VLOOKUP($I24,CHOOSE({1,2},'[1]DIRETORES NTE'!$H$5:$H$31,'[1]DIRETORES NTE'!$E$5:$E$31,),2,0),"-")</f>
        <v>-</v>
      </c>
    </row>
    <row r="25" spans="1:15" x14ac:dyDescent="0.25">
      <c r="A25" s="10">
        <v>23</v>
      </c>
      <c r="B25" s="11">
        <v>12</v>
      </c>
      <c r="C25" s="11" t="s">
        <v>124</v>
      </c>
      <c r="D25" s="11">
        <v>1127731</v>
      </c>
      <c r="E25" s="11">
        <v>29239354</v>
      </c>
      <c r="F25" s="12" t="s">
        <v>125</v>
      </c>
      <c r="G25" s="11" t="s">
        <v>126</v>
      </c>
      <c r="H25" t="s">
        <v>127</v>
      </c>
      <c r="I25" s="13">
        <v>95592377568</v>
      </c>
      <c r="J25" s="14">
        <v>11457</v>
      </c>
      <c r="K25" s="14">
        <v>11457</v>
      </c>
      <c r="L25" s="10" t="s">
        <v>90</v>
      </c>
      <c r="M25" s="14">
        <v>0</v>
      </c>
      <c r="N25" s="15">
        <v>0</v>
      </c>
      <c r="O25" t="str">
        <f>IFERROR(VLOOKUP($I25,CHOOSE({1,2},'[1]DIRETORES NTE'!$H$5:$H$31,'[1]DIRETORES NTE'!$E$5:$E$31,),2,0),"-")</f>
        <v>-</v>
      </c>
    </row>
    <row r="26" spans="1:15" x14ac:dyDescent="0.25">
      <c r="A26" s="10">
        <v>24</v>
      </c>
      <c r="B26" s="11">
        <v>3</v>
      </c>
      <c r="C26" s="11" t="s">
        <v>128</v>
      </c>
      <c r="D26" s="11">
        <v>1133022</v>
      </c>
      <c r="E26" s="11">
        <v>29221307</v>
      </c>
      <c r="F26" s="12" t="s">
        <v>129</v>
      </c>
      <c r="G26" s="11" t="s">
        <v>130</v>
      </c>
      <c r="H26" t="s">
        <v>131</v>
      </c>
      <c r="I26" s="13">
        <v>15713314847</v>
      </c>
      <c r="J26" s="14">
        <v>2641</v>
      </c>
      <c r="K26" s="14">
        <v>2641</v>
      </c>
      <c r="L26" s="10" t="s">
        <v>117</v>
      </c>
      <c r="M26" s="14">
        <v>0</v>
      </c>
      <c r="N26" s="15">
        <v>0</v>
      </c>
      <c r="O26" t="str">
        <f>IFERROR(VLOOKUP($I26,CHOOSE({1,2},'[1]DIRETORES NTE'!$H$5:$H$31,'[1]DIRETORES NTE'!$E$5:$E$31,),2,0),"-")</f>
        <v>-</v>
      </c>
    </row>
    <row r="27" spans="1:15" x14ac:dyDescent="0.25">
      <c r="A27" s="10">
        <v>25</v>
      </c>
      <c r="B27" s="11">
        <v>2</v>
      </c>
      <c r="C27" s="11" t="s">
        <v>132</v>
      </c>
      <c r="D27" s="11">
        <v>1179668</v>
      </c>
      <c r="E27" s="11">
        <v>29474892</v>
      </c>
      <c r="F27" s="12" t="s">
        <v>133</v>
      </c>
      <c r="G27" s="11" t="s">
        <v>134</v>
      </c>
      <c r="H27" t="s">
        <v>135</v>
      </c>
      <c r="I27" s="13">
        <v>52469247500</v>
      </c>
      <c r="J27" s="14">
        <v>2692</v>
      </c>
      <c r="K27" s="14">
        <v>2692</v>
      </c>
      <c r="L27" s="10" t="s">
        <v>105</v>
      </c>
      <c r="M27" s="14">
        <v>0</v>
      </c>
      <c r="N27" s="15">
        <v>0</v>
      </c>
      <c r="O27" t="str">
        <f>IFERROR(VLOOKUP($I27,CHOOSE({1,2},'[1]DIRETORES NTE'!$H$5:$H$31,'[1]DIRETORES NTE'!$E$5:$E$31,),2,0),"-")</f>
        <v>-</v>
      </c>
    </row>
    <row r="28" spans="1:15" x14ac:dyDescent="0.25">
      <c r="A28" s="10">
        <v>26</v>
      </c>
      <c r="B28" s="11">
        <v>21</v>
      </c>
      <c r="C28" s="11" t="s">
        <v>136</v>
      </c>
      <c r="D28" s="11">
        <v>1176201</v>
      </c>
      <c r="E28" s="11">
        <v>29375983</v>
      </c>
      <c r="F28" s="12" t="s">
        <v>137</v>
      </c>
      <c r="G28" s="11" t="s">
        <v>138</v>
      </c>
      <c r="H28" t="s">
        <v>139</v>
      </c>
      <c r="I28" s="13">
        <v>82403376515</v>
      </c>
      <c r="J28" s="14">
        <v>8858</v>
      </c>
      <c r="K28" s="14">
        <v>8858</v>
      </c>
      <c r="L28" s="10" t="s">
        <v>63</v>
      </c>
      <c r="M28" s="14">
        <v>0</v>
      </c>
      <c r="N28" s="15">
        <v>0</v>
      </c>
      <c r="O28" t="str">
        <f>IFERROR(VLOOKUP($I28,CHOOSE({1,2},'[1]DIRETORES NTE'!$H$5:$H$31,'[1]DIRETORES NTE'!$E$5:$E$31,),2,0),"-")</f>
        <v>-</v>
      </c>
    </row>
    <row r="29" spans="1:15" x14ac:dyDescent="0.25">
      <c r="A29" s="10">
        <v>27</v>
      </c>
      <c r="B29" s="11">
        <v>12</v>
      </c>
      <c r="C29" s="11" t="s">
        <v>86</v>
      </c>
      <c r="D29" s="11">
        <v>1128177</v>
      </c>
      <c r="E29" s="11">
        <v>29208297</v>
      </c>
      <c r="F29" s="12" t="s">
        <v>140</v>
      </c>
      <c r="G29" s="11" t="s">
        <v>141</v>
      </c>
      <c r="H29" t="s">
        <v>142</v>
      </c>
      <c r="I29" s="13">
        <v>56484151504</v>
      </c>
      <c r="J29" s="14">
        <v>16286</v>
      </c>
      <c r="K29" s="14">
        <v>16286</v>
      </c>
      <c r="L29" s="10" t="s">
        <v>90</v>
      </c>
      <c r="M29" s="14">
        <v>0</v>
      </c>
      <c r="N29" s="15">
        <v>0</v>
      </c>
      <c r="O29" t="str">
        <f>IFERROR(VLOOKUP($I29,CHOOSE({1,2},'[1]DIRETORES NTE'!$H$5:$H$31,'[1]DIRETORES NTE'!$E$5:$E$31,),2,0),"-")</f>
        <v>-</v>
      </c>
    </row>
    <row r="30" spans="1:15" x14ac:dyDescent="0.25">
      <c r="A30" s="10">
        <v>28</v>
      </c>
      <c r="B30" s="11">
        <v>14</v>
      </c>
      <c r="C30" s="11" t="s">
        <v>143</v>
      </c>
      <c r="D30" s="11">
        <v>1164343</v>
      </c>
      <c r="E30" s="11">
        <v>29083044</v>
      </c>
      <c r="F30" s="12" t="s">
        <v>144</v>
      </c>
      <c r="G30" s="11" t="s">
        <v>145</v>
      </c>
      <c r="H30" t="s">
        <v>146</v>
      </c>
      <c r="I30" s="13">
        <v>39386589591</v>
      </c>
      <c r="J30" s="14">
        <v>6850</v>
      </c>
      <c r="K30" s="14">
        <v>6850</v>
      </c>
      <c r="L30" s="10" t="s">
        <v>147</v>
      </c>
      <c r="M30" s="14">
        <v>0</v>
      </c>
      <c r="N30" s="15">
        <v>0</v>
      </c>
      <c r="O30" t="str">
        <f>IFERROR(VLOOKUP($I30,CHOOSE({1,2},'[1]DIRETORES NTE'!$H$5:$H$31,'[1]DIRETORES NTE'!$E$5:$E$31,),2,0),"-")</f>
        <v>-</v>
      </c>
    </row>
    <row r="31" spans="1:15" x14ac:dyDescent="0.25">
      <c r="A31" s="10">
        <v>29</v>
      </c>
      <c r="B31" s="11">
        <v>7</v>
      </c>
      <c r="C31" s="11" t="s">
        <v>148</v>
      </c>
      <c r="D31" s="11">
        <v>1157746</v>
      </c>
      <c r="E31" s="11">
        <v>29325099</v>
      </c>
      <c r="F31" s="12" t="s">
        <v>149</v>
      </c>
      <c r="G31" s="11" t="s">
        <v>150</v>
      </c>
      <c r="H31" t="s">
        <v>151</v>
      </c>
      <c r="I31" s="13" t="s">
        <v>152</v>
      </c>
      <c r="J31" s="14">
        <v>7792</v>
      </c>
      <c r="K31" s="14">
        <v>7792</v>
      </c>
      <c r="L31" s="10" t="s">
        <v>153</v>
      </c>
      <c r="M31" s="14">
        <v>0</v>
      </c>
      <c r="N31" s="15">
        <v>0</v>
      </c>
      <c r="O31" t="str">
        <f>IFERROR(VLOOKUP($I31,CHOOSE({1,2},'[1]DIRETORES NTE'!$H$5:$H$31,'[1]DIRETORES NTE'!$E$5:$E$31,),2,0),"-")</f>
        <v>-</v>
      </c>
    </row>
    <row r="32" spans="1:15" x14ac:dyDescent="0.25">
      <c r="A32" s="10">
        <v>30</v>
      </c>
      <c r="B32" s="11">
        <v>26</v>
      </c>
      <c r="C32" s="11" t="s">
        <v>95</v>
      </c>
      <c r="D32" s="11">
        <v>1101376</v>
      </c>
      <c r="E32" s="11">
        <v>29182247</v>
      </c>
      <c r="F32" s="12" t="s">
        <v>154</v>
      </c>
      <c r="G32" s="11" t="s">
        <v>155</v>
      </c>
      <c r="H32" t="s">
        <v>156</v>
      </c>
      <c r="I32" s="13">
        <v>23325615520</v>
      </c>
      <c r="J32" s="14">
        <v>4080</v>
      </c>
      <c r="K32" s="14">
        <v>4080</v>
      </c>
      <c r="L32" s="10" t="s">
        <v>99</v>
      </c>
      <c r="M32" s="14">
        <v>0</v>
      </c>
      <c r="N32" s="15">
        <v>0</v>
      </c>
      <c r="O32" t="str">
        <f>IFERROR(VLOOKUP($I32,CHOOSE({1,2},'[1]DIRETORES NTE'!$H$5:$H$31,'[1]DIRETORES NTE'!$E$5:$E$31,),2,0),"-")</f>
        <v>-</v>
      </c>
    </row>
    <row r="33" spans="1:15" x14ac:dyDescent="0.25">
      <c r="A33" s="10">
        <v>31</v>
      </c>
      <c r="B33" s="11">
        <v>21</v>
      </c>
      <c r="C33" s="11" t="s">
        <v>157</v>
      </c>
      <c r="D33" s="11">
        <v>1133618</v>
      </c>
      <c r="E33" s="11">
        <v>29165253</v>
      </c>
      <c r="F33" s="12" t="s">
        <v>158</v>
      </c>
      <c r="G33" s="11" t="s">
        <v>159</v>
      </c>
      <c r="H33" t="s">
        <v>160</v>
      </c>
      <c r="I33" s="13" t="s">
        <v>161</v>
      </c>
      <c r="J33" s="14">
        <v>20884</v>
      </c>
      <c r="K33" s="14">
        <v>0.91</v>
      </c>
      <c r="L33" s="10" t="s">
        <v>63</v>
      </c>
      <c r="M33" s="14">
        <v>20883.09</v>
      </c>
      <c r="N33" s="15">
        <v>0.99995642597203604</v>
      </c>
      <c r="O33" t="str">
        <f>IFERROR(VLOOKUP($I33,CHOOSE({1,2},'[1]DIRETORES NTE'!$H$5:$H$31,'[1]DIRETORES NTE'!$E$5:$E$31,),2,0),"-")</f>
        <v>-</v>
      </c>
    </row>
    <row r="34" spans="1:15" x14ac:dyDescent="0.25">
      <c r="A34" s="10">
        <v>32</v>
      </c>
      <c r="B34" s="11">
        <v>9</v>
      </c>
      <c r="C34" s="11" t="s">
        <v>162</v>
      </c>
      <c r="D34" s="11">
        <v>1117175</v>
      </c>
      <c r="E34" s="11">
        <v>29223687</v>
      </c>
      <c r="F34" s="12" t="s">
        <v>163</v>
      </c>
      <c r="G34" s="11" t="s">
        <v>164</v>
      </c>
      <c r="H34" t="s">
        <v>165</v>
      </c>
      <c r="I34" s="13" t="s">
        <v>166</v>
      </c>
      <c r="J34" s="14">
        <v>8598</v>
      </c>
      <c r="K34" s="14">
        <v>8598</v>
      </c>
      <c r="L34" s="10" t="s">
        <v>167</v>
      </c>
      <c r="M34" s="14">
        <v>0</v>
      </c>
      <c r="N34" s="15">
        <v>0</v>
      </c>
      <c r="O34" t="str">
        <f>IFERROR(VLOOKUP($I34,CHOOSE({1,2},'[1]DIRETORES NTE'!$H$5:$H$31,'[1]DIRETORES NTE'!$E$5:$E$31,),2,0),"-")</f>
        <v>-</v>
      </c>
    </row>
    <row r="35" spans="1:15" x14ac:dyDescent="0.25">
      <c r="A35" s="10">
        <v>33</v>
      </c>
      <c r="B35" s="11">
        <v>2</v>
      </c>
      <c r="C35" s="11" t="s">
        <v>132</v>
      </c>
      <c r="D35" s="11">
        <v>1179282</v>
      </c>
      <c r="E35" s="11">
        <v>29461499</v>
      </c>
      <c r="F35" s="12" t="s">
        <v>168</v>
      </c>
      <c r="G35" s="11" t="s">
        <v>169</v>
      </c>
      <c r="H35" t="s">
        <v>170</v>
      </c>
      <c r="I35" s="13">
        <v>32025432534</v>
      </c>
      <c r="J35" s="14">
        <v>16500</v>
      </c>
      <c r="K35" s="14">
        <v>16500</v>
      </c>
      <c r="L35" s="10" t="s">
        <v>105</v>
      </c>
      <c r="M35" s="14">
        <v>0</v>
      </c>
      <c r="N35" s="15">
        <v>0</v>
      </c>
      <c r="O35" t="str">
        <f>IFERROR(VLOOKUP($I35,CHOOSE({1,2},'[1]DIRETORES NTE'!$H$5:$H$31,'[1]DIRETORES NTE'!$E$5:$E$31,),2,0),"-")</f>
        <v>-</v>
      </c>
    </row>
    <row r="36" spans="1:15" x14ac:dyDescent="0.25">
      <c r="A36" s="10">
        <v>34</v>
      </c>
      <c r="B36" s="11">
        <v>4</v>
      </c>
      <c r="C36" s="11" t="s">
        <v>171</v>
      </c>
      <c r="D36" s="11">
        <v>1115903</v>
      </c>
      <c r="E36" s="11">
        <v>29137900</v>
      </c>
      <c r="F36" s="12" t="s">
        <v>172</v>
      </c>
      <c r="G36" s="11" t="s">
        <v>173</v>
      </c>
      <c r="H36" t="s">
        <v>174</v>
      </c>
      <c r="I36" s="13" t="s">
        <v>175</v>
      </c>
      <c r="J36" s="14">
        <v>3035</v>
      </c>
      <c r="K36" s="14">
        <v>3035</v>
      </c>
      <c r="L36" s="10" t="s">
        <v>58</v>
      </c>
      <c r="M36" s="14">
        <v>0</v>
      </c>
      <c r="N36" s="15">
        <v>0</v>
      </c>
      <c r="O36" t="str">
        <f>IFERROR(VLOOKUP($I36,CHOOSE({1,2},'[1]DIRETORES NTE'!$H$5:$H$31,'[1]DIRETORES NTE'!$E$5:$E$31,),2,0),"-")</f>
        <v>-</v>
      </c>
    </row>
    <row r="37" spans="1:15" x14ac:dyDescent="0.25">
      <c r="A37" s="10">
        <v>35</v>
      </c>
      <c r="B37" s="11">
        <v>12</v>
      </c>
      <c r="C37" s="11" t="s">
        <v>176</v>
      </c>
      <c r="D37" s="11">
        <v>1176458</v>
      </c>
      <c r="E37" s="11">
        <v>29384389</v>
      </c>
      <c r="F37" s="12" t="s">
        <v>177</v>
      </c>
      <c r="G37" s="11" t="s">
        <v>178</v>
      </c>
      <c r="H37" t="s">
        <v>179</v>
      </c>
      <c r="I37" s="13">
        <v>59677309587</v>
      </c>
      <c r="J37" s="14">
        <v>10561</v>
      </c>
      <c r="K37" s="14">
        <v>10561</v>
      </c>
      <c r="L37" s="10" t="s">
        <v>90</v>
      </c>
      <c r="M37" s="14">
        <v>0</v>
      </c>
      <c r="N37" s="15">
        <v>0</v>
      </c>
      <c r="O37" t="str">
        <f>IFERROR(VLOOKUP($I37,CHOOSE({1,2},'[1]DIRETORES NTE'!$H$5:$H$31,'[1]DIRETORES NTE'!$E$5:$E$31,),2,0),"-")</f>
        <v>-</v>
      </c>
    </row>
    <row r="38" spans="1:15" x14ac:dyDescent="0.25">
      <c r="A38" s="10">
        <v>36</v>
      </c>
      <c r="B38" s="11">
        <v>10</v>
      </c>
      <c r="C38" s="11" t="s">
        <v>180</v>
      </c>
      <c r="D38" s="11">
        <v>1179712</v>
      </c>
      <c r="E38" s="11">
        <v>29485100</v>
      </c>
      <c r="F38" s="12" t="s">
        <v>181</v>
      </c>
      <c r="G38" s="11" t="s">
        <v>182</v>
      </c>
      <c r="H38" t="s">
        <v>183</v>
      </c>
      <c r="I38" s="13" t="s">
        <v>184</v>
      </c>
      <c r="J38" s="14">
        <v>5306</v>
      </c>
      <c r="K38" s="14">
        <v>5306</v>
      </c>
      <c r="L38" s="10" t="s">
        <v>21</v>
      </c>
      <c r="M38" s="14">
        <v>0</v>
      </c>
      <c r="N38" s="15">
        <v>0</v>
      </c>
      <c r="O38" t="str">
        <f>IFERROR(VLOOKUP($I38,CHOOSE({1,2},'[1]DIRETORES NTE'!$H$5:$H$31,'[1]DIRETORES NTE'!$E$5:$E$31,),2,0),"-")</f>
        <v>-</v>
      </c>
    </row>
    <row r="39" spans="1:15" x14ac:dyDescent="0.25">
      <c r="A39" s="10">
        <v>37</v>
      </c>
      <c r="B39" s="11">
        <v>21</v>
      </c>
      <c r="C39" s="11" t="s">
        <v>136</v>
      </c>
      <c r="D39" s="11">
        <v>1166222</v>
      </c>
      <c r="E39" s="11">
        <v>29168775</v>
      </c>
      <c r="F39" s="12" t="s">
        <v>185</v>
      </c>
      <c r="G39" s="11" t="s">
        <v>186</v>
      </c>
      <c r="H39" t="s">
        <v>187</v>
      </c>
      <c r="I39" s="13">
        <v>64599540544</v>
      </c>
      <c r="J39" s="14">
        <v>2531</v>
      </c>
      <c r="K39" s="14">
        <v>2531</v>
      </c>
      <c r="L39" s="10" t="s">
        <v>63</v>
      </c>
      <c r="M39" s="14">
        <v>0</v>
      </c>
      <c r="N39" s="15">
        <v>0</v>
      </c>
      <c r="O39" t="str">
        <f>IFERROR(VLOOKUP($I39,CHOOSE({1,2},'[1]DIRETORES NTE'!$H$5:$H$31,'[1]DIRETORES NTE'!$E$5:$E$31,),2,0),"-")</f>
        <v>-</v>
      </c>
    </row>
    <row r="40" spans="1:15" x14ac:dyDescent="0.25">
      <c r="A40" s="10">
        <v>38</v>
      </c>
      <c r="B40" s="11">
        <v>11</v>
      </c>
      <c r="C40" s="11" t="s">
        <v>188</v>
      </c>
      <c r="D40" s="11">
        <v>1139896</v>
      </c>
      <c r="E40" s="11">
        <v>29000840</v>
      </c>
      <c r="F40" s="12" t="s">
        <v>189</v>
      </c>
      <c r="G40" s="11" t="s">
        <v>190</v>
      </c>
      <c r="H40" t="s">
        <v>191</v>
      </c>
      <c r="I40" s="13">
        <v>32096046572</v>
      </c>
      <c r="J40" s="14">
        <v>11840</v>
      </c>
      <c r="K40" s="14">
        <v>11840</v>
      </c>
      <c r="L40" s="10" t="s">
        <v>39</v>
      </c>
      <c r="M40" s="14">
        <v>0</v>
      </c>
      <c r="N40" s="15">
        <v>0</v>
      </c>
      <c r="O40" t="str">
        <f>IFERROR(VLOOKUP($I40,CHOOSE({1,2},'[1]DIRETORES NTE'!$H$5:$H$31,'[1]DIRETORES NTE'!$E$5:$E$31,),2,0),"-")</f>
        <v>-</v>
      </c>
    </row>
    <row r="41" spans="1:15" x14ac:dyDescent="0.25">
      <c r="A41" s="10">
        <v>39</v>
      </c>
      <c r="B41" s="11">
        <v>5</v>
      </c>
      <c r="C41" s="11" t="s">
        <v>40</v>
      </c>
      <c r="D41" s="11">
        <v>1179701</v>
      </c>
      <c r="E41" s="11">
        <v>29482267</v>
      </c>
      <c r="F41" s="12" t="s">
        <v>192</v>
      </c>
      <c r="G41" s="11" t="s">
        <v>193</v>
      </c>
      <c r="H41" t="s">
        <v>194</v>
      </c>
      <c r="I41" s="13">
        <v>45309000534</v>
      </c>
      <c r="J41" s="14">
        <v>4710</v>
      </c>
      <c r="K41" s="14">
        <v>4710</v>
      </c>
      <c r="L41" s="10" t="s">
        <v>44</v>
      </c>
      <c r="M41" s="14">
        <v>0</v>
      </c>
      <c r="N41" s="15">
        <v>0</v>
      </c>
      <c r="O41" t="str">
        <f>IFERROR(VLOOKUP($I41,CHOOSE({1,2},'[1]DIRETORES NTE'!$H$5:$H$31,'[1]DIRETORES NTE'!$E$5:$E$31,),2,0),"-")</f>
        <v>-</v>
      </c>
    </row>
    <row r="42" spans="1:15" x14ac:dyDescent="0.25">
      <c r="A42" s="10">
        <v>40</v>
      </c>
      <c r="B42" s="11">
        <v>22</v>
      </c>
      <c r="C42" s="11" t="s">
        <v>195</v>
      </c>
      <c r="D42" s="11">
        <v>1110758</v>
      </c>
      <c r="E42" s="11">
        <v>29223652</v>
      </c>
      <c r="F42" s="12" t="s">
        <v>196</v>
      </c>
      <c r="G42" s="11" t="s">
        <v>197</v>
      </c>
      <c r="H42" t="s">
        <v>198</v>
      </c>
      <c r="I42" s="13" t="s">
        <v>199</v>
      </c>
      <c r="J42" s="14">
        <v>8625</v>
      </c>
      <c r="K42" s="14">
        <v>8625</v>
      </c>
      <c r="L42" s="10" t="s">
        <v>200</v>
      </c>
      <c r="M42" s="14">
        <v>0</v>
      </c>
      <c r="N42" s="15">
        <v>0</v>
      </c>
      <c r="O42" t="str">
        <f>IFERROR(VLOOKUP($I42,CHOOSE({1,2},'[1]DIRETORES NTE'!$H$5:$H$31,'[1]DIRETORES NTE'!$E$5:$E$31,),2,0),"-")</f>
        <v>-</v>
      </c>
    </row>
    <row r="43" spans="1:15" x14ac:dyDescent="0.25">
      <c r="A43" s="10">
        <v>41</v>
      </c>
      <c r="B43" s="11">
        <v>7</v>
      </c>
      <c r="C43" s="11" t="s">
        <v>201</v>
      </c>
      <c r="D43" s="11">
        <v>1179452</v>
      </c>
      <c r="E43" s="11">
        <v>29467551</v>
      </c>
      <c r="F43" s="12" t="s">
        <v>202</v>
      </c>
      <c r="G43" s="11" t="s">
        <v>203</v>
      </c>
      <c r="H43" t="s">
        <v>204</v>
      </c>
      <c r="I43" s="13">
        <v>95983899520</v>
      </c>
      <c r="J43" s="14">
        <v>2552</v>
      </c>
      <c r="K43" s="14">
        <v>2552</v>
      </c>
      <c r="L43" s="10" t="s">
        <v>153</v>
      </c>
      <c r="M43" s="14">
        <v>0</v>
      </c>
      <c r="N43" s="15">
        <v>0</v>
      </c>
      <c r="O43" t="str">
        <f>IFERROR(VLOOKUP($I43,CHOOSE({1,2},'[1]DIRETORES NTE'!$H$5:$H$31,'[1]DIRETORES NTE'!$E$5:$E$31,),2,0),"-")</f>
        <v>-</v>
      </c>
    </row>
    <row r="44" spans="1:15" x14ac:dyDescent="0.25">
      <c r="A44" s="10">
        <v>42</v>
      </c>
      <c r="B44" s="11">
        <v>21</v>
      </c>
      <c r="C44" s="11" t="s">
        <v>205</v>
      </c>
      <c r="D44" s="11">
        <v>1176152</v>
      </c>
      <c r="E44" s="11">
        <v>29337534</v>
      </c>
      <c r="F44" s="12" t="s">
        <v>206</v>
      </c>
      <c r="G44" s="11" t="s">
        <v>207</v>
      </c>
      <c r="H44" t="s">
        <v>208</v>
      </c>
      <c r="I44" s="13">
        <v>64608085549</v>
      </c>
      <c r="J44" s="14">
        <v>3278</v>
      </c>
      <c r="K44" s="14">
        <v>3278</v>
      </c>
      <c r="L44" s="10" t="s">
        <v>63</v>
      </c>
      <c r="M44" s="14">
        <v>0</v>
      </c>
      <c r="N44" s="15">
        <v>0</v>
      </c>
      <c r="O44" t="str">
        <f>IFERROR(VLOOKUP($I44,CHOOSE({1,2},'[1]DIRETORES NTE'!$H$5:$H$31,'[1]DIRETORES NTE'!$E$5:$E$31,),2,0),"-")</f>
        <v>-</v>
      </c>
    </row>
    <row r="45" spans="1:15" x14ac:dyDescent="0.25">
      <c r="A45" s="10">
        <v>43</v>
      </c>
      <c r="B45" s="11">
        <v>5</v>
      </c>
      <c r="C45" s="11" t="s">
        <v>209</v>
      </c>
      <c r="D45" s="11">
        <v>1112092</v>
      </c>
      <c r="E45" s="11">
        <v>29304377</v>
      </c>
      <c r="F45" s="12" t="s">
        <v>210</v>
      </c>
      <c r="G45" s="11" t="s">
        <v>211</v>
      </c>
      <c r="H45" t="s">
        <v>212</v>
      </c>
      <c r="I45" s="13">
        <v>99695375553</v>
      </c>
      <c r="J45" s="14">
        <v>9132</v>
      </c>
      <c r="K45" s="14">
        <v>9132</v>
      </c>
      <c r="L45" s="10" t="s">
        <v>44</v>
      </c>
      <c r="M45" s="14">
        <v>0</v>
      </c>
      <c r="N45" s="15">
        <v>0</v>
      </c>
      <c r="O45" t="str">
        <f>IFERROR(VLOOKUP($I45,CHOOSE({1,2},'[1]DIRETORES NTE'!$H$5:$H$31,'[1]DIRETORES NTE'!$E$5:$E$31,),2,0),"-")</f>
        <v>-</v>
      </c>
    </row>
    <row r="46" spans="1:15" x14ac:dyDescent="0.25">
      <c r="A46" s="10">
        <v>44</v>
      </c>
      <c r="B46" s="11">
        <v>13</v>
      </c>
      <c r="C46" s="11" t="s">
        <v>213</v>
      </c>
      <c r="D46" s="11">
        <v>1127910</v>
      </c>
      <c r="E46" s="11">
        <v>29210950</v>
      </c>
      <c r="F46" s="12" t="s">
        <v>214</v>
      </c>
      <c r="G46" s="11" t="s">
        <v>215</v>
      </c>
      <c r="H46" t="s">
        <v>216</v>
      </c>
      <c r="I46" s="13" t="s">
        <v>217</v>
      </c>
      <c r="J46" s="14">
        <v>18068</v>
      </c>
      <c r="K46" s="14">
        <v>18068</v>
      </c>
      <c r="L46" s="10" t="s">
        <v>33</v>
      </c>
      <c r="M46" s="14">
        <v>0</v>
      </c>
      <c r="N46" s="15">
        <v>0</v>
      </c>
      <c r="O46" t="str">
        <f>IFERROR(VLOOKUP($I46,CHOOSE({1,2},'[1]DIRETORES NTE'!$H$5:$H$31,'[1]DIRETORES NTE'!$E$5:$E$31,),2,0),"-")</f>
        <v>-</v>
      </c>
    </row>
    <row r="47" spans="1:15" x14ac:dyDescent="0.25">
      <c r="A47" s="10">
        <v>45</v>
      </c>
      <c r="B47" s="11">
        <v>9</v>
      </c>
      <c r="C47" s="11" t="s">
        <v>218</v>
      </c>
      <c r="D47" s="11">
        <v>1176455</v>
      </c>
      <c r="E47" s="11">
        <v>29390109</v>
      </c>
      <c r="F47" s="12" t="s">
        <v>219</v>
      </c>
      <c r="G47" s="11" t="s">
        <v>220</v>
      </c>
      <c r="H47" t="s">
        <v>221</v>
      </c>
      <c r="I47" s="13">
        <v>70746028504</v>
      </c>
      <c r="J47" s="14">
        <v>23036</v>
      </c>
      <c r="K47" s="14">
        <v>23036</v>
      </c>
      <c r="L47" s="10" t="s">
        <v>167</v>
      </c>
      <c r="M47" s="14">
        <v>0</v>
      </c>
      <c r="N47" s="15">
        <v>0</v>
      </c>
      <c r="O47" t="str">
        <f>IFERROR(VLOOKUP($I47,CHOOSE({1,2},'[1]DIRETORES NTE'!$H$5:$H$31,'[1]DIRETORES NTE'!$E$5:$E$31,),2,0),"-")</f>
        <v>-</v>
      </c>
    </row>
    <row r="48" spans="1:15" x14ac:dyDescent="0.25">
      <c r="A48" s="10">
        <v>46</v>
      </c>
      <c r="B48" s="11">
        <v>20</v>
      </c>
      <c r="C48" s="11" t="s">
        <v>50</v>
      </c>
      <c r="D48" s="11">
        <v>1125496</v>
      </c>
      <c r="E48" s="11">
        <v>29279810</v>
      </c>
      <c r="F48" s="12" t="s">
        <v>222</v>
      </c>
      <c r="G48" s="11" t="s">
        <v>223</v>
      </c>
      <c r="H48" t="s">
        <v>224</v>
      </c>
      <c r="I48" s="13">
        <v>71155147553</v>
      </c>
      <c r="J48" s="14">
        <v>13049</v>
      </c>
      <c r="K48" s="14">
        <v>13049</v>
      </c>
      <c r="L48" s="10" t="s">
        <v>27</v>
      </c>
      <c r="M48" s="14">
        <v>0</v>
      </c>
      <c r="N48" s="15">
        <v>0</v>
      </c>
      <c r="O48" t="str">
        <f>IFERROR(VLOOKUP($I48,CHOOSE({1,2},'[1]DIRETORES NTE'!$H$5:$H$31,'[1]DIRETORES NTE'!$E$5:$E$31,),2,0),"-")</f>
        <v>-</v>
      </c>
    </row>
    <row r="49" spans="1:15" x14ac:dyDescent="0.25">
      <c r="A49" s="10">
        <v>47</v>
      </c>
      <c r="B49" s="11">
        <v>9</v>
      </c>
      <c r="C49" s="11" t="s">
        <v>225</v>
      </c>
      <c r="D49" s="11">
        <v>1176366</v>
      </c>
      <c r="E49" s="11">
        <v>29340080</v>
      </c>
      <c r="F49" s="12" t="s">
        <v>226</v>
      </c>
      <c r="G49" s="11" t="s">
        <v>227</v>
      </c>
      <c r="H49" t="s">
        <v>228</v>
      </c>
      <c r="I49" s="13">
        <v>66476011553</v>
      </c>
      <c r="J49" s="14">
        <v>5146</v>
      </c>
      <c r="K49" s="14">
        <v>2593.19</v>
      </c>
      <c r="L49" s="10" t="s">
        <v>167</v>
      </c>
      <c r="M49" s="14">
        <v>2552.81</v>
      </c>
      <c r="N49" s="15">
        <v>0.49607656432180336</v>
      </c>
      <c r="O49" t="str">
        <f>IFERROR(VLOOKUP($I49,CHOOSE({1,2},'[1]DIRETORES NTE'!$H$5:$H$31,'[1]DIRETORES NTE'!$E$5:$E$31,),2,0),"-")</f>
        <v>-</v>
      </c>
    </row>
    <row r="50" spans="1:15" x14ac:dyDescent="0.25">
      <c r="A50" s="10">
        <v>48</v>
      </c>
      <c r="B50" s="11">
        <v>26</v>
      </c>
      <c r="C50" s="11" t="s">
        <v>229</v>
      </c>
      <c r="D50" s="11">
        <v>1179670</v>
      </c>
      <c r="E50" s="11">
        <v>29475082</v>
      </c>
      <c r="F50" s="12" t="s">
        <v>230</v>
      </c>
      <c r="G50" s="11" t="s">
        <v>231</v>
      </c>
      <c r="H50" t="s">
        <v>232</v>
      </c>
      <c r="I50" s="13">
        <v>91801125520</v>
      </c>
      <c r="J50" s="14">
        <v>36901</v>
      </c>
      <c r="K50" s="14">
        <v>0</v>
      </c>
      <c r="L50" s="10" t="s">
        <v>99</v>
      </c>
      <c r="M50" s="14">
        <v>36901</v>
      </c>
      <c r="N50" s="15">
        <v>1</v>
      </c>
      <c r="O50" t="str">
        <f>IFERROR(VLOOKUP($I50,CHOOSE({1,2},'[1]DIRETORES NTE'!$H$5:$H$31,'[1]DIRETORES NTE'!$E$5:$E$31,),2,0),"-")</f>
        <v>-</v>
      </c>
    </row>
    <row r="51" spans="1:15" x14ac:dyDescent="0.25">
      <c r="A51" s="10">
        <v>49</v>
      </c>
      <c r="B51" s="11">
        <v>25</v>
      </c>
      <c r="C51" s="11" t="s">
        <v>233</v>
      </c>
      <c r="D51" s="11">
        <v>1144032</v>
      </c>
      <c r="E51" s="11">
        <v>29055067</v>
      </c>
      <c r="F51" s="12" t="s">
        <v>234</v>
      </c>
      <c r="G51" s="11" t="s">
        <v>235</v>
      </c>
      <c r="H51" t="s">
        <v>236</v>
      </c>
      <c r="I51" s="13">
        <v>81531850553</v>
      </c>
      <c r="J51" s="14">
        <v>12494</v>
      </c>
      <c r="K51" s="14">
        <v>12494</v>
      </c>
      <c r="L51" s="10" t="s">
        <v>80</v>
      </c>
      <c r="M51" s="14">
        <v>0</v>
      </c>
      <c r="N51" s="15">
        <v>0</v>
      </c>
      <c r="O51" t="str">
        <f>IFERROR(VLOOKUP($I51,CHOOSE({1,2},'[1]DIRETORES NTE'!$H$5:$H$31,'[1]DIRETORES NTE'!$E$5:$E$31,),2,0),"-")</f>
        <v>-</v>
      </c>
    </row>
    <row r="52" spans="1:15" x14ac:dyDescent="0.25">
      <c r="A52" s="10">
        <v>50</v>
      </c>
      <c r="B52" s="11" t="s">
        <v>237</v>
      </c>
      <c r="C52" s="11" t="s">
        <v>237</v>
      </c>
      <c r="D52" s="11" t="s">
        <v>237</v>
      </c>
      <c r="E52" s="11" t="s">
        <v>237</v>
      </c>
      <c r="F52" s="12" t="s">
        <v>237</v>
      </c>
      <c r="G52" s="11" t="s">
        <v>237</v>
      </c>
      <c r="H52" t="s">
        <v>238</v>
      </c>
      <c r="I52" s="13">
        <v>79922880504</v>
      </c>
      <c r="J52" s="14">
        <v>0</v>
      </c>
      <c r="K52" s="14">
        <v>0</v>
      </c>
      <c r="L52" s="10" t="s">
        <v>105</v>
      </c>
      <c r="M52" s="14">
        <v>0</v>
      </c>
      <c r="N52" s="15" t="e">
        <v>#DIV/0!</v>
      </c>
      <c r="O52" t="str">
        <f>IFERROR(VLOOKUP($I52,CHOOSE({1,2},'[1]DIRETORES NTE'!$H$5:$H$31,'[1]DIRETORES NTE'!$E$5:$E$31,),2,0),"-")</f>
        <v>ALINE D OLIVEIRA LOPES (DIRETOR DE NTE)</v>
      </c>
    </row>
    <row r="53" spans="1:15" x14ac:dyDescent="0.25">
      <c r="A53" s="10">
        <v>51</v>
      </c>
      <c r="B53" s="11">
        <v>13</v>
      </c>
      <c r="C53" s="11" t="s">
        <v>239</v>
      </c>
      <c r="D53" s="11">
        <v>1123817</v>
      </c>
      <c r="E53" s="11">
        <v>29256089</v>
      </c>
      <c r="F53" s="12" t="s">
        <v>240</v>
      </c>
      <c r="G53" s="11" t="s">
        <v>241</v>
      </c>
      <c r="H53" t="s">
        <v>242</v>
      </c>
      <c r="I53" s="13">
        <v>79370063587</v>
      </c>
      <c r="J53" s="14">
        <v>24615</v>
      </c>
      <c r="K53" s="14">
        <v>24615</v>
      </c>
      <c r="L53" s="10" t="s">
        <v>33</v>
      </c>
      <c r="M53" s="14">
        <v>0</v>
      </c>
      <c r="N53" s="15">
        <v>0</v>
      </c>
      <c r="O53" t="str">
        <f>IFERROR(VLOOKUP($I53,CHOOSE({1,2},'[1]DIRETORES NTE'!$H$5:$H$31,'[1]DIRETORES NTE'!$E$5:$E$31,),2,0),"-")</f>
        <v>-</v>
      </c>
    </row>
    <row r="54" spans="1:15" x14ac:dyDescent="0.25">
      <c r="A54" s="10">
        <v>52</v>
      </c>
      <c r="B54" s="11">
        <v>21</v>
      </c>
      <c r="C54" s="11" t="s">
        <v>243</v>
      </c>
      <c r="D54" s="11">
        <v>1109326</v>
      </c>
      <c r="E54" s="11">
        <v>29169615</v>
      </c>
      <c r="F54" s="12" t="s">
        <v>244</v>
      </c>
      <c r="G54" s="11" t="s">
        <v>245</v>
      </c>
      <c r="H54" t="s">
        <v>246</v>
      </c>
      <c r="I54" s="13">
        <v>27788121568</v>
      </c>
      <c r="J54" s="14">
        <v>9858</v>
      </c>
      <c r="K54" s="14">
        <v>9858</v>
      </c>
      <c r="L54" s="10" t="s">
        <v>63</v>
      </c>
      <c r="M54" s="14">
        <v>0</v>
      </c>
      <c r="N54" s="15">
        <v>0</v>
      </c>
      <c r="O54" t="str">
        <f>IFERROR(VLOOKUP($I54,CHOOSE({1,2},'[1]DIRETORES NTE'!$H$5:$H$31,'[1]DIRETORES NTE'!$E$5:$E$31,),2,0),"-")</f>
        <v>-</v>
      </c>
    </row>
    <row r="55" spans="1:15" x14ac:dyDescent="0.25">
      <c r="A55" s="10">
        <v>53</v>
      </c>
      <c r="B55" s="11">
        <v>11</v>
      </c>
      <c r="C55" s="11" t="s">
        <v>247</v>
      </c>
      <c r="D55" s="11">
        <v>1178003</v>
      </c>
      <c r="E55" s="11">
        <v>29418690</v>
      </c>
      <c r="F55" s="12" t="s">
        <v>248</v>
      </c>
      <c r="G55" s="11" t="s">
        <v>249</v>
      </c>
      <c r="H55" t="s">
        <v>250</v>
      </c>
      <c r="I55" s="13" t="s">
        <v>251</v>
      </c>
      <c r="J55" s="14">
        <v>8452</v>
      </c>
      <c r="K55" s="14">
        <v>8452</v>
      </c>
      <c r="L55" s="10" t="s">
        <v>39</v>
      </c>
      <c r="M55" s="14">
        <v>0</v>
      </c>
      <c r="N55" s="15">
        <v>0</v>
      </c>
      <c r="O55" t="str">
        <f>IFERROR(VLOOKUP($I55,CHOOSE({1,2},'[1]DIRETORES NTE'!$H$5:$H$31,'[1]DIRETORES NTE'!$E$5:$E$31,),2,0),"-")</f>
        <v>-</v>
      </c>
    </row>
    <row r="56" spans="1:15" x14ac:dyDescent="0.25">
      <c r="A56" s="10">
        <v>54</v>
      </c>
      <c r="B56" s="11">
        <v>10</v>
      </c>
      <c r="C56" s="11" t="s">
        <v>16</v>
      </c>
      <c r="D56" s="11">
        <v>1176091</v>
      </c>
      <c r="E56" s="11">
        <v>29025117</v>
      </c>
      <c r="F56" s="12" t="s">
        <v>252</v>
      </c>
      <c r="G56" s="11" t="s">
        <v>253</v>
      </c>
      <c r="H56" t="s">
        <v>254</v>
      </c>
      <c r="I56" s="13" t="s">
        <v>255</v>
      </c>
      <c r="J56" s="14">
        <v>15786</v>
      </c>
      <c r="K56" s="14">
        <v>15786</v>
      </c>
      <c r="L56" s="10" t="s">
        <v>21</v>
      </c>
      <c r="M56" s="14">
        <v>0</v>
      </c>
      <c r="N56" s="15">
        <v>0</v>
      </c>
      <c r="O56" t="str">
        <f>IFERROR(VLOOKUP($I56,CHOOSE({1,2},'[1]DIRETORES NTE'!$H$5:$H$31,'[1]DIRETORES NTE'!$E$5:$E$31,),2,0),"-")</f>
        <v>-</v>
      </c>
    </row>
    <row r="57" spans="1:15" x14ac:dyDescent="0.25">
      <c r="A57" s="10">
        <v>55</v>
      </c>
      <c r="B57" s="11">
        <v>13</v>
      </c>
      <c r="C57" s="11" t="s">
        <v>256</v>
      </c>
      <c r="D57" s="11">
        <v>1124287</v>
      </c>
      <c r="E57" s="11">
        <v>29237629</v>
      </c>
      <c r="F57" s="12" t="s">
        <v>257</v>
      </c>
      <c r="G57" s="11" t="s">
        <v>258</v>
      </c>
      <c r="H57" t="s">
        <v>259</v>
      </c>
      <c r="I57" s="13" t="s">
        <v>260</v>
      </c>
      <c r="J57" s="14">
        <v>10893</v>
      </c>
      <c r="K57" s="14">
        <v>10893</v>
      </c>
      <c r="L57" s="10" t="s">
        <v>33</v>
      </c>
      <c r="M57" s="14">
        <v>0</v>
      </c>
      <c r="N57" s="15">
        <v>0</v>
      </c>
      <c r="O57" t="str">
        <f>IFERROR(VLOOKUP($I57,CHOOSE({1,2},'[1]DIRETORES NTE'!$H$5:$H$31,'[1]DIRETORES NTE'!$E$5:$E$31,),2,0),"-")</f>
        <v>-</v>
      </c>
    </row>
    <row r="58" spans="1:15" x14ac:dyDescent="0.25">
      <c r="A58" s="10">
        <v>56</v>
      </c>
      <c r="B58" s="11">
        <v>24</v>
      </c>
      <c r="C58" s="11" t="s">
        <v>261</v>
      </c>
      <c r="D58" s="11">
        <v>1113960</v>
      </c>
      <c r="E58" s="11">
        <v>29032539</v>
      </c>
      <c r="F58" s="12" t="s">
        <v>262</v>
      </c>
      <c r="G58" s="11" t="s">
        <v>263</v>
      </c>
      <c r="H58" t="s">
        <v>264</v>
      </c>
      <c r="I58" s="13" t="s">
        <v>265</v>
      </c>
      <c r="J58" s="14">
        <v>11488</v>
      </c>
      <c r="K58" s="14">
        <v>11488</v>
      </c>
      <c r="L58" s="10" t="s">
        <v>266</v>
      </c>
      <c r="M58" s="14">
        <v>0</v>
      </c>
      <c r="N58" s="15">
        <v>0</v>
      </c>
      <c r="O58" t="str">
        <f>IFERROR(VLOOKUP($I58,CHOOSE({1,2},'[1]DIRETORES NTE'!$H$5:$H$31,'[1]DIRETORES NTE'!$E$5:$E$31,),2,0),"-")</f>
        <v>-</v>
      </c>
    </row>
    <row r="59" spans="1:15" x14ac:dyDescent="0.25">
      <c r="A59" s="10">
        <v>57</v>
      </c>
      <c r="B59" s="11">
        <v>20</v>
      </c>
      <c r="C59" s="11" t="s">
        <v>267</v>
      </c>
      <c r="D59" s="11">
        <v>1179271</v>
      </c>
      <c r="E59" s="11">
        <v>29459028</v>
      </c>
      <c r="F59" s="12" t="s">
        <v>268</v>
      </c>
      <c r="G59" s="11" t="s">
        <v>269</v>
      </c>
      <c r="H59" t="s">
        <v>270</v>
      </c>
      <c r="I59" s="13">
        <v>99802465534</v>
      </c>
      <c r="J59" s="14">
        <v>3933</v>
      </c>
      <c r="K59" s="14">
        <v>3933</v>
      </c>
      <c r="L59" s="10" t="s">
        <v>27</v>
      </c>
      <c r="M59" s="14">
        <v>0</v>
      </c>
      <c r="N59" s="15">
        <v>0</v>
      </c>
      <c r="O59" t="str">
        <f>IFERROR(VLOOKUP($I59,CHOOSE({1,2},'[1]DIRETORES NTE'!$H$5:$H$31,'[1]DIRETORES NTE'!$E$5:$E$31,),2,0),"-")</f>
        <v>-</v>
      </c>
    </row>
    <row r="60" spans="1:15" x14ac:dyDescent="0.25">
      <c r="A60" s="10">
        <v>58</v>
      </c>
      <c r="B60" s="11">
        <v>16</v>
      </c>
      <c r="C60" s="11" t="s">
        <v>271</v>
      </c>
      <c r="D60" s="11">
        <v>1161794</v>
      </c>
      <c r="E60" s="11">
        <v>29079055</v>
      </c>
      <c r="F60" s="12" t="s">
        <v>272</v>
      </c>
      <c r="G60" s="11" t="s">
        <v>273</v>
      </c>
      <c r="H60" t="s">
        <v>274</v>
      </c>
      <c r="I60" s="13" t="s">
        <v>275</v>
      </c>
      <c r="J60" s="14">
        <v>10562</v>
      </c>
      <c r="K60" s="14">
        <v>10562</v>
      </c>
      <c r="L60" s="10" t="s">
        <v>74</v>
      </c>
      <c r="M60" s="14">
        <v>0</v>
      </c>
      <c r="N60" s="15">
        <v>0</v>
      </c>
      <c r="O60" t="str">
        <f>IFERROR(VLOOKUP($I60,CHOOSE({1,2},'[1]DIRETORES NTE'!$H$5:$H$31,'[1]DIRETORES NTE'!$E$5:$E$31,),2,0),"-")</f>
        <v>-</v>
      </c>
    </row>
    <row r="61" spans="1:15" x14ac:dyDescent="0.25">
      <c r="A61" s="10">
        <v>59</v>
      </c>
      <c r="B61" s="11">
        <v>15</v>
      </c>
      <c r="C61" s="11" t="s">
        <v>276</v>
      </c>
      <c r="D61" s="11">
        <v>1107650</v>
      </c>
      <c r="E61" s="11">
        <v>29111285</v>
      </c>
      <c r="F61" s="12" t="s">
        <v>277</v>
      </c>
      <c r="G61" s="11" t="s">
        <v>278</v>
      </c>
      <c r="H61" t="s">
        <v>279</v>
      </c>
      <c r="I61" s="13">
        <v>60639105572</v>
      </c>
      <c r="J61" s="14">
        <v>4065</v>
      </c>
      <c r="K61" s="14">
        <v>4065</v>
      </c>
      <c r="L61" s="10" t="s">
        <v>280</v>
      </c>
      <c r="M61" s="14">
        <v>0</v>
      </c>
      <c r="N61" s="15">
        <v>0</v>
      </c>
      <c r="O61" t="str">
        <f>IFERROR(VLOOKUP($I61,CHOOSE({1,2},'[1]DIRETORES NTE'!$H$5:$H$31,'[1]DIRETORES NTE'!$E$5:$E$31,),2,0),"-")</f>
        <v>-</v>
      </c>
    </row>
    <row r="62" spans="1:15" x14ac:dyDescent="0.25">
      <c r="A62" s="10">
        <v>60</v>
      </c>
      <c r="B62" s="11">
        <v>8</v>
      </c>
      <c r="C62" s="11" t="s">
        <v>281</v>
      </c>
      <c r="D62" s="11">
        <v>1119283</v>
      </c>
      <c r="E62" s="11">
        <v>29283647</v>
      </c>
      <c r="F62" s="12" t="s">
        <v>282</v>
      </c>
      <c r="G62" s="11" t="s">
        <v>283</v>
      </c>
      <c r="H62" t="s">
        <v>284</v>
      </c>
      <c r="I62" s="13">
        <v>32846258520</v>
      </c>
      <c r="J62" s="14">
        <v>15020</v>
      </c>
      <c r="K62" s="14">
        <v>15020</v>
      </c>
      <c r="L62" s="10" t="s">
        <v>285</v>
      </c>
      <c r="M62" s="14">
        <v>0</v>
      </c>
      <c r="N62" s="15">
        <v>0</v>
      </c>
      <c r="O62" t="str">
        <f>IFERROR(VLOOKUP($I62,CHOOSE({1,2},'[1]DIRETORES NTE'!$H$5:$H$31,'[1]DIRETORES NTE'!$E$5:$E$31,),2,0),"-")</f>
        <v>-</v>
      </c>
    </row>
    <row r="63" spans="1:15" x14ac:dyDescent="0.25">
      <c r="A63" s="10">
        <v>61</v>
      </c>
      <c r="B63" s="11">
        <v>4</v>
      </c>
      <c r="C63" s="11" t="s">
        <v>171</v>
      </c>
      <c r="D63" s="11">
        <v>1178073</v>
      </c>
      <c r="E63" s="11">
        <v>29432200</v>
      </c>
      <c r="F63" s="12" t="s">
        <v>286</v>
      </c>
      <c r="G63" s="11" t="s">
        <v>287</v>
      </c>
      <c r="H63" t="s">
        <v>288</v>
      </c>
      <c r="I63" s="13">
        <v>76820904568</v>
      </c>
      <c r="J63" s="14">
        <v>7080</v>
      </c>
      <c r="K63" s="14">
        <v>7080</v>
      </c>
      <c r="L63" s="10" t="s">
        <v>58</v>
      </c>
      <c r="M63" s="14">
        <v>0</v>
      </c>
      <c r="N63" s="15">
        <v>0</v>
      </c>
      <c r="O63" t="str">
        <f>IFERROR(VLOOKUP($I63,CHOOSE({1,2},'[1]DIRETORES NTE'!$H$5:$H$31,'[1]DIRETORES NTE'!$E$5:$E$31,),2,0),"-")</f>
        <v>-</v>
      </c>
    </row>
    <row r="64" spans="1:15" x14ac:dyDescent="0.25">
      <c r="A64" s="10">
        <v>62</v>
      </c>
      <c r="B64" s="11">
        <v>26</v>
      </c>
      <c r="C64" s="11" t="s">
        <v>289</v>
      </c>
      <c r="D64" s="11">
        <v>1110081</v>
      </c>
      <c r="E64" s="11">
        <v>29178584</v>
      </c>
      <c r="F64" s="12" t="s">
        <v>290</v>
      </c>
      <c r="G64" s="11" t="s">
        <v>291</v>
      </c>
      <c r="H64" t="s">
        <v>292</v>
      </c>
      <c r="I64" s="13">
        <v>57655073520</v>
      </c>
      <c r="J64" s="14">
        <v>9109</v>
      </c>
      <c r="K64" s="14">
        <v>0.4</v>
      </c>
      <c r="L64" s="10" t="s">
        <v>99</v>
      </c>
      <c r="M64" s="14">
        <v>9108.6</v>
      </c>
      <c r="N64" s="15">
        <v>0.99995608738610164</v>
      </c>
      <c r="O64" t="str">
        <f>IFERROR(VLOOKUP($I64,CHOOSE({1,2},'[1]DIRETORES NTE'!$H$5:$H$31,'[1]DIRETORES NTE'!$E$5:$E$31,),2,0),"-")</f>
        <v>-</v>
      </c>
    </row>
    <row r="65" spans="1:15" x14ac:dyDescent="0.25">
      <c r="A65" s="10">
        <v>63</v>
      </c>
      <c r="B65" s="11">
        <v>15</v>
      </c>
      <c r="C65" s="11" t="s">
        <v>293</v>
      </c>
      <c r="D65" s="11">
        <v>1176069</v>
      </c>
      <c r="E65" s="11">
        <v>29088623</v>
      </c>
      <c r="F65" s="12" t="s">
        <v>294</v>
      </c>
      <c r="G65" s="11" t="s">
        <v>295</v>
      </c>
      <c r="H65" t="s">
        <v>296</v>
      </c>
      <c r="I65" s="13" t="s">
        <v>297</v>
      </c>
      <c r="J65" s="14">
        <v>7057</v>
      </c>
      <c r="K65" s="14">
        <v>7057</v>
      </c>
      <c r="L65" s="10" t="s">
        <v>280</v>
      </c>
      <c r="M65" s="14">
        <v>0</v>
      </c>
      <c r="N65" s="15">
        <v>0</v>
      </c>
      <c r="O65" t="str">
        <f>IFERROR(VLOOKUP($I65,CHOOSE({1,2},'[1]DIRETORES NTE'!$H$5:$H$31,'[1]DIRETORES NTE'!$E$5:$E$31,),2,0),"-")</f>
        <v>-</v>
      </c>
    </row>
    <row r="66" spans="1:15" x14ac:dyDescent="0.25">
      <c r="A66" s="10">
        <v>64</v>
      </c>
      <c r="B66" s="11">
        <v>5</v>
      </c>
      <c r="C66" s="11" t="s">
        <v>298</v>
      </c>
      <c r="D66" s="11">
        <v>1159641</v>
      </c>
      <c r="E66" s="11">
        <v>29288150</v>
      </c>
      <c r="F66" s="12" t="s">
        <v>299</v>
      </c>
      <c r="G66" s="11" t="s">
        <v>300</v>
      </c>
      <c r="H66" t="s">
        <v>301</v>
      </c>
      <c r="I66" s="13" t="s">
        <v>302</v>
      </c>
      <c r="J66" s="14">
        <v>4899</v>
      </c>
      <c r="K66" s="14">
        <v>4899</v>
      </c>
      <c r="L66" s="10" t="s">
        <v>44</v>
      </c>
      <c r="M66" s="14">
        <v>0</v>
      </c>
      <c r="N66" s="15">
        <v>0</v>
      </c>
      <c r="O66" t="str">
        <f>IFERROR(VLOOKUP($I66,CHOOSE({1,2},'[1]DIRETORES NTE'!$H$5:$H$31,'[1]DIRETORES NTE'!$E$5:$E$31,),2,0),"-")</f>
        <v>-</v>
      </c>
    </row>
    <row r="67" spans="1:15" x14ac:dyDescent="0.25">
      <c r="A67" s="10">
        <v>65</v>
      </c>
      <c r="B67" s="11" t="s">
        <v>237</v>
      </c>
      <c r="C67" s="11" t="s">
        <v>237</v>
      </c>
      <c r="D67" s="11" t="s">
        <v>237</v>
      </c>
      <c r="E67" s="11" t="s">
        <v>237</v>
      </c>
      <c r="F67" s="12" t="s">
        <v>237</v>
      </c>
      <c r="G67" s="11" t="s">
        <v>237</v>
      </c>
      <c r="H67" t="s">
        <v>303</v>
      </c>
      <c r="I67" s="13" t="s">
        <v>304</v>
      </c>
      <c r="J67" s="14">
        <v>0</v>
      </c>
      <c r="K67" s="14">
        <v>0</v>
      </c>
      <c r="L67" s="10" t="s">
        <v>33</v>
      </c>
      <c r="M67" s="14">
        <v>0</v>
      </c>
      <c r="N67" s="15" t="e">
        <v>#DIV/0!</v>
      </c>
      <c r="O67" t="str">
        <f>IFERROR(VLOOKUP($I67,CHOOSE({1,2},'[1]DIRETORES NTE'!$H$5:$H$31,'[1]DIRETORES NTE'!$E$5:$E$31,),2,0),"-")</f>
        <v>-</v>
      </c>
    </row>
    <row r="68" spans="1:15" x14ac:dyDescent="0.25">
      <c r="A68" s="10">
        <v>66</v>
      </c>
      <c r="B68" s="11">
        <v>26</v>
      </c>
      <c r="C68" s="11" t="s">
        <v>305</v>
      </c>
      <c r="D68" s="11">
        <v>1177099</v>
      </c>
      <c r="E68" s="11">
        <v>29415969</v>
      </c>
      <c r="F68" s="12" t="s">
        <v>306</v>
      </c>
      <c r="G68" s="11" t="s">
        <v>307</v>
      </c>
      <c r="H68" t="s">
        <v>308</v>
      </c>
      <c r="I68" s="13">
        <v>36585874587</v>
      </c>
      <c r="J68" s="14">
        <v>7479</v>
      </c>
      <c r="K68" s="14">
        <v>0</v>
      </c>
      <c r="L68" s="10" t="s">
        <v>99</v>
      </c>
      <c r="M68" s="14">
        <v>7479</v>
      </c>
      <c r="N68" s="15">
        <v>1</v>
      </c>
      <c r="O68" t="str">
        <f>IFERROR(VLOOKUP($I68,CHOOSE({1,2},'[1]DIRETORES NTE'!$H$5:$H$31,'[1]DIRETORES NTE'!$E$5:$E$31,),2,0),"-")</f>
        <v>-</v>
      </c>
    </row>
    <row r="69" spans="1:15" x14ac:dyDescent="0.25">
      <c r="A69" s="10">
        <v>67</v>
      </c>
      <c r="B69" s="11">
        <v>8</v>
      </c>
      <c r="C69" s="11" t="s">
        <v>309</v>
      </c>
      <c r="D69" s="11">
        <v>1166613</v>
      </c>
      <c r="E69" s="11">
        <v>29283230</v>
      </c>
      <c r="F69" s="12" t="s">
        <v>310</v>
      </c>
      <c r="G69" s="11" t="s">
        <v>311</v>
      </c>
      <c r="H69" t="s">
        <v>312</v>
      </c>
      <c r="I69" s="13" t="s">
        <v>313</v>
      </c>
      <c r="J69" s="14">
        <v>10376</v>
      </c>
      <c r="K69" s="14">
        <v>873.69</v>
      </c>
      <c r="L69" s="10" t="s">
        <v>285</v>
      </c>
      <c r="M69" s="14">
        <v>9502.31</v>
      </c>
      <c r="N69" s="15">
        <v>0.91579703161141091</v>
      </c>
      <c r="O69" t="str">
        <f>IFERROR(VLOOKUP($I69,CHOOSE({1,2},'[1]DIRETORES NTE'!$H$5:$H$31,'[1]DIRETORES NTE'!$E$5:$E$31,),2,0),"-")</f>
        <v>-</v>
      </c>
    </row>
    <row r="70" spans="1:15" x14ac:dyDescent="0.25">
      <c r="A70" s="10">
        <v>68</v>
      </c>
      <c r="B70" s="11">
        <v>26</v>
      </c>
      <c r="C70" s="11" t="s">
        <v>95</v>
      </c>
      <c r="D70" s="11">
        <v>1103107</v>
      </c>
      <c r="E70" s="11">
        <v>29193532</v>
      </c>
      <c r="F70" s="12" t="s">
        <v>314</v>
      </c>
      <c r="G70" s="11" t="s">
        <v>315</v>
      </c>
      <c r="H70" t="s">
        <v>316</v>
      </c>
      <c r="I70" s="13">
        <v>68635354591</v>
      </c>
      <c r="J70" s="14">
        <v>10728</v>
      </c>
      <c r="K70" s="14">
        <v>10728</v>
      </c>
      <c r="L70" s="10" t="s">
        <v>99</v>
      </c>
      <c r="M70" s="14">
        <v>0</v>
      </c>
      <c r="N70" s="15">
        <v>0</v>
      </c>
      <c r="O70" t="str">
        <f>IFERROR(VLOOKUP($I70,CHOOSE({1,2},'[1]DIRETORES NTE'!$H$5:$H$31,'[1]DIRETORES NTE'!$E$5:$E$31,),2,0),"-")</f>
        <v>-</v>
      </c>
    </row>
    <row r="71" spans="1:15" x14ac:dyDescent="0.25">
      <c r="A71" s="10">
        <v>69</v>
      </c>
      <c r="B71" s="11">
        <v>26</v>
      </c>
      <c r="C71" s="11" t="s">
        <v>95</v>
      </c>
      <c r="D71" s="11">
        <v>1103344</v>
      </c>
      <c r="E71" s="11">
        <v>29200024</v>
      </c>
      <c r="F71" s="12" t="s">
        <v>317</v>
      </c>
      <c r="G71" s="11" t="s">
        <v>318</v>
      </c>
      <c r="H71" t="s">
        <v>319</v>
      </c>
      <c r="I71" s="13">
        <v>92119948534</v>
      </c>
      <c r="J71" s="14">
        <v>15311</v>
      </c>
      <c r="K71" s="14">
        <v>1342.53</v>
      </c>
      <c r="L71" s="10" t="s">
        <v>99</v>
      </c>
      <c r="M71" s="14">
        <v>13968.47</v>
      </c>
      <c r="N71" s="15">
        <v>0.91231598197374431</v>
      </c>
      <c r="O71" t="str">
        <f>IFERROR(VLOOKUP($I71,CHOOSE({1,2},'[1]DIRETORES NTE'!$H$5:$H$31,'[1]DIRETORES NTE'!$E$5:$E$31,),2,0),"-")</f>
        <v>-</v>
      </c>
    </row>
    <row r="72" spans="1:15" x14ac:dyDescent="0.25">
      <c r="A72" s="10">
        <v>70</v>
      </c>
      <c r="B72" s="11">
        <v>5</v>
      </c>
      <c r="C72" s="11" t="s">
        <v>320</v>
      </c>
      <c r="D72" s="11">
        <v>1158688</v>
      </c>
      <c r="E72" s="11">
        <v>29309425</v>
      </c>
      <c r="F72" s="12" t="s">
        <v>321</v>
      </c>
      <c r="G72" s="11" t="s">
        <v>322</v>
      </c>
      <c r="H72" t="s">
        <v>323</v>
      </c>
      <c r="I72" s="13">
        <v>80045537534</v>
      </c>
      <c r="J72" s="14">
        <v>9041</v>
      </c>
      <c r="K72" s="14">
        <v>9041</v>
      </c>
      <c r="L72" s="10" t="s">
        <v>44</v>
      </c>
      <c r="M72" s="14">
        <v>0</v>
      </c>
      <c r="N72" s="15">
        <v>0</v>
      </c>
      <c r="O72" t="str">
        <f>IFERROR(VLOOKUP($I72,CHOOSE({1,2},'[1]DIRETORES NTE'!$H$5:$H$31,'[1]DIRETORES NTE'!$E$5:$E$31,),2,0),"-")</f>
        <v>-</v>
      </c>
    </row>
    <row r="73" spans="1:15" x14ac:dyDescent="0.25">
      <c r="A73" s="10">
        <v>71</v>
      </c>
      <c r="B73" s="11">
        <v>26</v>
      </c>
      <c r="C73" s="11" t="s">
        <v>95</v>
      </c>
      <c r="D73" s="11">
        <v>1176390</v>
      </c>
      <c r="E73" s="11">
        <v>29358140</v>
      </c>
      <c r="F73" s="12" t="s">
        <v>324</v>
      </c>
      <c r="G73" s="11" t="s">
        <v>325</v>
      </c>
      <c r="H73" t="s">
        <v>326</v>
      </c>
      <c r="I73" s="13">
        <v>57627479568</v>
      </c>
      <c r="J73" s="14">
        <v>12020</v>
      </c>
      <c r="K73" s="14">
        <v>12020</v>
      </c>
      <c r="L73" s="10" t="s">
        <v>99</v>
      </c>
      <c r="M73" s="14">
        <v>0</v>
      </c>
      <c r="N73" s="15">
        <v>0</v>
      </c>
      <c r="O73" t="str">
        <f>IFERROR(VLOOKUP($I73,CHOOSE({1,2},'[1]DIRETORES NTE'!$H$5:$H$31,'[1]DIRETORES NTE'!$E$5:$E$31,),2,0),"-")</f>
        <v>-</v>
      </c>
    </row>
    <row r="74" spans="1:15" x14ac:dyDescent="0.25">
      <c r="A74" s="10">
        <v>72</v>
      </c>
      <c r="B74" s="11">
        <v>18</v>
      </c>
      <c r="C74" s="11" t="s">
        <v>327</v>
      </c>
      <c r="D74" s="11">
        <v>1178251</v>
      </c>
      <c r="E74" s="11">
        <v>29456606</v>
      </c>
      <c r="F74" s="12" t="s">
        <v>328</v>
      </c>
      <c r="G74" s="11" t="s">
        <v>329</v>
      </c>
      <c r="H74" t="s">
        <v>330</v>
      </c>
      <c r="I74" s="13">
        <v>42621356591</v>
      </c>
      <c r="J74" s="14">
        <v>1720</v>
      </c>
      <c r="K74" s="14">
        <v>1720</v>
      </c>
      <c r="L74" s="10" t="s">
        <v>68</v>
      </c>
      <c r="M74" s="14">
        <v>0</v>
      </c>
      <c r="N74" s="15">
        <v>0</v>
      </c>
      <c r="O74" t="str">
        <f>IFERROR(VLOOKUP($I74,CHOOSE({1,2},'[1]DIRETORES NTE'!$H$5:$H$31,'[1]DIRETORES NTE'!$E$5:$E$31,),2,0),"-")</f>
        <v>-</v>
      </c>
    </row>
    <row r="75" spans="1:15" x14ac:dyDescent="0.25">
      <c r="A75" s="10">
        <v>73</v>
      </c>
      <c r="B75" s="11">
        <v>19</v>
      </c>
      <c r="C75" s="11" t="s">
        <v>331</v>
      </c>
      <c r="D75" s="11">
        <v>1106220</v>
      </c>
      <c r="E75" s="11">
        <v>29094216</v>
      </c>
      <c r="F75" s="12" t="s">
        <v>332</v>
      </c>
      <c r="G75" s="11" t="s">
        <v>333</v>
      </c>
      <c r="H75" t="s">
        <v>334</v>
      </c>
      <c r="I75" s="13" t="s">
        <v>335</v>
      </c>
      <c r="J75" s="14">
        <v>11952</v>
      </c>
      <c r="K75" s="14">
        <v>698.07</v>
      </c>
      <c r="L75" s="10" t="s">
        <v>336</v>
      </c>
      <c r="M75" s="14">
        <v>11253.93</v>
      </c>
      <c r="N75" s="15">
        <v>0.94159387550200802</v>
      </c>
      <c r="O75" t="str">
        <f>IFERROR(VLOOKUP($I75,CHOOSE({1,2},'[1]DIRETORES NTE'!$H$5:$H$31,'[1]DIRETORES NTE'!$E$5:$E$31,),2,0),"-")</f>
        <v>-</v>
      </c>
    </row>
    <row r="76" spans="1:15" x14ac:dyDescent="0.25">
      <c r="A76" s="10">
        <v>74</v>
      </c>
      <c r="B76" s="11">
        <v>19</v>
      </c>
      <c r="C76" s="11" t="s">
        <v>337</v>
      </c>
      <c r="D76" s="11">
        <v>1105568</v>
      </c>
      <c r="E76" s="11">
        <v>29090865</v>
      </c>
      <c r="F76" s="12" t="s">
        <v>338</v>
      </c>
      <c r="G76" s="11" t="s">
        <v>339</v>
      </c>
      <c r="H76" t="s">
        <v>340</v>
      </c>
      <c r="I76" s="13">
        <v>49983881500</v>
      </c>
      <c r="J76" s="14">
        <v>16196</v>
      </c>
      <c r="K76" s="14">
        <v>3104.58</v>
      </c>
      <c r="L76" s="10" t="s">
        <v>336</v>
      </c>
      <c r="M76" s="14">
        <v>13091.42</v>
      </c>
      <c r="N76" s="15">
        <v>0.8083119288713263</v>
      </c>
      <c r="O76" t="str">
        <f>IFERROR(VLOOKUP($I76,CHOOSE({1,2},'[1]DIRETORES NTE'!$H$5:$H$31,'[1]DIRETORES NTE'!$E$5:$E$31,),2,0),"-")</f>
        <v>-</v>
      </c>
    </row>
    <row r="77" spans="1:15" x14ac:dyDescent="0.25">
      <c r="A77" s="10">
        <v>75</v>
      </c>
      <c r="B77" s="11">
        <v>19</v>
      </c>
      <c r="C77" s="11" t="s">
        <v>331</v>
      </c>
      <c r="D77" s="11">
        <v>1160607</v>
      </c>
      <c r="E77" s="11">
        <v>29093341</v>
      </c>
      <c r="F77" s="12" t="s">
        <v>341</v>
      </c>
      <c r="G77" s="11" t="s">
        <v>342</v>
      </c>
      <c r="H77" t="s">
        <v>343</v>
      </c>
      <c r="I77" s="13">
        <v>92827314568</v>
      </c>
      <c r="J77" s="14">
        <v>4052</v>
      </c>
      <c r="K77" s="14">
        <v>4052</v>
      </c>
      <c r="L77" s="10" t="s">
        <v>336</v>
      </c>
      <c r="M77" s="14">
        <v>0</v>
      </c>
      <c r="N77" s="15">
        <v>0</v>
      </c>
      <c r="O77" t="str">
        <f>IFERROR(VLOOKUP($I77,CHOOSE({1,2},'[1]DIRETORES NTE'!$H$5:$H$31,'[1]DIRETORES NTE'!$E$5:$E$31,),2,0),"-")</f>
        <v>-</v>
      </c>
    </row>
    <row r="78" spans="1:15" x14ac:dyDescent="0.25">
      <c r="A78" s="10">
        <v>76</v>
      </c>
      <c r="B78" s="11">
        <v>18</v>
      </c>
      <c r="C78" s="11" t="s">
        <v>344</v>
      </c>
      <c r="D78" s="11">
        <v>1178221</v>
      </c>
      <c r="E78" s="11">
        <v>29446740</v>
      </c>
      <c r="F78" s="12" t="s">
        <v>345</v>
      </c>
      <c r="G78" s="11" t="s">
        <v>346</v>
      </c>
      <c r="H78" t="s">
        <v>347</v>
      </c>
      <c r="I78" s="13">
        <v>13985353549</v>
      </c>
      <c r="J78" s="14">
        <v>13804</v>
      </c>
      <c r="K78" s="14">
        <v>13804</v>
      </c>
      <c r="L78" s="10" t="s">
        <v>68</v>
      </c>
      <c r="M78" s="14">
        <v>0</v>
      </c>
      <c r="N78" s="15">
        <v>0</v>
      </c>
      <c r="O78" t="str">
        <f>IFERROR(VLOOKUP($I78,CHOOSE({1,2},'[1]DIRETORES NTE'!$H$5:$H$31,'[1]DIRETORES NTE'!$E$5:$E$31,),2,0),"-")</f>
        <v>-</v>
      </c>
    </row>
    <row r="79" spans="1:15" x14ac:dyDescent="0.25">
      <c r="A79" s="10">
        <v>77</v>
      </c>
      <c r="B79" s="11">
        <v>22</v>
      </c>
      <c r="C79" s="11" t="s">
        <v>348</v>
      </c>
      <c r="D79" s="11">
        <v>1116950</v>
      </c>
      <c r="E79" s="11">
        <v>29271967</v>
      </c>
      <c r="F79" s="12" t="s">
        <v>349</v>
      </c>
      <c r="G79" s="11" t="s">
        <v>350</v>
      </c>
      <c r="H79" t="s">
        <v>351</v>
      </c>
      <c r="I79" s="13">
        <v>10188069704</v>
      </c>
      <c r="J79" s="14">
        <v>8185</v>
      </c>
      <c r="K79" s="14">
        <v>8185</v>
      </c>
      <c r="L79" s="10" t="s">
        <v>200</v>
      </c>
      <c r="M79" s="14">
        <v>0</v>
      </c>
      <c r="N79" s="15">
        <v>0</v>
      </c>
      <c r="O79" t="str">
        <f>IFERROR(VLOOKUP($I79,CHOOSE({1,2},'[1]DIRETORES NTE'!$H$5:$H$31,'[1]DIRETORES NTE'!$E$5:$E$31,),2,0),"-")</f>
        <v>-</v>
      </c>
    </row>
    <row r="80" spans="1:15" x14ac:dyDescent="0.25">
      <c r="A80" s="10">
        <v>78</v>
      </c>
      <c r="B80" s="11">
        <v>1</v>
      </c>
      <c r="C80" s="11" t="s">
        <v>352</v>
      </c>
      <c r="D80" s="11">
        <v>1127260</v>
      </c>
      <c r="E80" s="11">
        <v>29207843</v>
      </c>
      <c r="F80" s="12" t="s">
        <v>353</v>
      </c>
      <c r="G80" s="11" t="s">
        <v>354</v>
      </c>
      <c r="H80" t="s">
        <v>355</v>
      </c>
      <c r="I80" s="13">
        <v>63927020591</v>
      </c>
      <c r="J80" s="14">
        <v>5085</v>
      </c>
      <c r="K80" s="14">
        <v>5085</v>
      </c>
      <c r="L80" s="10" t="s">
        <v>356</v>
      </c>
      <c r="M80" s="14">
        <v>0</v>
      </c>
      <c r="N80" s="15">
        <v>0</v>
      </c>
      <c r="O80" t="str">
        <f>IFERROR(VLOOKUP($I80,CHOOSE({1,2},'[1]DIRETORES NTE'!$H$5:$H$31,'[1]DIRETORES NTE'!$E$5:$E$31,),2,0),"-")</f>
        <v>-</v>
      </c>
    </row>
    <row r="81" spans="1:15" x14ac:dyDescent="0.25">
      <c r="A81" s="10">
        <v>79</v>
      </c>
      <c r="B81" s="11">
        <v>26</v>
      </c>
      <c r="C81" s="11" t="s">
        <v>289</v>
      </c>
      <c r="D81" s="11">
        <v>1100256</v>
      </c>
      <c r="E81" s="11">
        <v>29178320</v>
      </c>
      <c r="F81" s="12" t="s">
        <v>357</v>
      </c>
      <c r="G81" s="11" t="s">
        <v>358</v>
      </c>
      <c r="H81" t="s">
        <v>359</v>
      </c>
      <c r="I81" s="13">
        <v>87873990591</v>
      </c>
      <c r="J81" s="14">
        <v>15516</v>
      </c>
      <c r="K81" s="14">
        <v>0.6</v>
      </c>
      <c r="L81" s="10" t="s">
        <v>99</v>
      </c>
      <c r="M81" s="14">
        <v>15515.4</v>
      </c>
      <c r="N81" s="15">
        <v>0.99996133023975253</v>
      </c>
      <c r="O81" t="str">
        <f>IFERROR(VLOOKUP($I81,CHOOSE({1,2},'[1]DIRETORES NTE'!$H$5:$H$31,'[1]DIRETORES NTE'!$E$5:$E$31,),2,0),"-")</f>
        <v>-</v>
      </c>
    </row>
    <row r="82" spans="1:15" x14ac:dyDescent="0.25">
      <c r="A82" s="10">
        <v>80</v>
      </c>
      <c r="B82" s="11">
        <v>26</v>
      </c>
      <c r="C82" s="11" t="s">
        <v>95</v>
      </c>
      <c r="D82" s="11">
        <v>1102879</v>
      </c>
      <c r="E82" s="11">
        <v>29181143</v>
      </c>
      <c r="F82" s="12" t="s">
        <v>360</v>
      </c>
      <c r="G82" s="11" t="s">
        <v>361</v>
      </c>
      <c r="H82" t="s">
        <v>362</v>
      </c>
      <c r="I82" s="13">
        <v>64500969500</v>
      </c>
      <c r="J82" s="14">
        <v>16851</v>
      </c>
      <c r="K82" s="14">
        <v>16851</v>
      </c>
      <c r="L82" s="10" t="s">
        <v>99</v>
      </c>
      <c r="M82" s="14">
        <v>0</v>
      </c>
      <c r="N82" s="15">
        <v>0</v>
      </c>
      <c r="O82" t="str">
        <f>IFERROR(VLOOKUP($I82,CHOOSE({1,2},'[1]DIRETORES NTE'!$H$5:$H$31,'[1]DIRETORES NTE'!$E$5:$E$31,),2,0),"-")</f>
        <v>-</v>
      </c>
    </row>
    <row r="83" spans="1:15" x14ac:dyDescent="0.25">
      <c r="A83" s="10">
        <v>81</v>
      </c>
      <c r="B83" s="11">
        <v>8</v>
      </c>
      <c r="C83" s="11" t="s">
        <v>363</v>
      </c>
      <c r="D83" s="11">
        <v>1118830</v>
      </c>
      <c r="E83" s="11">
        <v>29437830</v>
      </c>
      <c r="F83" s="12" t="s">
        <v>364</v>
      </c>
      <c r="G83" s="11" t="s">
        <v>365</v>
      </c>
      <c r="H83" t="s">
        <v>366</v>
      </c>
      <c r="I83" s="13" t="s">
        <v>367</v>
      </c>
      <c r="J83" s="14">
        <v>9473</v>
      </c>
      <c r="K83" s="14">
        <v>2087.44</v>
      </c>
      <c r="L83" s="10" t="s">
        <v>285</v>
      </c>
      <c r="M83" s="14">
        <v>7385.5599999999995</v>
      </c>
      <c r="N83" s="15">
        <v>0.77964319645307711</v>
      </c>
      <c r="O83" t="str">
        <f>IFERROR(VLOOKUP($I83,CHOOSE({1,2},'[1]DIRETORES NTE'!$H$5:$H$31,'[1]DIRETORES NTE'!$E$5:$E$31,),2,0),"-")</f>
        <v>-</v>
      </c>
    </row>
    <row r="84" spans="1:15" x14ac:dyDescent="0.25">
      <c r="A84" s="10">
        <v>82</v>
      </c>
      <c r="B84" s="11">
        <v>23</v>
      </c>
      <c r="C84" s="11" t="s">
        <v>368</v>
      </c>
      <c r="D84" s="11">
        <v>1131739</v>
      </c>
      <c r="E84" s="11">
        <v>29009880</v>
      </c>
      <c r="F84" s="12" t="s">
        <v>369</v>
      </c>
      <c r="G84" s="11" t="s">
        <v>370</v>
      </c>
      <c r="H84" t="s">
        <v>371</v>
      </c>
      <c r="I84" s="13" t="s">
        <v>372</v>
      </c>
      <c r="J84" s="14">
        <v>6404</v>
      </c>
      <c r="K84" s="14">
        <v>6404</v>
      </c>
      <c r="L84" s="10" t="s">
        <v>373</v>
      </c>
      <c r="M84" s="14">
        <v>0</v>
      </c>
      <c r="N84" s="15">
        <v>0</v>
      </c>
      <c r="O84" t="str">
        <f>IFERROR(VLOOKUP($I84,CHOOSE({1,2},'[1]DIRETORES NTE'!$H$5:$H$31,'[1]DIRETORES NTE'!$E$5:$E$31,),2,0),"-")</f>
        <v>-</v>
      </c>
    </row>
    <row r="85" spans="1:15" x14ac:dyDescent="0.25">
      <c r="A85" s="10">
        <v>83</v>
      </c>
      <c r="B85" s="11">
        <v>26</v>
      </c>
      <c r="C85" s="11" t="s">
        <v>95</v>
      </c>
      <c r="D85" s="11">
        <v>1176392</v>
      </c>
      <c r="E85" s="11">
        <v>29374677</v>
      </c>
      <c r="F85" s="12" t="s">
        <v>374</v>
      </c>
      <c r="G85" s="11" t="s">
        <v>375</v>
      </c>
      <c r="H85" t="s">
        <v>376</v>
      </c>
      <c r="I85" s="13">
        <v>41382552572</v>
      </c>
      <c r="J85" s="14">
        <v>11193</v>
      </c>
      <c r="K85" s="14">
        <v>11193</v>
      </c>
      <c r="L85" s="10" t="s">
        <v>99</v>
      </c>
      <c r="M85" s="14">
        <v>0</v>
      </c>
      <c r="N85" s="15">
        <v>0</v>
      </c>
      <c r="O85" t="str">
        <f>IFERROR(VLOOKUP($I85,CHOOSE({1,2},'[1]DIRETORES NTE'!$H$5:$H$31,'[1]DIRETORES NTE'!$E$5:$E$31,),2,0),"-")</f>
        <v>-</v>
      </c>
    </row>
    <row r="86" spans="1:15" x14ac:dyDescent="0.25">
      <c r="A86" s="10">
        <v>84</v>
      </c>
      <c r="B86" s="11">
        <v>18</v>
      </c>
      <c r="C86" s="11" t="s">
        <v>64</v>
      </c>
      <c r="D86" s="11">
        <v>1135637</v>
      </c>
      <c r="E86" s="11">
        <v>29150418</v>
      </c>
      <c r="F86" s="12" t="s">
        <v>377</v>
      </c>
      <c r="G86" s="11" t="s">
        <v>378</v>
      </c>
      <c r="H86" t="s">
        <v>379</v>
      </c>
      <c r="I86" s="13" t="s">
        <v>380</v>
      </c>
      <c r="J86" s="14">
        <v>8368</v>
      </c>
      <c r="K86" s="14">
        <v>8368</v>
      </c>
      <c r="L86" s="10" t="s">
        <v>68</v>
      </c>
      <c r="M86" s="14">
        <v>0</v>
      </c>
      <c r="N86" s="15">
        <v>0</v>
      </c>
      <c r="O86" t="str">
        <f>IFERROR(VLOOKUP($I86,CHOOSE({1,2},'[1]DIRETORES NTE'!$H$5:$H$31,'[1]DIRETORES NTE'!$E$5:$E$31,),2,0),"-")</f>
        <v>-</v>
      </c>
    </row>
    <row r="87" spans="1:15" x14ac:dyDescent="0.25">
      <c r="A87" s="10">
        <v>85</v>
      </c>
      <c r="B87" s="11">
        <v>2</v>
      </c>
      <c r="C87" s="11" t="s">
        <v>381</v>
      </c>
      <c r="D87" s="11">
        <v>1178324</v>
      </c>
      <c r="E87" s="11">
        <v>29863724</v>
      </c>
      <c r="F87" s="12" t="s">
        <v>382</v>
      </c>
      <c r="G87" s="11" t="s">
        <v>383</v>
      </c>
      <c r="H87" t="s">
        <v>384</v>
      </c>
      <c r="I87" s="13">
        <v>80590411500</v>
      </c>
      <c r="J87" s="14">
        <v>8144</v>
      </c>
      <c r="K87" s="14">
        <v>13.76</v>
      </c>
      <c r="L87" s="10" t="s">
        <v>105</v>
      </c>
      <c r="M87" s="14">
        <v>8130.24</v>
      </c>
      <c r="N87" s="15">
        <v>0.99831041257367381</v>
      </c>
      <c r="O87" t="str">
        <f>IFERROR(VLOOKUP($I87,CHOOSE({1,2},'[1]DIRETORES NTE'!$H$5:$H$31,'[1]DIRETORES NTE'!$E$5:$E$31,),2,0),"-")</f>
        <v>-</v>
      </c>
    </row>
    <row r="88" spans="1:15" x14ac:dyDescent="0.25">
      <c r="A88" s="10">
        <v>86</v>
      </c>
      <c r="B88" s="11">
        <v>25</v>
      </c>
      <c r="C88" s="11" t="s">
        <v>385</v>
      </c>
      <c r="D88" s="11">
        <v>1121156</v>
      </c>
      <c r="E88" s="11">
        <v>29056780</v>
      </c>
      <c r="F88" s="12" t="s">
        <v>386</v>
      </c>
      <c r="G88" s="11" t="s">
        <v>387</v>
      </c>
      <c r="H88" t="s">
        <v>388</v>
      </c>
      <c r="I88" s="13">
        <v>68821077500</v>
      </c>
      <c r="J88" s="14">
        <v>7887</v>
      </c>
      <c r="K88" s="14">
        <v>2637</v>
      </c>
      <c r="L88" s="10" t="s">
        <v>80</v>
      </c>
      <c r="M88" s="14">
        <v>5250</v>
      </c>
      <c r="N88" s="15">
        <v>0.66565233929250667</v>
      </c>
      <c r="O88" t="str">
        <f>IFERROR(VLOOKUP($I88,CHOOSE({1,2},'[1]DIRETORES NTE'!$H$5:$H$31,'[1]DIRETORES NTE'!$E$5:$E$31,),2,0),"-")</f>
        <v>-</v>
      </c>
    </row>
    <row r="89" spans="1:15" x14ac:dyDescent="0.25">
      <c r="A89" s="10">
        <v>87</v>
      </c>
      <c r="B89" s="11">
        <v>26</v>
      </c>
      <c r="C89" s="11" t="s">
        <v>95</v>
      </c>
      <c r="D89" s="11">
        <v>1102992</v>
      </c>
      <c r="E89" s="11">
        <v>29182158</v>
      </c>
      <c r="F89" s="12" t="s">
        <v>389</v>
      </c>
      <c r="G89" s="11" t="s">
        <v>390</v>
      </c>
      <c r="H89" t="s">
        <v>391</v>
      </c>
      <c r="I89" s="13">
        <v>42268281515</v>
      </c>
      <c r="J89" s="14">
        <v>9257</v>
      </c>
      <c r="K89" s="14">
        <v>9257</v>
      </c>
      <c r="L89" s="10" t="s">
        <v>99</v>
      </c>
      <c r="M89" s="14">
        <v>0</v>
      </c>
      <c r="N89" s="15">
        <v>0</v>
      </c>
      <c r="O89" t="str">
        <f>IFERROR(VLOOKUP($I89,CHOOSE({1,2},'[1]DIRETORES NTE'!$H$5:$H$31,'[1]DIRETORES NTE'!$E$5:$E$31,),2,0),"-")</f>
        <v>-</v>
      </c>
    </row>
    <row r="90" spans="1:15" x14ac:dyDescent="0.25">
      <c r="A90" s="10">
        <v>88</v>
      </c>
      <c r="B90" s="11">
        <v>19</v>
      </c>
      <c r="C90" s="11" t="s">
        <v>331</v>
      </c>
      <c r="D90" s="11">
        <v>1106386</v>
      </c>
      <c r="E90" s="11">
        <v>29094100</v>
      </c>
      <c r="F90" s="12" t="s">
        <v>392</v>
      </c>
      <c r="G90" s="11" t="s">
        <v>393</v>
      </c>
      <c r="H90" t="s">
        <v>394</v>
      </c>
      <c r="I90" s="13">
        <v>39881903572</v>
      </c>
      <c r="J90" s="14">
        <v>19721</v>
      </c>
      <c r="K90" s="14">
        <v>19721</v>
      </c>
      <c r="L90" s="10" t="s">
        <v>336</v>
      </c>
      <c r="M90" s="14">
        <v>0</v>
      </c>
      <c r="N90" s="15">
        <v>0</v>
      </c>
      <c r="O90" t="str">
        <f>IFERROR(VLOOKUP($I90,CHOOSE({1,2},'[1]DIRETORES NTE'!$H$5:$H$31,'[1]DIRETORES NTE'!$E$5:$E$31,),2,0),"-")</f>
        <v>-</v>
      </c>
    </row>
    <row r="91" spans="1:15" x14ac:dyDescent="0.25">
      <c r="A91" s="10">
        <v>89</v>
      </c>
      <c r="B91" s="11">
        <v>4</v>
      </c>
      <c r="C91" s="11" t="s">
        <v>395</v>
      </c>
      <c r="D91" s="11">
        <v>1178275</v>
      </c>
      <c r="E91" s="11">
        <v>29915783</v>
      </c>
      <c r="F91" s="12" t="s">
        <v>396</v>
      </c>
      <c r="G91" s="11" t="s">
        <v>397</v>
      </c>
      <c r="H91" t="s">
        <v>398</v>
      </c>
      <c r="I91" s="13">
        <v>86134272515</v>
      </c>
      <c r="J91" s="14">
        <v>904</v>
      </c>
      <c r="K91" s="14">
        <v>904</v>
      </c>
      <c r="L91" s="10" t="s">
        <v>58</v>
      </c>
      <c r="M91" s="14">
        <v>0</v>
      </c>
      <c r="N91" s="15">
        <v>0</v>
      </c>
      <c r="O91" t="str">
        <f>IFERROR(VLOOKUP($I91,CHOOSE({1,2},'[1]DIRETORES NTE'!$H$5:$H$31,'[1]DIRETORES NTE'!$E$5:$E$31,),2,0),"-")</f>
        <v>-</v>
      </c>
    </row>
    <row r="92" spans="1:15" x14ac:dyDescent="0.25">
      <c r="A92" s="10">
        <v>90</v>
      </c>
      <c r="B92" s="11" t="s">
        <v>237</v>
      </c>
      <c r="C92" s="11" t="s">
        <v>237</v>
      </c>
      <c r="D92" s="11" t="s">
        <v>237</v>
      </c>
      <c r="E92" s="11" t="s">
        <v>237</v>
      </c>
      <c r="F92" s="12" t="s">
        <v>237</v>
      </c>
      <c r="G92" s="11" t="s">
        <v>237</v>
      </c>
      <c r="H92" t="s">
        <v>399</v>
      </c>
      <c r="I92" s="13">
        <v>39807800587</v>
      </c>
      <c r="J92" s="14">
        <v>0</v>
      </c>
      <c r="K92" s="14">
        <v>0</v>
      </c>
      <c r="L92" s="10" t="s">
        <v>58</v>
      </c>
      <c r="M92" s="14">
        <v>0</v>
      </c>
      <c r="N92" s="15" t="e">
        <v>#DIV/0!</v>
      </c>
      <c r="O92" t="str">
        <f>IFERROR(VLOOKUP($I92,CHOOSE({1,2},'[1]DIRETORES NTE'!$H$5:$H$31,'[1]DIRETORES NTE'!$E$5:$E$31,),2,0),"-")</f>
        <v>ANALENE FERREIRA DA SILVA (DIRETOR DE NTE)</v>
      </c>
    </row>
    <row r="93" spans="1:15" x14ac:dyDescent="0.25">
      <c r="A93" s="10">
        <v>91</v>
      </c>
      <c r="B93" s="11">
        <v>26</v>
      </c>
      <c r="C93" s="11" t="s">
        <v>400</v>
      </c>
      <c r="D93" s="11">
        <v>1166354</v>
      </c>
      <c r="E93" s="11">
        <v>29160502</v>
      </c>
      <c r="F93" s="12" t="s">
        <v>401</v>
      </c>
      <c r="G93" s="11" t="s">
        <v>402</v>
      </c>
      <c r="H93" t="s">
        <v>403</v>
      </c>
      <c r="I93" s="13">
        <v>41795539534</v>
      </c>
      <c r="J93" s="14">
        <v>11848</v>
      </c>
      <c r="K93" s="14">
        <v>11848</v>
      </c>
      <c r="L93" s="10" t="s">
        <v>99</v>
      </c>
      <c r="M93" s="14">
        <v>0</v>
      </c>
      <c r="N93" s="15">
        <v>0</v>
      </c>
      <c r="O93" t="str">
        <f>IFERROR(VLOOKUP($I93,CHOOSE({1,2},'[1]DIRETORES NTE'!$H$5:$H$31,'[1]DIRETORES NTE'!$E$5:$E$31,),2,0),"-")</f>
        <v>-</v>
      </c>
    </row>
    <row r="94" spans="1:15" x14ac:dyDescent="0.25">
      <c r="A94" s="10">
        <v>92</v>
      </c>
      <c r="B94" s="11">
        <v>4</v>
      </c>
      <c r="C94" s="11" t="s">
        <v>404</v>
      </c>
      <c r="D94" s="11">
        <v>1115776</v>
      </c>
      <c r="E94" s="11">
        <v>29144302</v>
      </c>
      <c r="F94" s="12" t="s">
        <v>405</v>
      </c>
      <c r="G94" s="11" t="s">
        <v>406</v>
      </c>
      <c r="H94" t="s">
        <v>407</v>
      </c>
      <c r="I94" s="13">
        <v>70633851515</v>
      </c>
      <c r="J94" s="14">
        <v>17694</v>
      </c>
      <c r="K94" s="14">
        <v>17694</v>
      </c>
      <c r="L94" s="10" t="s">
        <v>58</v>
      </c>
      <c r="M94" s="14">
        <v>0</v>
      </c>
      <c r="N94" s="15">
        <v>0</v>
      </c>
      <c r="O94" t="str">
        <f>IFERROR(VLOOKUP($I94,CHOOSE({1,2},'[1]DIRETORES NTE'!$H$5:$H$31,'[1]DIRETORES NTE'!$E$5:$E$31,),2,0),"-")</f>
        <v>-</v>
      </c>
    </row>
    <row r="95" spans="1:15" x14ac:dyDescent="0.25">
      <c r="A95" s="10">
        <v>93</v>
      </c>
      <c r="B95" s="11">
        <v>26</v>
      </c>
      <c r="C95" s="11" t="s">
        <v>95</v>
      </c>
      <c r="D95" s="11">
        <v>1100973</v>
      </c>
      <c r="E95" s="11">
        <v>29191092</v>
      </c>
      <c r="F95" s="12" t="s">
        <v>408</v>
      </c>
      <c r="G95" s="11" t="s">
        <v>409</v>
      </c>
      <c r="H95" t="s">
        <v>410</v>
      </c>
      <c r="I95" s="13">
        <v>54596726515</v>
      </c>
      <c r="J95" s="14">
        <v>13490</v>
      </c>
      <c r="K95" s="14">
        <v>13490</v>
      </c>
      <c r="L95" s="10" t="s">
        <v>99</v>
      </c>
      <c r="M95" s="14">
        <v>0</v>
      </c>
      <c r="N95" s="15">
        <v>0</v>
      </c>
      <c r="O95" t="str">
        <f>IFERROR(VLOOKUP($I95,CHOOSE({1,2},'[1]DIRETORES NTE'!$H$5:$H$31,'[1]DIRETORES NTE'!$E$5:$E$31,),2,0),"-")</f>
        <v>-</v>
      </c>
    </row>
    <row r="96" spans="1:15" x14ac:dyDescent="0.25">
      <c r="A96" s="10">
        <v>94</v>
      </c>
      <c r="B96" s="11">
        <v>26</v>
      </c>
      <c r="C96" s="11" t="s">
        <v>411</v>
      </c>
      <c r="D96" s="11">
        <v>1102453</v>
      </c>
      <c r="E96" s="11">
        <v>29177812</v>
      </c>
      <c r="F96" s="12" t="s">
        <v>412</v>
      </c>
      <c r="G96" s="11" t="s">
        <v>413</v>
      </c>
      <c r="H96" t="s">
        <v>414</v>
      </c>
      <c r="I96" s="13">
        <v>71610626591</v>
      </c>
      <c r="J96" s="14">
        <v>25133</v>
      </c>
      <c r="K96" s="14">
        <v>25133</v>
      </c>
      <c r="L96" s="10" t="s">
        <v>99</v>
      </c>
      <c r="M96" s="14">
        <v>0</v>
      </c>
      <c r="N96" s="15">
        <v>0</v>
      </c>
      <c r="O96" t="str">
        <f>IFERROR(VLOOKUP($I96,CHOOSE({1,2},'[1]DIRETORES NTE'!$H$5:$H$31,'[1]DIRETORES NTE'!$E$5:$E$31,),2,0),"-")</f>
        <v>-</v>
      </c>
    </row>
    <row r="97" spans="1:15" x14ac:dyDescent="0.25">
      <c r="A97" s="10">
        <v>95</v>
      </c>
      <c r="B97" s="11">
        <v>26</v>
      </c>
      <c r="C97" s="11" t="s">
        <v>95</v>
      </c>
      <c r="D97" s="11">
        <v>1102097</v>
      </c>
      <c r="E97" s="11">
        <v>29190878</v>
      </c>
      <c r="F97" s="12" t="s">
        <v>415</v>
      </c>
      <c r="G97" s="11" t="s">
        <v>416</v>
      </c>
      <c r="H97" t="s">
        <v>417</v>
      </c>
      <c r="I97" s="13">
        <v>79193021534</v>
      </c>
      <c r="J97" s="14">
        <v>11590</v>
      </c>
      <c r="K97" s="14">
        <v>11590</v>
      </c>
      <c r="L97" s="10" t="s">
        <v>99</v>
      </c>
      <c r="M97" s="14">
        <v>0</v>
      </c>
      <c r="N97" s="15">
        <v>0</v>
      </c>
      <c r="O97" t="str">
        <f>IFERROR(VLOOKUP($I97,CHOOSE({1,2},'[1]DIRETORES NTE'!$H$5:$H$31,'[1]DIRETORES NTE'!$E$5:$E$31,),2,0),"-")</f>
        <v>-</v>
      </c>
    </row>
    <row r="98" spans="1:15" x14ac:dyDescent="0.25">
      <c r="A98" s="10">
        <v>96</v>
      </c>
      <c r="B98" s="11">
        <v>26</v>
      </c>
      <c r="C98" s="11" t="s">
        <v>95</v>
      </c>
      <c r="D98" s="11">
        <v>1145829</v>
      </c>
      <c r="E98" s="11">
        <v>29191270</v>
      </c>
      <c r="F98" s="12" t="s">
        <v>418</v>
      </c>
      <c r="G98" s="11" t="s">
        <v>419</v>
      </c>
      <c r="H98" t="s">
        <v>420</v>
      </c>
      <c r="I98" s="13">
        <v>78062640515</v>
      </c>
      <c r="J98" s="14">
        <v>9280</v>
      </c>
      <c r="K98" s="14">
        <v>9280</v>
      </c>
      <c r="L98" s="10" t="s">
        <v>99</v>
      </c>
      <c r="M98" s="14">
        <v>0</v>
      </c>
      <c r="N98" s="15">
        <v>0</v>
      </c>
      <c r="O98" t="str">
        <f>IFERROR(VLOOKUP($I98,CHOOSE({1,2},'[1]DIRETORES NTE'!$H$5:$H$31,'[1]DIRETORES NTE'!$E$5:$E$31,),2,0),"-")</f>
        <v>-</v>
      </c>
    </row>
    <row r="99" spans="1:15" x14ac:dyDescent="0.25">
      <c r="A99" s="10">
        <v>97</v>
      </c>
      <c r="B99" s="11">
        <v>3</v>
      </c>
      <c r="C99" s="11" t="s">
        <v>421</v>
      </c>
      <c r="D99" s="11">
        <v>1132794</v>
      </c>
      <c r="E99" s="11">
        <v>29218489</v>
      </c>
      <c r="F99" s="12" t="s">
        <v>422</v>
      </c>
      <c r="G99" s="11" t="s">
        <v>423</v>
      </c>
      <c r="H99" t="s">
        <v>424</v>
      </c>
      <c r="I99" s="13">
        <v>51317605500</v>
      </c>
      <c r="J99" s="14">
        <v>12363</v>
      </c>
      <c r="K99" s="14">
        <v>12363</v>
      </c>
      <c r="L99" s="10" t="s">
        <v>117</v>
      </c>
      <c r="M99" s="14">
        <v>0</v>
      </c>
      <c r="N99" s="15">
        <v>0</v>
      </c>
      <c r="O99" t="str">
        <f>IFERROR(VLOOKUP($I99,CHOOSE({1,2},'[1]DIRETORES NTE'!$H$5:$H$31,'[1]DIRETORES NTE'!$E$5:$E$31,),2,0),"-")</f>
        <v>-</v>
      </c>
    </row>
    <row r="100" spans="1:15" x14ac:dyDescent="0.25">
      <c r="A100" s="10">
        <v>98</v>
      </c>
      <c r="B100" s="11">
        <v>13</v>
      </c>
      <c r="C100" s="11" t="s">
        <v>425</v>
      </c>
      <c r="D100" s="11">
        <v>1129130</v>
      </c>
      <c r="E100" s="11">
        <v>29251648</v>
      </c>
      <c r="F100" s="12" t="s">
        <v>222</v>
      </c>
      <c r="G100" s="11" t="s">
        <v>426</v>
      </c>
      <c r="H100" t="s">
        <v>427</v>
      </c>
      <c r="I100" s="13">
        <v>50166735515</v>
      </c>
      <c r="J100" s="14">
        <v>12831</v>
      </c>
      <c r="K100" s="14">
        <v>12831</v>
      </c>
      <c r="L100" s="10" t="s">
        <v>33</v>
      </c>
      <c r="M100" s="14">
        <v>0</v>
      </c>
      <c r="N100" s="15">
        <v>0</v>
      </c>
      <c r="O100" t="str">
        <f>IFERROR(VLOOKUP($I100,CHOOSE({1,2},'[1]DIRETORES NTE'!$H$5:$H$31,'[1]DIRETORES NTE'!$E$5:$E$31,),2,0),"-")</f>
        <v>-</v>
      </c>
    </row>
    <row r="101" spans="1:15" x14ac:dyDescent="0.25">
      <c r="A101" s="10">
        <v>99</v>
      </c>
      <c r="B101" s="11">
        <v>2</v>
      </c>
      <c r="C101" s="11" t="s">
        <v>381</v>
      </c>
      <c r="D101" s="11">
        <v>1127502</v>
      </c>
      <c r="E101" s="11">
        <v>29036143</v>
      </c>
      <c r="F101" s="12" t="s">
        <v>428</v>
      </c>
      <c r="G101" s="11" t="s">
        <v>429</v>
      </c>
      <c r="H101" t="s">
        <v>430</v>
      </c>
      <c r="I101" s="13" t="s">
        <v>431</v>
      </c>
      <c r="J101" s="14">
        <v>18025</v>
      </c>
      <c r="K101" s="14">
        <v>18025</v>
      </c>
      <c r="L101" s="10" t="s">
        <v>105</v>
      </c>
      <c r="M101" s="14">
        <v>0</v>
      </c>
      <c r="N101" s="15">
        <v>0</v>
      </c>
      <c r="O101" t="str">
        <f>IFERROR(VLOOKUP($I101,CHOOSE({1,2},'[1]DIRETORES NTE'!$H$5:$H$31,'[1]DIRETORES NTE'!$E$5:$E$31,),2,0),"-")</f>
        <v>-</v>
      </c>
    </row>
    <row r="102" spans="1:15" x14ac:dyDescent="0.25">
      <c r="A102" s="10">
        <v>100</v>
      </c>
      <c r="B102" s="11">
        <v>26</v>
      </c>
      <c r="C102" s="11" t="s">
        <v>95</v>
      </c>
      <c r="D102" s="11">
        <v>1177094</v>
      </c>
      <c r="E102" s="11">
        <v>29414903</v>
      </c>
      <c r="F102" s="12" t="s">
        <v>432</v>
      </c>
      <c r="G102" s="11" t="s">
        <v>433</v>
      </c>
      <c r="H102" t="s">
        <v>434</v>
      </c>
      <c r="I102" s="13">
        <v>70567760510</v>
      </c>
      <c r="J102" s="14">
        <v>6228</v>
      </c>
      <c r="K102" s="14">
        <v>6228</v>
      </c>
      <c r="L102" s="10" t="s">
        <v>99</v>
      </c>
      <c r="M102" s="14">
        <v>0</v>
      </c>
      <c r="N102" s="15">
        <v>0</v>
      </c>
      <c r="O102" t="str">
        <f>IFERROR(VLOOKUP($I102,CHOOSE({1,2},'[1]DIRETORES NTE'!$H$5:$H$31,'[1]DIRETORES NTE'!$E$5:$E$31,),2,0),"-")</f>
        <v>-</v>
      </c>
    </row>
    <row r="103" spans="1:15" x14ac:dyDescent="0.25">
      <c r="A103" s="10">
        <v>101</v>
      </c>
      <c r="B103" s="11">
        <v>26</v>
      </c>
      <c r="C103" s="11" t="s">
        <v>95</v>
      </c>
      <c r="D103" s="11">
        <v>1103417</v>
      </c>
      <c r="E103" s="11">
        <v>29187583</v>
      </c>
      <c r="F103" s="12" t="s">
        <v>435</v>
      </c>
      <c r="G103" s="11" t="s">
        <v>436</v>
      </c>
      <c r="H103" t="s">
        <v>437</v>
      </c>
      <c r="I103" s="13">
        <v>79658890563</v>
      </c>
      <c r="J103" s="14">
        <v>17090</v>
      </c>
      <c r="K103" s="14">
        <v>2229.1999999999998</v>
      </c>
      <c r="L103" s="10" t="s">
        <v>99</v>
      </c>
      <c r="M103" s="14">
        <v>14860.8</v>
      </c>
      <c r="N103" s="15">
        <v>0.86956114686951425</v>
      </c>
      <c r="O103" t="str">
        <f>IFERROR(VLOOKUP($I103,CHOOSE({1,2},'[1]DIRETORES NTE'!$H$5:$H$31,'[1]DIRETORES NTE'!$E$5:$E$31,),2,0),"-")</f>
        <v>-</v>
      </c>
    </row>
    <row r="104" spans="1:15" x14ac:dyDescent="0.25">
      <c r="A104" s="10">
        <v>102</v>
      </c>
      <c r="B104" s="11">
        <v>9</v>
      </c>
      <c r="C104" s="11" t="s">
        <v>438</v>
      </c>
      <c r="D104" s="11">
        <v>1109199</v>
      </c>
      <c r="E104" s="11">
        <v>29222583</v>
      </c>
      <c r="F104" s="12" t="s">
        <v>439</v>
      </c>
      <c r="G104" s="11" t="s">
        <v>440</v>
      </c>
      <c r="H104" t="s">
        <v>441</v>
      </c>
      <c r="I104" s="13">
        <v>53665180597</v>
      </c>
      <c r="J104" s="14">
        <v>13174</v>
      </c>
      <c r="K104" s="14">
        <v>13174</v>
      </c>
      <c r="L104" s="10" t="s">
        <v>167</v>
      </c>
      <c r="M104" s="14">
        <v>0</v>
      </c>
      <c r="N104" s="15">
        <v>0</v>
      </c>
      <c r="O104" t="str">
        <f>IFERROR(VLOOKUP($I104,CHOOSE({1,2},'[1]DIRETORES NTE'!$H$5:$H$31,'[1]DIRETORES NTE'!$E$5:$E$31,),2,0),"-")</f>
        <v>-</v>
      </c>
    </row>
    <row r="105" spans="1:15" x14ac:dyDescent="0.25">
      <c r="A105" s="10">
        <v>103</v>
      </c>
      <c r="B105" s="11">
        <v>20</v>
      </c>
      <c r="C105" s="11" t="s">
        <v>442</v>
      </c>
      <c r="D105" s="11">
        <v>1178248</v>
      </c>
      <c r="E105" s="11">
        <v>29265932</v>
      </c>
      <c r="F105" s="12" t="s">
        <v>443</v>
      </c>
      <c r="G105" s="11" t="s">
        <v>444</v>
      </c>
      <c r="H105" t="s">
        <v>445</v>
      </c>
      <c r="I105" s="13">
        <v>40249247534</v>
      </c>
      <c r="J105" s="14">
        <v>7385</v>
      </c>
      <c r="K105" s="14">
        <v>7385</v>
      </c>
      <c r="L105" s="10" t="s">
        <v>27</v>
      </c>
      <c r="M105" s="14">
        <v>0</v>
      </c>
      <c r="N105" s="15">
        <v>0</v>
      </c>
      <c r="O105" t="str">
        <f>IFERROR(VLOOKUP($I105,CHOOSE({1,2},'[1]DIRETORES NTE'!$H$5:$H$31,'[1]DIRETORES NTE'!$E$5:$E$31,),2,0),"-")</f>
        <v>-</v>
      </c>
    </row>
    <row r="106" spans="1:15" x14ac:dyDescent="0.25">
      <c r="A106" s="10">
        <v>104</v>
      </c>
      <c r="B106" s="11">
        <v>26</v>
      </c>
      <c r="C106" s="11" t="s">
        <v>446</v>
      </c>
      <c r="D106" s="11">
        <v>1176073</v>
      </c>
      <c r="E106" s="11">
        <v>29160227</v>
      </c>
      <c r="F106" s="12" t="s">
        <v>447</v>
      </c>
      <c r="G106" s="11" t="s">
        <v>448</v>
      </c>
      <c r="H106" t="s">
        <v>449</v>
      </c>
      <c r="I106" s="13">
        <v>56298005587</v>
      </c>
      <c r="J106" s="14">
        <v>17648</v>
      </c>
      <c r="K106" s="14">
        <v>17648</v>
      </c>
      <c r="L106" s="10" t="s">
        <v>99</v>
      </c>
      <c r="M106" s="14">
        <v>0</v>
      </c>
      <c r="N106" s="15">
        <v>0</v>
      </c>
      <c r="O106" t="str">
        <f>IFERROR(VLOOKUP($I106,CHOOSE({1,2},'[1]DIRETORES NTE'!$H$5:$H$31,'[1]DIRETORES NTE'!$E$5:$E$31,),2,0),"-")</f>
        <v>-</v>
      </c>
    </row>
    <row r="107" spans="1:15" x14ac:dyDescent="0.25">
      <c r="A107" s="10">
        <v>105</v>
      </c>
      <c r="B107" s="11">
        <v>17</v>
      </c>
      <c r="C107" s="11" t="s">
        <v>450</v>
      </c>
      <c r="D107" s="11">
        <v>1178319</v>
      </c>
      <c r="E107" s="11">
        <v>29599601</v>
      </c>
      <c r="F107" s="12" t="s">
        <v>451</v>
      </c>
      <c r="G107" s="11" t="s">
        <v>452</v>
      </c>
      <c r="H107" t="s">
        <v>453</v>
      </c>
      <c r="I107" s="13" t="s">
        <v>454</v>
      </c>
      <c r="J107" s="14">
        <v>9340</v>
      </c>
      <c r="K107" s="14">
        <v>9340</v>
      </c>
      <c r="L107" s="10" t="s">
        <v>455</v>
      </c>
      <c r="M107" s="14">
        <v>0</v>
      </c>
      <c r="N107" s="15">
        <v>0</v>
      </c>
      <c r="O107" t="str">
        <f>IFERROR(VLOOKUP($I107,CHOOSE({1,2},'[1]DIRETORES NTE'!$H$5:$H$31,'[1]DIRETORES NTE'!$E$5:$E$31,),2,0),"-")</f>
        <v>-</v>
      </c>
    </row>
    <row r="108" spans="1:15" x14ac:dyDescent="0.25">
      <c r="A108" s="10">
        <v>106</v>
      </c>
      <c r="B108" s="11">
        <v>21</v>
      </c>
      <c r="C108" s="11" t="s">
        <v>205</v>
      </c>
      <c r="D108" s="11">
        <v>1164564</v>
      </c>
      <c r="E108" s="11">
        <v>29171610</v>
      </c>
      <c r="F108" s="12" t="s">
        <v>456</v>
      </c>
      <c r="G108" s="11" t="s">
        <v>457</v>
      </c>
      <c r="H108" t="s">
        <v>458</v>
      </c>
      <c r="I108" s="13">
        <v>47572973515</v>
      </c>
      <c r="J108" s="14">
        <v>21088</v>
      </c>
      <c r="K108" s="14">
        <v>21088</v>
      </c>
      <c r="L108" s="10" t="s">
        <v>63</v>
      </c>
      <c r="M108" s="14">
        <v>0</v>
      </c>
      <c r="N108" s="15">
        <v>0</v>
      </c>
      <c r="O108" t="str">
        <f>IFERROR(VLOOKUP($I108,CHOOSE({1,2},'[1]DIRETORES NTE'!$H$5:$H$31,'[1]DIRETORES NTE'!$E$5:$E$31,),2,0),"-")</f>
        <v>-</v>
      </c>
    </row>
    <row r="109" spans="1:15" x14ac:dyDescent="0.25">
      <c r="A109" s="10">
        <v>107</v>
      </c>
      <c r="B109" s="11">
        <v>26</v>
      </c>
      <c r="C109" s="11" t="s">
        <v>95</v>
      </c>
      <c r="D109" s="11">
        <v>1100426</v>
      </c>
      <c r="E109" s="11">
        <v>29192030</v>
      </c>
      <c r="F109" s="12" t="s">
        <v>459</v>
      </c>
      <c r="G109" s="11" t="s">
        <v>460</v>
      </c>
      <c r="H109" t="s">
        <v>461</v>
      </c>
      <c r="I109" s="13">
        <v>46871764534</v>
      </c>
      <c r="J109" s="14">
        <v>21830</v>
      </c>
      <c r="K109" s="14">
        <v>21830</v>
      </c>
      <c r="L109" s="10" t="s">
        <v>99</v>
      </c>
      <c r="M109" s="14">
        <v>0</v>
      </c>
      <c r="N109" s="15">
        <v>0</v>
      </c>
      <c r="O109" t="str">
        <f>IFERROR(VLOOKUP($I109,CHOOSE({1,2},'[1]DIRETORES NTE'!$H$5:$H$31,'[1]DIRETORES NTE'!$E$5:$E$31,),2,0),"-")</f>
        <v>-</v>
      </c>
    </row>
    <row r="110" spans="1:15" x14ac:dyDescent="0.25">
      <c r="A110" s="10">
        <v>108</v>
      </c>
      <c r="B110" s="11">
        <v>15</v>
      </c>
      <c r="C110" s="11" t="s">
        <v>462</v>
      </c>
      <c r="D110" s="11">
        <v>1179792</v>
      </c>
      <c r="E110" s="11">
        <v>29488192</v>
      </c>
      <c r="F110" s="12" t="s">
        <v>463</v>
      </c>
      <c r="G110" s="11" t="s">
        <v>464</v>
      </c>
      <c r="H110" t="s">
        <v>465</v>
      </c>
      <c r="I110" s="13" t="s">
        <v>466</v>
      </c>
      <c r="J110" s="14">
        <v>5352</v>
      </c>
      <c r="K110" s="14">
        <v>5352</v>
      </c>
      <c r="L110" s="10" t="s">
        <v>280</v>
      </c>
      <c r="M110" s="14">
        <v>0</v>
      </c>
      <c r="N110" s="15">
        <v>0</v>
      </c>
      <c r="O110" t="str">
        <f>IFERROR(VLOOKUP($I110,CHOOSE({1,2},'[1]DIRETORES NTE'!$H$5:$H$31,'[1]DIRETORES NTE'!$E$5:$E$31,),2,0),"-")</f>
        <v>-</v>
      </c>
    </row>
    <row r="111" spans="1:15" x14ac:dyDescent="0.25">
      <c r="A111" s="10">
        <v>109</v>
      </c>
      <c r="B111" s="11">
        <v>13</v>
      </c>
      <c r="C111" s="11" t="s">
        <v>467</v>
      </c>
      <c r="D111" s="11">
        <v>1178218</v>
      </c>
      <c r="E111" s="11">
        <v>29443334</v>
      </c>
      <c r="F111" s="12" t="s">
        <v>468</v>
      </c>
      <c r="G111" s="11" t="s">
        <v>469</v>
      </c>
      <c r="H111" t="s">
        <v>470</v>
      </c>
      <c r="I111" s="13" t="s">
        <v>471</v>
      </c>
      <c r="J111" s="14">
        <v>7850</v>
      </c>
      <c r="K111" s="14">
        <v>7850</v>
      </c>
      <c r="L111" s="10" t="s">
        <v>33</v>
      </c>
      <c r="M111" s="14">
        <v>0</v>
      </c>
      <c r="N111" s="15">
        <v>0</v>
      </c>
      <c r="O111" t="str">
        <f>IFERROR(VLOOKUP($I111,CHOOSE({1,2},'[1]DIRETORES NTE'!$H$5:$H$31,'[1]DIRETORES NTE'!$E$5:$E$31,),2,0),"-")</f>
        <v>-</v>
      </c>
    </row>
    <row r="112" spans="1:15" x14ac:dyDescent="0.25">
      <c r="A112" s="10">
        <v>110</v>
      </c>
      <c r="B112" s="11">
        <v>17</v>
      </c>
      <c r="C112" s="11" t="s">
        <v>450</v>
      </c>
      <c r="D112" s="11">
        <v>1178096</v>
      </c>
      <c r="E112" s="11">
        <v>29429889</v>
      </c>
      <c r="F112" s="12" t="s">
        <v>472</v>
      </c>
      <c r="G112" s="11" t="s">
        <v>473</v>
      </c>
      <c r="H112" t="s">
        <v>474</v>
      </c>
      <c r="I112" s="13" t="s">
        <v>475</v>
      </c>
      <c r="J112" s="14">
        <v>6308</v>
      </c>
      <c r="K112" s="14">
        <v>6308</v>
      </c>
      <c r="L112" s="10" t="s">
        <v>455</v>
      </c>
      <c r="M112" s="14">
        <v>0</v>
      </c>
      <c r="N112" s="15">
        <v>0</v>
      </c>
      <c r="O112" t="str">
        <f>IFERROR(VLOOKUP($I112,CHOOSE({1,2},'[1]DIRETORES NTE'!$H$5:$H$31,'[1]DIRETORES NTE'!$E$5:$E$31,),2,0),"-")</f>
        <v>-</v>
      </c>
    </row>
    <row r="113" spans="1:15" x14ac:dyDescent="0.25">
      <c r="A113" s="10">
        <v>111</v>
      </c>
      <c r="B113" s="11">
        <v>26</v>
      </c>
      <c r="C113" s="11" t="s">
        <v>95</v>
      </c>
      <c r="D113" s="11">
        <v>1102852</v>
      </c>
      <c r="E113" s="11">
        <v>29182204</v>
      </c>
      <c r="F113" s="12" t="s">
        <v>476</v>
      </c>
      <c r="G113" s="11" t="s">
        <v>477</v>
      </c>
      <c r="H113" t="s">
        <v>478</v>
      </c>
      <c r="I113" s="13">
        <v>67835031515</v>
      </c>
      <c r="J113" s="14">
        <v>11901</v>
      </c>
      <c r="K113" s="14">
        <v>0.42</v>
      </c>
      <c r="L113" s="10" t="s">
        <v>99</v>
      </c>
      <c r="M113" s="14">
        <v>11900.58</v>
      </c>
      <c r="N113" s="15">
        <v>0.99996470884799593</v>
      </c>
      <c r="O113" t="str">
        <f>IFERROR(VLOOKUP($I113,CHOOSE({1,2},'[1]DIRETORES NTE'!$H$5:$H$31,'[1]DIRETORES NTE'!$E$5:$E$31,),2,0),"-")</f>
        <v>-</v>
      </c>
    </row>
    <row r="114" spans="1:15" x14ac:dyDescent="0.25">
      <c r="A114" s="10">
        <v>112</v>
      </c>
      <c r="B114" s="11">
        <v>20</v>
      </c>
      <c r="C114" s="11" t="s">
        <v>50</v>
      </c>
      <c r="D114" s="11">
        <v>1125224</v>
      </c>
      <c r="E114" s="11">
        <v>29278112</v>
      </c>
      <c r="F114" s="12" t="s">
        <v>479</v>
      </c>
      <c r="G114" s="11" t="s">
        <v>480</v>
      </c>
      <c r="H114" t="s">
        <v>481</v>
      </c>
      <c r="I114" s="13">
        <v>69262276591</v>
      </c>
      <c r="J114" s="14">
        <v>2873</v>
      </c>
      <c r="K114" s="14">
        <v>2873</v>
      </c>
      <c r="L114" s="10" t="s">
        <v>27</v>
      </c>
      <c r="M114" s="14">
        <v>0</v>
      </c>
      <c r="N114" s="15">
        <v>0</v>
      </c>
      <c r="O114" t="str">
        <f>IFERROR(VLOOKUP($I114,CHOOSE({1,2},'[1]DIRETORES NTE'!$H$5:$H$31,'[1]DIRETORES NTE'!$E$5:$E$31,),2,0),"-")</f>
        <v>-</v>
      </c>
    </row>
    <row r="115" spans="1:15" x14ac:dyDescent="0.25">
      <c r="A115" s="10">
        <v>113</v>
      </c>
      <c r="B115" s="11">
        <v>26</v>
      </c>
      <c r="C115" s="11" t="s">
        <v>95</v>
      </c>
      <c r="D115" s="11">
        <v>1104880</v>
      </c>
      <c r="E115" s="11">
        <v>29187303</v>
      </c>
      <c r="F115" s="12" t="s">
        <v>482</v>
      </c>
      <c r="G115" s="11" t="s">
        <v>483</v>
      </c>
      <c r="H115" t="s">
        <v>484</v>
      </c>
      <c r="I115" s="13" t="s">
        <v>485</v>
      </c>
      <c r="J115" s="14">
        <v>9201</v>
      </c>
      <c r="K115" s="14">
        <v>9201</v>
      </c>
      <c r="L115" s="10" t="s">
        <v>99</v>
      </c>
      <c r="M115" s="14">
        <v>0</v>
      </c>
      <c r="N115" s="15">
        <v>0</v>
      </c>
      <c r="O115" t="str">
        <f>IFERROR(VLOOKUP($I115,CHOOSE({1,2},'[1]DIRETORES NTE'!$H$5:$H$31,'[1]DIRETORES NTE'!$E$5:$E$31,),2,0),"-")</f>
        <v>-</v>
      </c>
    </row>
    <row r="116" spans="1:15" x14ac:dyDescent="0.25">
      <c r="A116" s="10">
        <v>114</v>
      </c>
      <c r="B116" s="11">
        <v>4</v>
      </c>
      <c r="C116" s="11" t="s">
        <v>486</v>
      </c>
      <c r="D116" s="11">
        <v>1116365</v>
      </c>
      <c r="E116" s="11">
        <v>29145287</v>
      </c>
      <c r="F116" s="12" t="s">
        <v>487</v>
      </c>
      <c r="G116" s="11" t="s">
        <v>488</v>
      </c>
      <c r="H116" t="s">
        <v>489</v>
      </c>
      <c r="I116" s="13">
        <v>59233338568</v>
      </c>
      <c r="J116" s="14">
        <v>8535</v>
      </c>
      <c r="K116" s="14">
        <v>8535</v>
      </c>
      <c r="L116" s="10" t="s">
        <v>58</v>
      </c>
      <c r="M116" s="14">
        <v>0</v>
      </c>
      <c r="N116" s="15">
        <v>0</v>
      </c>
      <c r="O116" t="str">
        <f>IFERROR(VLOOKUP($I116,CHOOSE({1,2},'[1]DIRETORES NTE'!$H$5:$H$31,'[1]DIRETORES NTE'!$E$5:$E$31,),2,0),"-")</f>
        <v>-</v>
      </c>
    </row>
    <row r="117" spans="1:15" x14ac:dyDescent="0.25">
      <c r="A117" s="10">
        <v>115</v>
      </c>
      <c r="B117" s="11">
        <v>19</v>
      </c>
      <c r="C117" s="11" t="s">
        <v>490</v>
      </c>
      <c r="D117" s="11">
        <v>1107501</v>
      </c>
      <c r="E117" s="11">
        <v>29109361</v>
      </c>
      <c r="F117" s="12" t="s">
        <v>491</v>
      </c>
      <c r="G117" s="11" t="s">
        <v>492</v>
      </c>
      <c r="H117" t="s">
        <v>493</v>
      </c>
      <c r="I117" s="13">
        <v>13765531553</v>
      </c>
      <c r="J117" s="14">
        <v>28827</v>
      </c>
      <c r="K117" s="14">
        <v>28827</v>
      </c>
      <c r="L117" s="10" t="s">
        <v>336</v>
      </c>
      <c r="M117" s="14">
        <v>0</v>
      </c>
      <c r="N117" s="15">
        <v>0</v>
      </c>
      <c r="O117" t="str">
        <f>IFERROR(VLOOKUP($I117,CHOOSE({1,2},'[1]DIRETORES NTE'!$H$5:$H$31,'[1]DIRETORES NTE'!$E$5:$E$31,),2,0),"-")</f>
        <v>-</v>
      </c>
    </row>
    <row r="118" spans="1:15" x14ac:dyDescent="0.25">
      <c r="A118" s="10">
        <v>116</v>
      </c>
      <c r="B118" s="11">
        <v>26</v>
      </c>
      <c r="C118" s="11" t="s">
        <v>95</v>
      </c>
      <c r="D118" s="11">
        <v>1176210</v>
      </c>
      <c r="E118" s="11">
        <v>29360960</v>
      </c>
      <c r="F118" s="12" t="s">
        <v>494</v>
      </c>
      <c r="G118" s="11" t="s">
        <v>495</v>
      </c>
      <c r="H118" t="s">
        <v>496</v>
      </c>
      <c r="I118" s="13">
        <v>10563768568</v>
      </c>
      <c r="J118" s="14">
        <v>4980</v>
      </c>
      <c r="K118" s="14">
        <v>2.09</v>
      </c>
      <c r="L118" s="10" t="s">
        <v>99</v>
      </c>
      <c r="M118" s="14">
        <v>4977.91</v>
      </c>
      <c r="N118" s="15">
        <v>0.99958032128514052</v>
      </c>
      <c r="O118" t="str">
        <f>IFERROR(VLOOKUP($I118,CHOOSE({1,2},'[1]DIRETORES NTE'!$H$5:$H$31,'[1]DIRETORES NTE'!$E$5:$E$31,),2,0),"-")</f>
        <v>-</v>
      </c>
    </row>
    <row r="119" spans="1:15" x14ac:dyDescent="0.25">
      <c r="A119" s="10">
        <v>117</v>
      </c>
      <c r="B119" s="11">
        <v>14</v>
      </c>
      <c r="C119" s="11" t="s">
        <v>497</v>
      </c>
      <c r="D119" s="11">
        <v>1123159</v>
      </c>
      <c r="E119" s="11">
        <v>29081319</v>
      </c>
      <c r="F119" s="12" t="s">
        <v>498</v>
      </c>
      <c r="G119" s="11" t="s">
        <v>499</v>
      </c>
      <c r="H119" t="s">
        <v>500</v>
      </c>
      <c r="I119" s="13">
        <v>25178849515</v>
      </c>
      <c r="J119" s="14">
        <v>7587</v>
      </c>
      <c r="K119" s="14">
        <v>7587</v>
      </c>
      <c r="L119" s="10" t="s">
        <v>147</v>
      </c>
      <c r="M119" s="14">
        <v>0</v>
      </c>
      <c r="N119" s="15">
        <v>0</v>
      </c>
      <c r="O119" t="str">
        <f>IFERROR(VLOOKUP($I119,CHOOSE({1,2},'[1]DIRETORES NTE'!$H$5:$H$31,'[1]DIRETORES NTE'!$E$5:$E$31,),2,0),"-")</f>
        <v>-</v>
      </c>
    </row>
    <row r="120" spans="1:15" x14ac:dyDescent="0.25">
      <c r="A120" s="10">
        <v>118</v>
      </c>
      <c r="B120" s="11">
        <v>9</v>
      </c>
      <c r="C120" s="11" t="s">
        <v>501</v>
      </c>
      <c r="D120" s="11">
        <v>1119461</v>
      </c>
      <c r="E120" s="11">
        <v>29227356</v>
      </c>
      <c r="F120" s="12" t="s">
        <v>502</v>
      </c>
      <c r="G120" s="11" t="s">
        <v>503</v>
      </c>
      <c r="H120" t="s">
        <v>504</v>
      </c>
      <c r="I120" s="13" t="s">
        <v>505</v>
      </c>
      <c r="J120" s="14">
        <v>2702</v>
      </c>
      <c r="K120" s="14">
        <v>2702</v>
      </c>
      <c r="L120" s="10" t="s">
        <v>167</v>
      </c>
      <c r="M120" s="14">
        <v>0</v>
      </c>
      <c r="N120" s="15">
        <v>0</v>
      </c>
      <c r="O120" t="str">
        <f>IFERROR(VLOOKUP($I120,CHOOSE({1,2},'[1]DIRETORES NTE'!$H$5:$H$31,'[1]DIRETORES NTE'!$E$5:$E$31,),2,0),"-")</f>
        <v>-</v>
      </c>
    </row>
    <row r="121" spans="1:15" x14ac:dyDescent="0.25">
      <c r="A121" s="10">
        <v>119</v>
      </c>
      <c r="B121" s="11">
        <v>26</v>
      </c>
      <c r="C121" s="11" t="s">
        <v>95</v>
      </c>
      <c r="D121" s="11">
        <v>1102704</v>
      </c>
      <c r="E121" s="11">
        <v>29183987</v>
      </c>
      <c r="F121" s="12" t="s">
        <v>506</v>
      </c>
      <c r="G121" s="11" t="s">
        <v>507</v>
      </c>
      <c r="H121" t="s">
        <v>508</v>
      </c>
      <c r="I121" s="13">
        <v>27808890553</v>
      </c>
      <c r="J121" s="14">
        <v>6444</v>
      </c>
      <c r="K121" s="14">
        <v>6444</v>
      </c>
      <c r="L121" s="10" t="s">
        <v>99</v>
      </c>
      <c r="M121" s="14">
        <v>0</v>
      </c>
      <c r="N121" s="15">
        <v>0</v>
      </c>
      <c r="O121" t="str">
        <f>IFERROR(VLOOKUP($I121,CHOOSE({1,2},'[1]DIRETORES NTE'!$H$5:$H$31,'[1]DIRETORES NTE'!$E$5:$E$31,),2,0),"-")</f>
        <v>-</v>
      </c>
    </row>
    <row r="122" spans="1:15" x14ac:dyDescent="0.25">
      <c r="A122" s="10">
        <v>120</v>
      </c>
      <c r="B122" s="11">
        <v>26</v>
      </c>
      <c r="C122" s="11" t="s">
        <v>95</v>
      </c>
      <c r="D122" s="11">
        <v>1102011</v>
      </c>
      <c r="E122" s="11">
        <v>29190860</v>
      </c>
      <c r="F122" s="12" t="s">
        <v>509</v>
      </c>
      <c r="G122" s="11" t="s">
        <v>510</v>
      </c>
      <c r="H122" t="s">
        <v>511</v>
      </c>
      <c r="I122" s="13">
        <v>40438929500</v>
      </c>
      <c r="J122" s="14">
        <v>8550</v>
      </c>
      <c r="K122" s="14">
        <v>8550</v>
      </c>
      <c r="L122" s="10" t="s">
        <v>99</v>
      </c>
      <c r="M122" s="14">
        <v>0</v>
      </c>
      <c r="N122" s="15">
        <v>0</v>
      </c>
      <c r="O122" t="str">
        <f>IFERROR(VLOOKUP($I122,CHOOSE({1,2},'[1]DIRETORES NTE'!$H$5:$H$31,'[1]DIRETORES NTE'!$E$5:$E$31,),2,0),"-")</f>
        <v>-</v>
      </c>
    </row>
    <row r="123" spans="1:15" x14ac:dyDescent="0.25">
      <c r="A123" s="10">
        <v>121</v>
      </c>
      <c r="B123" s="11">
        <v>15</v>
      </c>
      <c r="C123" s="11" t="s">
        <v>512</v>
      </c>
      <c r="D123" s="11">
        <v>1106904</v>
      </c>
      <c r="E123" s="11">
        <v>29139368</v>
      </c>
      <c r="F123" s="12" t="s">
        <v>60</v>
      </c>
      <c r="G123" s="11" t="s">
        <v>513</v>
      </c>
      <c r="H123" t="s">
        <v>514</v>
      </c>
      <c r="I123" s="13">
        <v>86644491553</v>
      </c>
      <c r="J123" s="14">
        <v>2992</v>
      </c>
      <c r="K123" s="14">
        <v>2992</v>
      </c>
      <c r="L123" s="10" t="s">
        <v>280</v>
      </c>
      <c r="M123" s="14">
        <v>0</v>
      </c>
      <c r="N123" s="15">
        <v>0</v>
      </c>
      <c r="O123" t="str">
        <f>IFERROR(VLOOKUP($I123,CHOOSE({1,2},'[1]DIRETORES NTE'!$H$5:$H$31,'[1]DIRETORES NTE'!$E$5:$E$31,),2,0),"-")</f>
        <v>-</v>
      </c>
    </row>
    <row r="124" spans="1:15" x14ac:dyDescent="0.25">
      <c r="A124" s="10">
        <v>122</v>
      </c>
      <c r="B124" s="11">
        <v>1</v>
      </c>
      <c r="C124" s="11" t="s">
        <v>515</v>
      </c>
      <c r="D124" s="11">
        <v>1125925</v>
      </c>
      <c r="E124" s="11">
        <v>29058244</v>
      </c>
      <c r="F124" s="12" t="s">
        <v>516</v>
      </c>
      <c r="G124" s="11" t="s">
        <v>517</v>
      </c>
      <c r="H124" t="s">
        <v>518</v>
      </c>
      <c r="I124" s="13" t="s">
        <v>519</v>
      </c>
      <c r="J124" s="14">
        <v>8640</v>
      </c>
      <c r="K124" s="14">
        <v>8640</v>
      </c>
      <c r="L124" s="10" t="s">
        <v>356</v>
      </c>
      <c r="M124" s="14">
        <v>0</v>
      </c>
      <c r="N124" s="15">
        <v>0</v>
      </c>
      <c r="O124" t="str">
        <f>IFERROR(VLOOKUP($I124,CHOOSE({1,2},'[1]DIRETORES NTE'!$H$5:$H$31,'[1]DIRETORES NTE'!$E$5:$E$31,),2,0),"-")</f>
        <v>-</v>
      </c>
    </row>
    <row r="125" spans="1:15" x14ac:dyDescent="0.25">
      <c r="A125" s="10">
        <v>123</v>
      </c>
      <c r="B125" s="11">
        <v>10</v>
      </c>
      <c r="C125" s="11" t="s">
        <v>520</v>
      </c>
      <c r="D125" s="11">
        <v>1121520</v>
      </c>
      <c r="E125" s="11">
        <v>29029732</v>
      </c>
      <c r="F125" s="12" t="s">
        <v>521</v>
      </c>
      <c r="G125" s="11" t="s">
        <v>522</v>
      </c>
      <c r="H125" t="s">
        <v>523</v>
      </c>
      <c r="I125" s="13">
        <v>39627934534</v>
      </c>
      <c r="J125" s="14">
        <v>21306</v>
      </c>
      <c r="K125" s="14">
        <v>21306</v>
      </c>
      <c r="L125" s="10" t="s">
        <v>21</v>
      </c>
      <c r="M125" s="14">
        <v>0</v>
      </c>
      <c r="N125" s="15">
        <v>0</v>
      </c>
      <c r="O125" t="str">
        <f>IFERROR(VLOOKUP($I125,CHOOSE({1,2},'[1]DIRETORES NTE'!$H$5:$H$31,'[1]DIRETORES NTE'!$E$5:$E$31,),2,0),"-")</f>
        <v>-</v>
      </c>
    </row>
    <row r="126" spans="1:15" x14ac:dyDescent="0.25">
      <c r="A126" s="10">
        <v>124</v>
      </c>
      <c r="B126" s="11">
        <v>26</v>
      </c>
      <c r="C126" s="11" t="s">
        <v>95</v>
      </c>
      <c r="D126" s="11">
        <v>1102216</v>
      </c>
      <c r="E126" s="11">
        <v>29191084</v>
      </c>
      <c r="F126" s="12" t="s">
        <v>524</v>
      </c>
      <c r="G126" s="11" t="s">
        <v>525</v>
      </c>
      <c r="H126" t="s">
        <v>526</v>
      </c>
      <c r="I126" s="13">
        <v>50674447549</v>
      </c>
      <c r="J126" s="14">
        <v>9371</v>
      </c>
      <c r="K126" s="14">
        <v>1.02</v>
      </c>
      <c r="L126" s="10" t="s">
        <v>99</v>
      </c>
      <c r="M126" s="14">
        <v>9369.98</v>
      </c>
      <c r="N126" s="15">
        <v>0.99989115355885172</v>
      </c>
      <c r="O126" t="str">
        <f>IFERROR(VLOOKUP($I126,CHOOSE({1,2},'[1]DIRETORES NTE'!$H$5:$H$31,'[1]DIRETORES NTE'!$E$5:$E$31,),2,0),"-")</f>
        <v>-</v>
      </c>
    </row>
    <row r="127" spans="1:15" x14ac:dyDescent="0.25">
      <c r="A127" s="10">
        <v>125</v>
      </c>
      <c r="B127" s="11">
        <v>26</v>
      </c>
      <c r="C127" s="11" t="s">
        <v>95</v>
      </c>
      <c r="D127" s="11">
        <v>1103905</v>
      </c>
      <c r="E127" s="11">
        <v>29182735</v>
      </c>
      <c r="F127" s="12" t="s">
        <v>527</v>
      </c>
      <c r="G127" s="11" t="s">
        <v>528</v>
      </c>
      <c r="H127" t="s">
        <v>529</v>
      </c>
      <c r="I127" s="13">
        <v>76602940597</v>
      </c>
      <c r="J127" s="14">
        <v>13982</v>
      </c>
      <c r="K127" s="14">
        <v>13982</v>
      </c>
      <c r="L127" s="10" t="s">
        <v>99</v>
      </c>
      <c r="M127" s="14">
        <v>0</v>
      </c>
      <c r="N127" s="15">
        <v>0</v>
      </c>
      <c r="O127" t="str">
        <f>IFERROR(VLOOKUP($I127,CHOOSE({1,2},'[1]DIRETORES NTE'!$H$5:$H$31,'[1]DIRETORES NTE'!$E$5:$E$31,),2,0),"-")</f>
        <v>-</v>
      </c>
    </row>
    <row r="128" spans="1:15" x14ac:dyDescent="0.25">
      <c r="A128" s="10">
        <v>126</v>
      </c>
      <c r="B128" s="11">
        <v>5</v>
      </c>
      <c r="C128" s="11" t="s">
        <v>530</v>
      </c>
      <c r="D128" s="11">
        <v>1111495</v>
      </c>
      <c r="E128" s="11">
        <v>29292280</v>
      </c>
      <c r="F128" s="12" t="s">
        <v>531</v>
      </c>
      <c r="G128" s="11" t="s">
        <v>532</v>
      </c>
      <c r="H128" t="s">
        <v>533</v>
      </c>
      <c r="I128" s="13" t="s">
        <v>534</v>
      </c>
      <c r="J128" s="14">
        <v>5240</v>
      </c>
      <c r="K128" s="14">
        <v>5240</v>
      </c>
      <c r="L128" s="10" t="s">
        <v>44</v>
      </c>
      <c r="M128" s="14">
        <v>0</v>
      </c>
      <c r="N128" s="15">
        <v>0</v>
      </c>
      <c r="O128" t="str">
        <f>IFERROR(VLOOKUP($I128,CHOOSE({1,2},'[1]DIRETORES NTE'!$H$5:$H$31,'[1]DIRETORES NTE'!$E$5:$E$31,),2,0),"-")</f>
        <v>-</v>
      </c>
    </row>
    <row r="129" spans="1:15" x14ac:dyDescent="0.25">
      <c r="A129" s="10">
        <v>127</v>
      </c>
      <c r="B129" s="11">
        <v>26</v>
      </c>
      <c r="C129" s="11" t="s">
        <v>95</v>
      </c>
      <c r="D129" s="11">
        <v>1100612</v>
      </c>
      <c r="E129" s="11">
        <v>29182034</v>
      </c>
      <c r="F129" s="12" t="s">
        <v>535</v>
      </c>
      <c r="G129" s="11" t="s">
        <v>536</v>
      </c>
      <c r="H129" t="s">
        <v>537</v>
      </c>
      <c r="I129" s="13">
        <v>28406184515</v>
      </c>
      <c r="J129" s="14">
        <v>7950</v>
      </c>
      <c r="K129" s="14">
        <v>7950</v>
      </c>
      <c r="L129" s="10" t="s">
        <v>99</v>
      </c>
      <c r="M129" s="14">
        <v>0</v>
      </c>
      <c r="N129" s="15">
        <v>0</v>
      </c>
      <c r="O129" t="str">
        <f>IFERROR(VLOOKUP($I129,CHOOSE({1,2},'[1]DIRETORES NTE'!$H$5:$H$31,'[1]DIRETORES NTE'!$E$5:$E$31,),2,0),"-")</f>
        <v>-</v>
      </c>
    </row>
    <row r="130" spans="1:15" x14ac:dyDescent="0.25">
      <c r="A130" s="10">
        <v>128</v>
      </c>
      <c r="B130" s="11">
        <v>26</v>
      </c>
      <c r="C130" s="11" t="s">
        <v>95</v>
      </c>
      <c r="D130" s="11">
        <v>1102925</v>
      </c>
      <c r="E130" s="11">
        <v>29192153</v>
      </c>
      <c r="F130" s="12" t="s">
        <v>538</v>
      </c>
      <c r="G130" s="11" t="s">
        <v>539</v>
      </c>
      <c r="H130" t="s">
        <v>540</v>
      </c>
      <c r="I130" s="13">
        <v>68214219515</v>
      </c>
      <c r="J130" s="14">
        <v>10401</v>
      </c>
      <c r="K130" s="14">
        <v>10401</v>
      </c>
      <c r="L130" s="10" t="s">
        <v>99</v>
      </c>
      <c r="M130" s="14">
        <v>0</v>
      </c>
      <c r="N130" s="15">
        <v>0</v>
      </c>
      <c r="O130" t="str">
        <f>IFERROR(VLOOKUP($I130,CHOOSE({1,2},'[1]DIRETORES NTE'!$H$5:$H$31,'[1]DIRETORES NTE'!$E$5:$E$31,),2,0),"-")</f>
        <v>-</v>
      </c>
    </row>
    <row r="131" spans="1:15" x14ac:dyDescent="0.25">
      <c r="A131" s="10">
        <v>129</v>
      </c>
      <c r="B131" s="11">
        <v>26</v>
      </c>
      <c r="C131" s="11" t="s">
        <v>95</v>
      </c>
      <c r="D131" s="11">
        <v>1100981</v>
      </c>
      <c r="E131" s="11">
        <v>29184460</v>
      </c>
      <c r="F131" s="12" t="s">
        <v>541</v>
      </c>
      <c r="G131" s="11" t="s">
        <v>542</v>
      </c>
      <c r="H131" t="s">
        <v>543</v>
      </c>
      <c r="I131" s="13">
        <v>88658201520</v>
      </c>
      <c r="J131" s="14">
        <v>15630</v>
      </c>
      <c r="K131" s="14">
        <v>15630</v>
      </c>
      <c r="L131" s="10" t="s">
        <v>99</v>
      </c>
      <c r="M131" s="14">
        <v>0</v>
      </c>
      <c r="N131" s="15">
        <v>0</v>
      </c>
      <c r="O131" t="str">
        <f>IFERROR(VLOOKUP($I131,CHOOSE({1,2},'[1]DIRETORES NTE'!$H$5:$H$31,'[1]DIRETORES NTE'!$E$5:$E$31,),2,0),"-")</f>
        <v>-</v>
      </c>
    </row>
    <row r="132" spans="1:15" x14ac:dyDescent="0.25">
      <c r="A132" s="10">
        <v>130</v>
      </c>
      <c r="B132" s="11">
        <v>4</v>
      </c>
      <c r="C132" s="11" t="s">
        <v>171</v>
      </c>
      <c r="D132" s="11">
        <v>1115717</v>
      </c>
      <c r="E132" s="11">
        <v>29137870</v>
      </c>
      <c r="F132" s="12" t="s">
        <v>544</v>
      </c>
      <c r="G132" s="11" t="s">
        <v>545</v>
      </c>
      <c r="H132" t="s">
        <v>546</v>
      </c>
      <c r="I132" s="13" t="s">
        <v>547</v>
      </c>
      <c r="J132" s="14">
        <v>2956</v>
      </c>
      <c r="K132" s="14">
        <v>2956</v>
      </c>
      <c r="L132" s="10" t="s">
        <v>58</v>
      </c>
      <c r="M132" s="14">
        <v>0</v>
      </c>
      <c r="N132" s="15">
        <v>0</v>
      </c>
      <c r="O132" t="str">
        <f>IFERROR(VLOOKUP($I132,CHOOSE({1,2},'[1]DIRETORES NTE'!$H$5:$H$31,'[1]DIRETORES NTE'!$E$5:$E$31,),2,0),"-")</f>
        <v>-</v>
      </c>
    </row>
    <row r="133" spans="1:15" x14ac:dyDescent="0.25">
      <c r="A133" s="10">
        <v>131</v>
      </c>
      <c r="B133" s="11">
        <v>18</v>
      </c>
      <c r="C133" s="11" t="s">
        <v>548</v>
      </c>
      <c r="D133" s="11">
        <v>1108591</v>
      </c>
      <c r="E133" s="11">
        <v>29158893</v>
      </c>
      <c r="F133" s="12" t="s">
        <v>549</v>
      </c>
      <c r="G133" s="11" t="s">
        <v>550</v>
      </c>
      <c r="H133" t="s">
        <v>551</v>
      </c>
      <c r="I133" s="13">
        <v>89313372568</v>
      </c>
      <c r="J133" s="14">
        <v>16426</v>
      </c>
      <c r="K133" s="14">
        <v>2911.6</v>
      </c>
      <c r="L133" s="10" t="s">
        <v>68</v>
      </c>
      <c r="M133" s="14">
        <v>13514.4</v>
      </c>
      <c r="N133" s="15">
        <v>0.82274442956288807</v>
      </c>
      <c r="O133" t="str">
        <f>IFERROR(VLOOKUP($I133,CHOOSE({1,2},'[1]DIRETORES NTE'!$H$5:$H$31,'[1]DIRETORES NTE'!$E$5:$E$31,),2,0),"-")</f>
        <v>-</v>
      </c>
    </row>
    <row r="134" spans="1:15" x14ac:dyDescent="0.25">
      <c r="A134" s="10">
        <v>132</v>
      </c>
      <c r="B134" s="11">
        <v>19</v>
      </c>
      <c r="C134" s="11" t="s">
        <v>331</v>
      </c>
      <c r="D134" s="11">
        <v>1178219</v>
      </c>
      <c r="E134" s="11">
        <v>29443768</v>
      </c>
      <c r="F134" s="12" t="s">
        <v>552</v>
      </c>
      <c r="G134" s="11" t="s">
        <v>553</v>
      </c>
      <c r="H134" t="s">
        <v>554</v>
      </c>
      <c r="I134" s="13">
        <v>93957980500</v>
      </c>
      <c r="J134" s="14">
        <v>4990</v>
      </c>
      <c r="K134" s="14">
        <v>359.19</v>
      </c>
      <c r="L134" s="10" t="s">
        <v>336</v>
      </c>
      <c r="M134" s="14">
        <v>4630.8100000000004</v>
      </c>
      <c r="N134" s="15">
        <v>0.92801803607214439</v>
      </c>
      <c r="O134" t="str">
        <f>IFERROR(VLOOKUP($I134,CHOOSE({1,2},'[1]DIRETORES NTE'!$H$5:$H$31,'[1]DIRETORES NTE'!$E$5:$E$31,),2,0),"-")</f>
        <v>-</v>
      </c>
    </row>
    <row r="135" spans="1:15" x14ac:dyDescent="0.25">
      <c r="A135" s="10">
        <v>133</v>
      </c>
      <c r="B135" s="11">
        <v>26</v>
      </c>
      <c r="C135" s="11" t="s">
        <v>95</v>
      </c>
      <c r="D135" s="11">
        <v>1102550</v>
      </c>
      <c r="E135" s="11">
        <v>29180104</v>
      </c>
      <c r="F135" s="12" t="s">
        <v>555</v>
      </c>
      <c r="G135" s="11" t="s">
        <v>556</v>
      </c>
      <c r="H135" t="s">
        <v>557</v>
      </c>
      <c r="I135" s="13">
        <v>15329984572</v>
      </c>
      <c r="J135" s="14">
        <v>19928</v>
      </c>
      <c r="K135" s="14">
        <v>19928</v>
      </c>
      <c r="L135" s="10" t="s">
        <v>99</v>
      </c>
      <c r="M135" s="14">
        <v>0</v>
      </c>
      <c r="N135" s="15">
        <v>0</v>
      </c>
      <c r="O135" t="str">
        <f>IFERROR(VLOOKUP($I135,CHOOSE({1,2},'[1]DIRETORES NTE'!$H$5:$H$31,'[1]DIRETORES NTE'!$E$5:$E$31,),2,0),"-")</f>
        <v>-</v>
      </c>
    </row>
    <row r="136" spans="1:15" x14ac:dyDescent="0.25">
      <c r="A136" s="10">
        <v>134</v>
      </c>
      <c r="B136" s="11">
        <v>7</v>
      </c>
      <c r="C136" s="11" t="s">
        <v>201</v>
      </c>
      <c r="D136" s="11">
        <v>1179453</v>
      </c>
      <c r="E136" s="11">
        <v>29467624</v>
      </c>
      <c r="F136" s="12" t="s">
        <v>558</v>
      </c>
      <c r="G136" s="11" t="s">
        <v>559</v>
      </c>
      <c r="H136" t="s">
        <v>560</v>
      </c>
      <c r="I136" s="13" t="s">
        <v>561</v>
      </c>
      <c r="J136" s="14">
        <v>6579</v>
      </c>
      <c r="K136" s="14">
        <v>6579</v>
      </c>
      <c r="L136" s="10" t="s">
        <v>153</v>
      </c>
      <c r="M136" s="14">
        <v>0</v>
      </c>
      <c r="N136" s="15">
        <v>0</v>
      </c>
      <c r="O136" t="str">
        <f>IFERROR(VLOOKUP($I136,CHOOSE({1,2},'[1]DIRETORES NTE'!$H$5:$H$31,'[1]DIRETORES NTE'!$E$5:$E$31,),2,0),"-")</f>
        <v>-</v>
      </c>
    </row>
    <row r="137" spans="1:15" x14ac:dyDescent="0.25">
      <c r="A137" s="10">
        <v>135</v>
      </c>
      <c r="B137" s="11">
        <v>1</v>
      </c>
      <c r="C137" s="11" t="s">
        <v>562</v>
      </c>
      <c r="D137" s="11">
        <v>1179795</v>
      </c>
      <c r="E137" s="11">
        <v>44263</v>
      </c>
      <c r="F137" s="12" t="s">
        <v>563</v>
      </c>
      <c r="G137" s="11" t="s">
        <v>564</v>
      </c>
      <c r="H137" t="s">
        <v>565</v>
      </c>
      <c r="I137" s="13">
        <v>44631030534</v>
      </c>
      <c r="J137" s="14">
        <v>8530</v>
      </c>
      <c r="K137" s="14">
        <v>8530</v>
      </c>
      <c r="L137" s="10" t="s">
        <v>356</v>
      </c>
      <c r="M137" s="14">
        <v>0</v>
      </c>
      <c r="N137" s="15">
        <v>0</v>
      </c>
      <c r="O137" t="str">
        <f>IFERROR(VLOOKUP($I137,CHOOSE({1,2},'[1]DIRETORES NTE'!$H$5:$H$31,'[1]DIRETORES NTE'!$E$5:$E$31,),2,0),"-")</f>
        <v>-</v>
      </c>
    </row>
    <row r="138" spans="1:15" x14ac:dyDescent="0.25">
      <c r="A138" s="10">
        <v>136</v>
      </c>
      <c r="B138" s="11">
        <v>26</v>
      </c>
      <c r="C138" s="11" t="s">
        <v>566</v>
      </c>
      <c r="D138" s="11">
        <v>1178430</v>
      </c>
      <c r="E138" s="11">
        <v>29862728</v>
      </c>
      <c r="F138" s="12" t="s">
        <v>567</v>
      </c>
      <c r="G138" s="11" t="s">
        <v>568</v>
      </c>
      <c r="H138" t="s">
        <v>569</v>
      </c>
      <c r="I138" s="13">
        <v>88289575572</v>
      </c>
      <c r="J138" s="14">
        <v>4770</v>
      </c>
      <c r="K138" s="14">
        <v>4770</v>
      </c>
      <c r="L138" s="10" t="s">
        <v>99</v>
      </c>
      <c r="M138" s="14">
        <v>0</v>
      </c>
      <c r="N138" s="15">
        <v>0</v>
      </c>
      <c r="O138" t="str">
        <f>IFERROR(VLOOKUP($I138,CHOOSE({1,2},'[1]DIRETORES NTE'!$H$5:$H$31,'[1]DIRETORES NTE'!$E$5:$E$31,),2,0),"-")</f>
        <v>-</v>
      </c>
    </row>
    <row r="139" spans="1:15" x14ac:dyDescent="0.25">
      <c r="A139" s="10">
        <v>137</v>
      </c>
      <c r="B139" s="11">
        <v>1</v>
      </c>
      <c r="C139" s="11" t="s">
        <v>570</v>
      </c>
      <c r="D139" s="11">
        <v>1126212</v>
      </c>
      <c r="E139" s="11">
        <v>29059380</v>
      </c>
      <c r="F139" s="12" t="s">
        <v>571</v>
      </c>
      <c r="G139" s="11" t="s">
        <v>572</v>
      </c>
      <c r="H139" t="s">
        <v>573</v>
      </c>
      <c r="I139" s="13">
        <v>63727803568</v>
      </c>
      <c r="J139" s="14">
        <v>6977</v>
      </c>
      <c r="K139" s="14">
        <v>6977</v>
      </c>
      <c r="L139" s="10" t="s">
        <v>356</v>
      </c>
      <c r="M139" s="14">
        <v>0</v>
      </c>
      <c r="N139" s="15">
        <v>0</v>
      </c>
      <c r="O139" t="str">
        <f>IFERROR(VLOOKUP($I139,CHOOSE({1,2},'[1]DIRETORES NTE'!$H$5:$H$31,'[1]DIRETORES NTE'!$E$5:$E$31,),2,0),"-")</f>
        <v>-</v>
      </c>
    </row>
    <row r="140" spans="1:15" x14ac:dyDescent="0.25">
      <c r="A140" s="10">
        <v>138</v>
      </c>
      <c r="B140" s="11">
        <v>26</v>
      </c>
      <c r="C140" s="11" t="s">
        <v>95</v>
      </c>
      <c r="D140" s="11">
        <v>1101619</v>
      </c>
      <c r="E140" s="11">
        <v>29192650</v>
      </c>
      <c r="F140" s="12" t="s">
        <v>574</v>
      </c>
      <c r="G140" s="11" t="s">
        <v>575</v>
      </c>
      <c r="H140" t="s">
        <v>576</v>
      </c>
      <c r="I140" s="13">
        <v>46506314591</v>
      </c>
      <c r="J140" s="14">
        <v>5598</v>
      </c>
      <c r="K140" s="14">
        <v>5598</v>
      </c>
      <c r="L140" s="10" t="s">
        <v>99</v>
      </c>
      <c r="M140" s="14">
        <v>0</v>
      </c>
      <c r="N140" s="15">
        <v>0</v>
      </c>
      <c r="O140" t="str">
        <f>IFERROR(VLOOKUP($I140,CHOOSE({1,2},'[1]DIRETORES NTE'!$H$5:$H$31,'[1]DIRETORES NTE'!$E$5:$E$31,),2,0),"-")</f>
        <v>-</v>
      </c>
    </row>
    <row r="141" spans="1:15" x14ac:dyDescent="0.25">
      <c r="A141" s="10">
        <v>139</v>
      </c>
      <c r="B141" s="11">
        <v>8</v>
      </c>
      <c r="C141" s="11" t="s">
        <v>577</v>
      </c>
      <c r="D141" s="11">
        <v>1118899</v>
      </c>
      <c r="E141" s="11">
        <v>29282608</v>
      </c>
      <c r="F141" s="12" t="s">
        <v>578</v>
      </c>
      <c r="G141" s="11" t="s">
        <v>579</v>
      </c>
      <c r="H141" t="s">
        <v>580</v>
      </c>
      <c r="I141" s="13" t="s">
        <v>581</v>
      </c>
      <c r="J141" s="14">
        <v>8454</v>
      </c>
      <c r="K141" s="14">
        <v>8454</v>
      </c>
      <c r="L141" s="10" t="s">
        <v>285</v>
      </c>
      <c r="M141" s="14">
        <v>0</v>
      </c>
      <c r="N141" s="15">
        <v>0</v>
      </c>
      <c r="O141" t="str">
        <f>IFERROR(VLOOKUP($I141,CHOOSE({1,2},'[1]DIRETORES NTE'!$H$5:$H$31,'[1]DIRETORES NTE'!$E$5:$E$31,),2,0),"-")</f>
        <v>-</v>
      </c>
    </row>
    <row r="142" spans="1:15" x14ac:dyDescent="0.25">
      <c r="A142" s="10">
        <v>140</v>
      </c>
      <c r="B142" s="11">
        <v>4</v>
      </c>
      <c r="C142" s="11" t="s">
        <v>171</v>
      </c>
      <c r="D142" s="11">
        <v>1115733</v>
      </c>
      <c r="E142" s="11">
        <v>29137845</v>
      </c>
      <c r="F142" s="12" t="s">
        <v>582</v>
      </c>
      <c r="G142" s="11" t="s">
        <v>583</v>
      </c>
      <c r="H142" t="s">
        <v>584</v>
      </c>
      <c r="I142" s="13">
        <v>70731357515</v>
      </c>
      <c r="J142" s="14">
        <v>8983</v>
      </c>
      <c r="K142" s="14">
        <v>8983</v>
      </c>
      <c r="L142" s="10" t="s">
        <v>58</v>
      </c>
      <c r="M142" s="14">
        <v>0</v>
      </c>
      <c r="N142" s="15">
        <v>0</v>
      </c>
      <c r="O142" t="str">
        <f>IFERROR(VLOOKUP($I142,CHOOSE({1,2},'[1]DIRETORES NTE'!$H$5:$H$31,'[1]DIRETORES NTE'!$E$5:$E$31,),2,0),"-")</f>
        <v>-</v>
      </c>
    </row>
    <row r="143" spans="1:15" x14ac:dyDescent="0.25">
      <c r="A143" s="10">
        <v>141</v>
      </c>
      <c r="B143" s="11">
        <v>11</v>
      </c>
      <c r="C143" s="11" t="s">
        <v>188</v>
      </c>
      <c r="D143" s="11">
        <v>1129939</v>
      </c>
      <c r="E143" s="11">
        <v>29383218</v>
      </c>
      <c r="F143" s="12" t="s">
        <v>585</v>
      </c>
      <c r="G143" s="11" t="s">
        <v>586</v>
      </c>
      <c r="H143" t="s">
        <v>587</v>
      </c>
      <c r="I143" s="13">
        <v>55196918515</v>
      </c>
      <c r="J143" s="14">
        <v>6407</v>
      </c>
      <c r="K143" s="14">
        <v>6407</v>
      </c>
      <c r="L143" s="10" t="s">
        <v>39</v>
      </c>
      <c r="M143" s="14">
        <v>0</v>
      </c>
      <c r="N143" s="15">
        <v>0</v>
      </c>
      <c r="O143" t="str">
        <f>IFERROR(VLOOKUP($I143,CHOOSE({1,2},'[1]DIRETORES NTE'!$H$5:$H$31,'[1]DIRETORES NTE'!$E$5:$E$31,),2,0),"-")</f>
        <v>-</v>
      </c>
    </row>
    <row r="144" spans="1:15" x14ac:dyDescent="0.25">
      <c r="A144" s="10">
        <v>142</v>
      </c>
      <c r="B144" s="11">
        <v>26</v>
      </c>
      <c r="C144" s="11" t="s">
        <v>95</v>
      </c>
      <c r="D144" s="11">
        <v>1101937</v>
      </c>
      <c r="E144" s="11">
        <v>29190851</v>
      </c>
      <c r="F144" s="12" t="s">
        <v>588</v>
      </c>
      <c r="G144" s="11" t="s">
        <v>589</v>
      </c>
      <c r="H144" t="s">
        <v>590</v>
      </c>
      <c r="I144" s="13">
        <v>29452830506</v>
      </c>
      <c r="J144" s="14">
        <v>3770</v>
      </c>
      <c r="K144" s="14">
        <v>3770</v>
      </c>
      <c r="L144" s="10" t="s">
        <v>99</v>
      </c>
      <c r="M144" s="14">
        <v>0</v>
      </c>
      <c r="N144" s="15">
        <v>0</v>
      </c>
      <c r="O144" t="str">
        <f>IFERROR(VLOOKUP($I144,CHOOSE({1,2},'[1]DIRETORES NTE'!$H$5:$H$31,'[1]DIRETORES NTE'!$E$5:$E$31,),2,0),"-")</f>
        <v>-</v>
      </c>
    </row>
    <row r="145" spans="1:15" x14ac:dyDescent="0.25">
      <c r="A145" s="10">
        <v>143</v>
      </c>
      <c r="B145" s="11">
        <v>21</v>
      </c>
      <c r="C145" s="11" t="s">
        <v>243</v>
      </c>
      <c r="D145" s="11">
        <v>1145691</v>
      </c>
      <c r="E145" s="11">
        <v>29169607</v>
      </c>
      <c r="F145" s="12" t="s">
        <v>591</v>
      </c>
      <c r="G145" s="11" t="s">
        <v>592</v>
      </c>
      <c r="H145" t="s">
        <v>593</v>
      </c>
      <c r="I145" s="13">
        <v>71706070500</v>
      </c>
      <c r="J145" s="14">
        <v>11150</v>
      </c>
      <c r="K145" s="14">
        <v>11150</v>
      </c>
      <c r="L145" s="10" t="s">
        <v>63</v>
      </c>
      <c r="M145" s="14">
        <v>0</v>
      </c>
      <c r="N145" s="15">
        <v>0</v>
      </c>
      <c r="O145" t="str">
        <f>IFERROR(VLOOKUP($I145,CHOOSE({1,2},'[1]DIRETORES NTE'!$H$5:$H$31,'[1]DIRETORES NTE'!$E$5:$E$31,),2,0),"-")</f>
        <v>-</v>
      </c>
    </row>
    <row r="146" spans="1:15" x14ac:dyDescent="0.25">
      <c r="A146" s="10">
        <v>144</v>
      </c>
      <c r="B146" s="11">
        <v>21</v>
      </c>
      <c r="C146" s="11" t="s">
        <v>157</v>
      </c>
      <c r="D146" s="11">
        <v>1133502</v>
      </c>
      <c r="E146" s="11">
        <v>29165555</v>
      </c>
      <c r="F146" s="12" t="s">
        <v>594</v>
      </c>
      <c r="G146" s="11" t="s">
        <v>595</v>
      </c>
      <c r="H146" t="s">
        <v>596</v>
      </c>
      <c r="I146" s="13">
        <v>79246320506</v>
      </c>
      <c r="J146" s="14">
        <v>10536</v>
      </c>
      <c r="K146" s="14">
        <v>1.1200000000000001</v>
      </c>
      <c r="L146" s="10" t="s">
        <v>63</v>
      </c>
      <c r="M146" s="14">
        <v>10534.88</v>
      </c>
      <c r="N146" s="15">
        <v>0.99989369779802573</v>
      </c>
      <c r="O146" t="str">
        <f>IFERROR(VLOOKUP($I146,CHOOSE({1,2},'[1]DIRETORES NTE'!$H$5:$H$31,'[1]DIRETORES NTE'!$E$5:$E$31,),2,0),"-")</f>
        <v>-</v>
      </c>
    </row>
    <row r="147" spans="1:15" x14ac:dyDescent="0.25">
      <c r="A147" s="10">
        <v>145</v>
      </c>
      <c r="B147" s="11">
        <v>1</v>
      </c>
      <c r="C147" s="11" t="s">
        <v>562</v>
      </c>
      <c r="D147" s="11">
        <v>1125747</v>
      </c>
      <c r="E147" s="11">
        <v>29057809</v>
      </c>
      <c r="F147" s="12" t="s">
        <v>597</v>
      </c>
      <c r="G147" s="11" t="s">
        <v>598</v>
      </c>
      <c r="H147" t="s">
        <v>599</v>
      </c>
      <c r="I147" s="13">
        <v>20259379549</v>
      </c>
      <c r="J147" s="14">
        <v>6148</v>
      </c>
      <c r="K147" s="14">
        <v>6148</v>
      </c>
      <c r="L147" s="10" t="s">
        <v>356</v>
      </c>
      <c r="M147" s="14">
        <v>0</v>
      </c>
      <c r="N147" s="15">
        <v>0</v>
      </c>
      <c r="O147" t="str">
        <f>IFERROR(VLOOKUP($I147,CHOOSE({1,2},'[1]DIRETORES NTE'!$H$5:$H$31,'[1]DIRETORES NTE'!$E$5:$E$31,),2,0),"-")</f>
        <v>-</v>
      </c>
    </row>
    <row r="148" spans="1:15" x14ac:dyDescent="0.25">
      <c r="A148" s="10">
        <v>146</v>
      </c>
      <c r="B148" s="11">
        <v>26</v>
      </c>
      <c r="C148" s="11" t="s">
        <v>95</v>
      </c>
      <c r="D148" s="11">
        <v>1176880</v>
      </c>
      <c r="E148" s="11">
        <v>29404339</v>
      </c>
      <c r="F148" s="12" t="s">
        <v>600</v>
      </c>
      <c r="G148" s="11" t="s">
        <v>601</v>
      </c>
      <c r="H148" t="s">
        <v>602</v>
      </c>
      <c r="I148" s="13">
        <v>44363745568</v>
      </c>
      <c r="J148" s="14">
        <v>17190</v>
      </c>
      <c r="K148" s="14">
        <v>11560</v>
      </c>
      <c r="L148" s="10" t="s">
        <v>99</v>
      </c>
      <c r="M148" s="14">
        <v>5630</v>
      </c>
      <c r="N148" s="15">
        <v>0.32751599767306572</v>
      </c>
      <c r="O148" t="str">
        <f>IFERROR(VLOOKUP($I148,CHOOSE({1,2},'[1]DIRETORES NTE'!$H$5:$H$31,'[1]DIRETORES NTE'!$E$5:$E$31,),2,0),"-")</f>
        <v>-</v>
      </c>
    </row>
    <row r="149" spans="1:15" x14ac:dyDescent="0.25">
      <c r="A149" s="10">
        <v>147</v>
      </c>
      <c r="B149" s="11">
        <v>24</v>
      </c>
      <c r="C149" s="11" t="s">
        <v>603</v>
      </c>
      <c r="D149" s="11">
        <v>1176143</v>
      </c>
      <c r="E149" s="11">
        <v>29332230</v>
      </c>
      <c r="F149" s="12" t="s">
        <v>604</v>
      </c>
      <c r="G149" s="11" t="s">
        <v>605</v>
      </c>
      <c r="H149" t="s">
        <v>606</v>
      </c>
      <c r="I149" s="13" t="s">
        <v>607</v>
      </c>
      <c r="J149" s="14">
        <v>12483</v>
      </c>
      <c r="K149" s="14">
        <v>12483</v>
      </c>
      <c r="L149" s="10" t="s">
        <v>266</v>
      </c>
      <c r="M149" s="14">
        <v>0</v>
      </c>
      <c r="N149" s="15">
        <v>0</v>
      </c>
      <c r="O149" t="str">
        <f>IFERROR(VLOOKUP($I149,CHOOSE({1,2},'[1]DIRETORES NTE'!$H$5:$H$31,'[1]DIRETORES NTE'!$E$5:$E$31,),2,0),"-")</f>
        <v>-</v>
      </c>
    </row>
    <row r="150" spans="1:15" x14ac:dyDescent="0.25">
      <c r="A150" s="10">
        <v>148</v>
      </c>
      <c r="B150" s="11">
        <v>10</v>
      </c>
      <c r="C150" s="11" t="s">
        <v>180</v>
      </c>
      <c r="D150" s="11">
        <v>1179592</v>
      </c>
      <c r="E150" s="11">
        <v>29470560</v>
      </c>
      <c r="F150" s="12" t="s">
        <v>608</v>
      </c>
      <c r="G150" s="11" t="s">
        <v>609</v>
      </c>
      <c r="H150" t="s">
        <v>610</v>
      </c>
      <c r="I150" s="13" t="s">
        <v>611</v>
      </c>
      <c r="J150" s="14">
        <v>10917</v>
      </c>
      <c r="K150" s="14">
        <v>10917</v>
      </c>
      <c r="L150" s="10" t="s">
        <v>21</v>
      </c>
      <c r="M150" s="14">
        <v>0</v>
      </c>
      <c r="N150" s="15">
        <v>0</v>
      </c>
      <c r="O150" t="str">
        <f>IFERROR(VLOOKUP($I150,CHOOSE({1,2},'[1]DIRETORES NTE'!$H$5:$H$31,'[1]DIRETORES NTE'!$E$5:$E$31,),2,0),"-")</f>
        <v>-</v>
      </c>
    </row>
    <row r="151" spans="1:15" x14ac:dyDescent="0.25">
      <c r="A151" s="10">
        <v>149</v>
      </c>
      <c r="B151" s="11">
        <v>17</v>
      </c>
      <c r="C151" s="11" t="s">
        <v>612</v>
      </c>
      <c r="D151" s="11">
        <v>1115342</v>
      </c>
      <c r="E151" s="11">
        <v>29132711</v>
      </c>
      <c r="F151" s="12" t="s">
        <v>613</v>
      </c>
      <c r="G151" s="11" t="s">
        <v>614</v>
      </c>
      <c r="H151" t="s">
        <v>615</v>
      </c>
      <c r="I151" s="13">
        <v>80055915515</v>
      </c>
      <c r="J151" s="14">
        <v>5997</v>
      </c>
      <c r="K151" s="14">
        <v>5997</v>
      </c>
      <c r="L151" s="10" t="s">
        <v>455</v>
      </c>
      <c r="M151" s="14">
        <v>0</v>
      </c>
      <c r="N151" s="15">
        <v>0</v>
      </c>
      <c r="O151" t="str">
        <f>IFERROR(VLOOKUP($I151,CHOOSE({1,2},'[1]DIRETORES NTE'!$H$5:$H$31,'[1]DIRETORES NTE'!$E$5:$E$31,),2,0),"-")</f>
        <v>-</v>
      </c>
    </row>
    <row r="152" spans="1:15" x14ac:dyDescent="0.25">
      <c r="A152" s="10">
        <v>150</v>
      </c>
      <c r="B152" s="11">
        <v>26</v>
      </c>
      <c r="C152" s="11" t="s">
        <v>95</v>
      </c>
      <c r="D152" s="11">
        <v>1104693</v>
      </c>
      <c r="E152" s="11">
        <v>29181631</v>
      </c>
      <c r="F152" s="12" t="s">
        <v>616</v>
      </c>
      <c r="G152" s="11" t="s">
        <v>617</v>
      </c>
      <c r="H152" t="s">
        <v>618</v>
      </c>
      <c r="I152" s="13">
        <v>14605155520</v>
      </c>
      <c r="J152" s="14">
        <v>44721</v>
      </c>
      <c r="K152" s="14">
        <v>44721</v>
      </c>
      <c r="L152" s="10" t="s">
        <v>99</v>
      </c>
      <c r="M152" s="14">
        <v>0</v>
      </c>
      <c r="N152" s="15">
        <v>0</v>
      </c>
      <c r="O152" t="str">
        <f>IFERROR(VLOOKUP($I152,CHOOSE({1,2},'[1]DIRETORES NTE'!$H$5:$H$31,'[1]DIRETORES NTE'!$E$5:$E$31,),2,0),"-")</f>
        <v>-</v>
      </c>
    </row>
    <row r="153" spans="1:15" x14ac:dyDescent="0.25">
      <c r="A153" s="10">
        <v>151</v>
      </c>
      <c r="B153" s="11">
        <v>14</v>
      </c>
      <c r="C153" s="11" t="s">
        <v>619</v>
      </c>
      <c r="D153" s="11">
        <v>1123000</v>
      </c>
      <c r="E153" s="11">
        <v>29086914</v>
      </c>
      <c r="F153" s="12" t="s">
        <v>620</v>
      </c>
      <c r="G153" s="11" t="s">
        <v>621</v>
      </c>
      <c r="H153" t="s">
        <v>622</v>
      </c>
      <c r="I153" s="13" t="s">
        <v>623</v>
      </c>
      <c r="J153" s="14">
        <v>14346</v>
      </c>
      <c r="K153" s="14">
        <v>14346</v>
      </c>
      <c r="L153" s="10" t="s">
        <v>147</v>
      </c>
      <c r="M153" s="14">
        <v>0</v>
      </c>
      <c r="N153" s="15">
        <v>0</v>
      </c>
      <c r="O153" t="str">
        <f>IFERROR(VLOOKUP($I153,CHOOSE({1,2},'[1]DIRETORES NTE'!$H$5:$H$31,'[1]DIRETORES NTE'!$E$5:$E$31,),2,0),"-")</f>
        <v>-</v>
      </c>
    </row>
    <row r="154" spans="1:15" x14ac:dyDescent="0.25">
      <c r="A154" s="10">
        <v>152</v>
      </c>
      <c r="B154" s="11">
        <v>14</v>
      </c>
      <c r="C154" s="11" t="s">
        <v>619</v>
      </c>
      <c r="D154" s="11">
        <v>1123000</v>
      </c>
      <c r="E154" s="11">
        <v>29086914</v>
      </c>
      <c r="F154" s="12" t="s">
        <v>620</v>
      </c>
      <c r="G154" s="11" t="s">
        <v>621</v>
      </c>
      <c r="H154" t="s">
        <v>622</v>
      </c>
      <c r="I154" s="13" t="s">
        <v>623</v>
      </c>
      <c r="J154" s="14">
        <v>0</v>
      </c>
      <c r="K154" s="14">
        <v>0</v>
      </c>
      <c r="L154" s="10" t="s">
        <v>147</v>
      </c>
      <c r="M154" s="14">
        <v>0</v>
      </c>
      <c r="N154" s="15" t="e">
        <v>#DIV/0!</v>
      </c>
      <c r="O154" t="str">
        <f>IFERROR(VLOOKUP($I154,CHOOSE({1,2},'[1]DIRETORES NTE'!$H$5:$H$31,'[1]DIRETORES NTE'!$E$5:$E$31,),2,0),"-")</f>
        <v>-</v>
      </c>
    </row>
    <row r="155" spans="1:15" x14ac:dyDescent="0.25">
      <c r="A155" s="10">
        <v>153</v>
      </c>
      <c r="B155" s="11">
        <v>13</v>
      </c>
      <c r="C155" s="11" t="s">
        <v>624</v>
      </c>
      <c r="D155" s="11">
        <v>1179778</v>
      </c>
      <c r="E155" s="11">
        <v>29242231</v>
      </c>
      <c r="F155" s="12" t="s">
        <v>625</v>
      </c>
      <c r="G155" s="11" t="s">
        <v>626</v>
      </c>
      <c r="H155" t="s">
        <v>627</v>
      </c>
      <c r="I155" s="13" t="s">
        <v>628</v>
      </c>
      <c r="J155" s="14">
        <v>42794</v>
      </c>
      <c r="K155" s="14">
        <v>42794</v>
      </c>
      <c r="L155" s="10" t="s">
        <v>33</v>
      </c>
      <c r="M155" s="14">
        <v>0</v>
      </c>
      <c r="N155" s="15">
        <v>0</v>
      </c>
      <c r="O155" t="str">
        <f>IFERROR(VLOOKUP($I155,CHOOSE({1,2},'[1]DIRETORES NTE'!$H$5:$H$31,'[1]DIRETORES NTE'!$E$5:$E$31,),2,0),"-")</f>
        <v>-</v>
      </c>
    </row>
    <row r="156" spans="1:15" x14ac:dyDescent="0.25">
      <c r="A156" s="10">
        <v>154</v>
      </c>
      <c r="B156" s="11">
        <v>25</v>
      </c>
      <c r="C156" s="11" t="s">
        <v>629</v>
      </c>
      <c r="D156" s="11">
        <v>1179314</v>
      </c>
      <c r="E156" s="11">
        <v>29461510</v>
      </c>
      <c r="F156" s="12" t="s">
        <v>630</v>
      </c>
      <c r="G156" s="11" t="s">
        <v>631</v>
      </c>
      <c r="H156" t="s">
        <v>632</v>
      </c>
      <c r="I156" s="13" t="s">
        <v>633</v>
      </c>
      <c r="J156" s="14">
        <v>6861</v>
      </c>
      <c r="K156" s="14">
        <v>6861</v>
      </c>
      <c r="L156" s="10" t="s">
        <v>80</v>
      </c>
      <c r="M156" s="14">
        <v>0</v>
      </c>
      <c r="N156" s="15">
        <v>0</v>
      </c>
      <c r="O156" t="str">
        <f>IFERROR(VLOOKUP($I156,CHOOSE({1,2},'[1]DIRETORES NTE'!$H$5:$H$31,'[1]DIRETORES NTE'!$E$5:$E$31,),2,0),"-")</f>
        <v>-</v>
      </c>
    </row>
    <row r="157" spans="1:15" x14ac:dyDescent="0.25">
      <c r="A157" s="10">
        <v>155</v>
      </c>
      <c r="B157" s="11">
        <v>26</v>
      </c>
      <c r="C157" s="11" t="s">
        <v>95</v>
      </c>
      <c r="D157" s="11">
        <v>1101309</v>
      </c>
      <c r="E157" s="11">
        <v>29179548</v>
      </c>
      <c r="F157" s="12" t="s">
        <v>634</v>
      </c>
      <c r="G157" s="11" t="s">
        <v>635</v>
      </c>
      <c r="H157" t="s">
        <v>636</v>
      </c>
      <c r="I157" s="13">
        <v>59417102591</v>
      </c>
      <c r="J157" s="14">
        <v>6282</v>
      </c>
      <c r="K157" s="14">
        <v>6282</v>
      </c>
      <c r="L157" s="10" t="s">
        <v>99</v>
      </c>
      <c r="M157" s="14">
        <v>0</v>
      </c>
      <c r="N157" s="15">
        <v>0</v>
      </c>
      <c r="O157" t="str">
        <f>IFERROR(VLOOKUP($I157,CHOOSE({1,2},'[1]DIRETORES NTE'!$H$5:$H$31,'[1]DIRETORES NTE'!$E$5:$E$31,),2,0),"-")</f>
        <v>-</v>
      </c>
    </row>
    <row r="158" spans="1:15" x14ac:dyDescent="0.25">
      <c r="A158" s="10">
        <v>156</v>
      </c>
      <c r="B158" s="11">
        <v>23</v>
      </c>
      <c r="C158" s="11" t="s">
        <v>637</v>
      </c>
      <c r="D158" s="11">
        <v>1178048</v>
      </c>
      <c r="E158" s="11">
        <v>29427541</v>
      </c>
      <c r="F158" s="12" t="s">
        <v>638</v>
      </c>
      <c r="G158" s="11" t="s">
        <v>639</v>
      </c>
      <c r="H158" t="s">
        <v>640</v>
      </c>
      <c r="I158" s="13" t="s">
        <v>641</v>
      </c>
      <c r="J158" s="14">
        <v>3518</v>
      </c>
      <c r="K158" s="14">
        <v>3518</v>
      </c>
      <c r="L158" s="10" t="s">
        <v>373</v>
      </c>
      <c r="M158" s="14">
        <v>0</v>
      </c>
      <c r="N158" s="15">
        <v>0</v>
      </c>
      <c r="O158" t="str">
        <f>IFERROR(VLOOKUP($I158,CHOOSE({1,2},'[1]DIRETORES NTE'!$H$5:$H$31,'[1]DIRETORES NTE'!$E$5:$E$31,),2,0),"-")</f>
        <v>-</v>
      </c>
    </row>
    <row r="159" spans="1:15" x14ac:dyDescent="0.25">
      <c r="A159" s="10">
        <v>157</v>
      </c>
      <c r="B159" s="11">
        <v>17</v>
      </c>
      <c r="C159" s="11" t="s">
        <v>642</v>
      </c>
      <c r="D159" s="11">
        <v>1114893</v>
      </c>
      <c r="E159" s="11">
        <v>29126126</v>
      </c>
      <c r="F159" s="12" t="s">
        <v>643</v>
      </c>
      <c r="G159" s="11" t="s">
        <v>644</v>
      </c>
      <c r="H159" t="s">
        <v>645</v>
      </c>
      <c r="I159" s="13">
        <v>33212473568</v>
      </c>
      <c r="J159" s="14">
        <v>8501</v>
      </c>
      <c r="K159" s="14">
        <v>8501</v>
      </c>
      <c r="L159" s="10" t="s">
        <v>455</v>
      </c>
      <c r="M159" s="14">
        <v>0</v>
      </c>
      <c r="N159" s="15">
        <v>0</v>
      </c>
      <c r="O159" t="str">
        <f>IFERROR(VLOOKUP($I159,CHOOSE({1,2},'[1]DIRETORES NTE'!$H$5:$H$31,'[1]DIRETORES NTE'!$E$5:$E$31,),2,0),"-")</f>
        <v>-</v>
      </c>
    </row>
    <row r="160" spans="1:15" x14ac:dyDescent="0.25">
      <c r="A160" s="10">
        <v>158</v>
      </c>
      <c r="B160" s="11">
        <v>26</v>
      </c>
      <c r="C160" s="11" t="s">
        <v>95</v>
      </c>
      <c r="D160" s="11">
        <v>1102747</v>
      </c>
      <c r="E160" s="11">
        <v>29193567</v>
      </c>
      <c r="F160" s="12" t="s">
        <v>646</v>
      </c>
      <c r="G160" s="11" t="s">
        <v>647</v>
      </c>
      <c r="H160" t="s">
        <v>648</v>
      </c>
      <c r="I160" s="13">
        <v>54027225520</v>
      </c>
      <c r="J160" s="14">
        <v>7588</v>
      </c>
      <c r="K160" s="14">
        <v>7588</v>
      </c>
      <c r="L160" s="10" t="s">
        <v>99</v>
      </c>
      <c r="M160" s="14">
        <v>0</v>
      </c>
      <c r="N160" s="15">
        <v>0</v>
      </c>
      <c r="O160" t="str">
        <f>IFERROR(VLOOKUP($I160,CHOOSE({1,2},'[1]DIRETORES NTE'!$H$5:$H$31,'[1]DIRETORES NTE'!$E$5:$E$31,),2,0),"-")</f>
        <v>-</v>
      </c>
    </row>
    <row r="161" spans="1:15" x14ac:dyDescent="0.25">
      <c r="A161" s="10">
        <v>159</v>
      </c>
      <c r="B161" s="11">
        <v>8</v>
      </c>
      <c r="C161" s="11" t="s">
        <v>577</v>
      </c>
      <c r="D161" s="11">
        <v>1176427</v>
      </c>
      <c r="E161" s="11">
        <v>29394341</v>
      </c>
      <c r="F161" s="12" t="s">
        <v>649</v>
      </c>
      <c r="G161" s="11" t="s">
        <v>650</v>
      </c>
      <c r="H161" t="s">
        <v>651</v>
      </c>
      <c r="I161" s="13">
        <v>19198701568</v>
      </c>
      <c r="J161" s="14">
        <v>11037</v>
      </c>
      <c r="K161" s="14">
        <v>11037</v>
      </c>
      <c r="L161" s="10" t="s">
        <v>285</v>
      </c>
      <c r="M161" s="14">
        <v>0</v>
      </c>
      <c r="N161" s="15">
        <v>0</v>
      </c>
      <c r="O161" t="str">
        <f>IFERROR(VLOOKUP($I161,CHOOSE({1,2},'[1]DIRETORES NTE'!$H$5:$H$31,'[1]DIRETORES NTE'!$E$5:$E$31,),2,0),"-")</f>
        <v>-</v>
      </c>
    </row>
    <row r="162" spans="1:15" x14ac:dyDescent="0.25">
      <c r="A162" s="10">
        <v>160</v>
      </c>
      <c r="B162" s="11">
        <v>1</v>
      </c>
      <c r="C162" s="11" t="s">
        <v>652</v>
      </c>
      <c r="D162" s="11">
        <v>1178257</v>
      </c>
      <c r="E162" s="11">
        <v>29536200</v>
      </c>
      <c r="F162" s="12" t="s">
        <v>653</v>
      </c>
      <c r="G162" s="11" t="s">
        <v>654</v>
      </c>
      <c r="H162" t="s">
        <v>655</v>
      </c>
      <c r="I162" s="13">
        <v>36183377449</v>
      </c>
      <c r="J162" s="14">
        <v>3874</v>
      </c>
      <c r="K162" s="14">
        <v>3874</v>
      </c>
      <c r="L162" s="10" t="s">
        <v>356</v>
      </c>
      <c r="M162" s="14">
        <v>0</v>
      </c>
      <c r="N162" s="15">
        <v>0</v>
      </c>
      <c r="O162" t="str">
        <f>IFERROR(VLOOKUP($I162,CHOOSE({1,2},'[1]DIRETORES NTE'!$H$5:$H$31,'[1]DIRETORES NTE'!$E$5:$E$31,),2,0),"-")</f>
        <v>-</v>
      </c>
    </row>
    <row r="163" spans="1:15" x14ac:dyDescent="0.25">
      <c r="A163" s="10">
        <v>161</v>
      </c>
      <c r="B163" s="11">
        <v>18</v>
      </c>
      <c r="C163" s="11" t="s">
        <v>64</v>
      </c>
      <c r="D163" s="11">
        <v>1107862</v>
      </c>
      <c r="E163" s="11">
        <v>29150590</v>
      </c>
      <c r="F163" s="12" t="s">
        <v>656</v>
      </c>
      <c r="G163" s="11" t="s">
        <v>657</v>
      </c>
      <c r="H163" t="s">
        <v>658</v>
      </c>
      <c r="I163" s="13">
        <v>39358968591</v>
      </c>
      <c r="J163" s="14">
        <v>2680</v>
      </c>
      <c r="K163" s="14">
        <v>2680</v>
      </c>
      <c r="L163" s="10" t="s">
        <v>68</v>
      </c>
      <c r="M163" s="14">
        <v>0</v>
      </c>
      <c r="N163" s="15">
        <v>0</v>
      </c>
      <c r="O163" t="str">
        <f>IFERROR(VLOOKUP($I163,CHOOSE({1,2},'[1]DIRETORES NTE'!$H$5:$H$31,'[1]DIRETORES NTE'!$E$5:$E$31,),2,0),"-")</f>
        <v>-</v>
      </c>
    </row>
    <row r="164" spans="1:15" x14ac:dyDescent="0.25">
      <c r="A164" s="10">
        <v>162</v>
      </c>
      <c r="B164" s="11" t="s">
        <v>237</v>
      </c>
      <c r="C164" s="11" t="s">
        <v>237</v>
      </c>
      <c r="D164" s="11" t="s">
        <v>237</v>
      </c>
      <c r="E164" s="11" t="s">
        <v>237</v>
      </c>
      <c r="F164" s="12" t="s">
        <v>237</v>
      </c>
      <c r="G164" s="11" t="s">
        <v>237</v>
      </c>
      <c r="H164" t="s">
        <v>659</v>
      </c>
      <c r="I164" s="13">
        <v>88015262534</v>
      </c>
      <c r="J164" s="14">
        <v>0</v>
      </c>
      <c r="K164" s="14">
        <v>0</v>
      </c>
      <c r="L164" s="10" t="s">
        <v>285</v>
      </c>
      <c r="M164" s="14">
        <v>0</v>
      </c>
      <c r="N164" s="15" t="e">
        <v>#DIV/0!</v>
      </c>
      <c r="O164" t="str">
        <f>IFERROR(VLOOKUP($I164,CHOOSE({1,2},'[1]DIRETORES NTE'!$H$5:$H$31,'[1]DIRETORES NTE'!$E$5:$E$31,),2,0),"-")</f>
        <v>CARLOS EDUARDO CRUZ CARDOSO (DIRETOR DE NTE)</v>
      </c>
    </row>
    <row r="165" spans="1:15" x14ac:dyDescent="0.25">
      <c r="A165" s="10">
        <v>163</v>
      </c>
      <c r="B165" s="11">
        <v>7</v>
      </c>
      <c r="C165" s="11" t="s">
        <v>660</v>
      </c>
      <c r="D165" s="11">
        <v>1179279</v>
      </c>
      <c r="E165" s="11">
        <v>29459010</v>
      </c>
      <c r="F165" s="12" t="s">
        <v>661</v>
      </c>
      <c r="G165" s="11" t="s">
        <v>662</v>
      </c>
      <c r="H165" t="s">
        <v>663</v>
      </c>
      <c r="I165" s="13" t="s">
        <v>664</v>
      </c>
      <c r="J165" s="14">
        <v>2930</v>
      </c>
      <c r="K165" s="14">
        <v>2930</v>
      </c>
      <c r="L165" s="10" t="s">
        <v>153</v>
      </c>
      <c r="M165" s="14">
        <v>0</v>
      </c>
      <c r="N165" s="15">
        <v>0</v>
      </c>
      <c r="O165" t="str">
        <f>IFERROR(VLOOKUP($I165,CHOOSE({1,2},'[1]DIRETORES NTE'!$H$5:$H$31,'[1]DIRETORES NTE'!$E$5:$E$31,),2,0),"-")</f>
        <v>-</v>
      </c>
    </row>
    <row r="166" spans="1:15" x14ac:dyDescent="0.25">
      <c r="A166" s="10">
        <v>164</v>
      </c>
      <c r="B166" s="11">
        <v>26</v>
      </c>
      <c r="C166" s="11" t="s">
        <v>95</v>
      </c>
      <c r="D166" s="11">
        <v>1178157</v>
      </c>
      <c r="E166" s="11">
        <v>29444667</v>
      </c>
      <c r="F166" s="12" t="s">
        <v>665</v>
      </c>
      <c r="G166" s="11" t="s">
        <v>666</v>
      </c>
      <c r="H166" t="s">
        <v>667</v>
      </c>
      <c r="I166" s="13">
        <v>84123478549</v>
      </c>
      <c r="J166" s="14">
        <v>26678</v>
      </c>
      <c r="K166" s="14">
        <v>12252.4</v>
      </c>
      <c r="L166" s="10" t="s">
        <v>99</v>
      </c>
      <c r="M166" s="14">
        <v>14425.6</v>
      </c>
      <c r="N166" s="15">
        <v>0.54073018966939057</v>
      </c>
      <c r="O166" t="str">
        <f>IFERROR(VLOOKUP($I166,CHOOSE({1,2},'[1]DIRETORES NTE'!$H$5:$H$31,'[1]DIRETORES NTE'!$E$5:$E$31,),2,0),"-")</f>
        <v>-</v>
      </c>
    </row>
    <row r="167" spans="1:15" x14ac:dyDescent="0.25">
      <c r="A167" s="10">
        <v>165</v>
      </c>
      <c r="B167" s="11">
        <v>11</v>
      </c>
      <c r="C167" s="11" t="s">
        <v>188</v>
      </c>
      <c r="D167" s="11">
        <v>1129831</v>
      </c>
      <c r="E167" s="11">
        <v>29001498</v>
      </c>
      <c r="F167" s="12" t="s">
        <v>668</v>
      </c>
      <c r="G167" s="11" t="s">
        <v>669</v>
      </c>
      <c r="H167" t="s">
        <v>670</v>
      </c>
      <c r="I167" s="13">
        <v>70499675568</v>
      </c>
      <c r="J167" s="14">
        <v>10580</v>
      </c>
      <c r="K167" s="14">
        <v>0</v>
      </c>
      <c r="L167" s="10" t="s">
        <v>39</v>
      </c>
      <c r="M167" s="14">
        <v>10580</v>
      </c>
      <c r="N167" s="15">
        <v>1</v>
      </c>
      <c r="O167" t="str">
        <f>IFERROR(VLOOKUP($I167,CHOOSE({1,2},'[1]DIRETORES NTE'!$H$5:$H$31,'[1]DIRETORES NTE'!$E$5:$E$31,),2,0),"-")</f>
        <v>-</v>
      </c>
    </row>
    <row r="168" spans="1:15" x14ac:dyDescent="0.25">
      <c r="A168" s="10">
        <v>166</v>
      </c>
      <c r="B168" s="11">
        <v>7</v>
      </c>
      <c r="C168" s="11" t="s">
        <v>671</v>
      </c>
      <c r="D168" s="11">
        <v>1157525</v>
      </c>
      <c r="E168" s="11">
        <v>29323967</v>
      </c>
      <c r="F168" s="12" t="s">
        <v>672</v>
      </c>
      <c r="G168" s="11" t="s">
        <v>673</v>
      </c>
      <c r="H168" t="s">
        <v>674</v>
      </c>
      <c r="I168" s="13">
        <v>94714800515</v>
      </c>
      <c r="J168" s="14">
        <v>1733</v>
      </c>
      <c r="K168" s="14">
        <v>1733</v>
      </c>
      <c r="L168" s="10" t="s">
        <v>153</v>
      </c>
      <c r="M168" s="14">
        <v>0</v>
      </c>
      <c r="N168" s="15">
        <v>0</v>
      </c>
      <c r="O168" t="str">
        <f>IFERROR(VLOOKUP($I168,CHOOSE({1,2},'[1]DIRETORES NTE'!$H$5:$H$31,'[1]DIRETORES NTE'!$E$5:$E$31,),2,0),"-")</f>
        <v>-</v>
      </c>
    </row>
    <row r="169" spans="1:15" x14ac:dyDescent="0.25">
      <c r="A169" s="10">
        <v>167</v>
      </c>
      <c r="B169" s="11">
        <v>4</v>
      </c>
      <c r="C169" s="11" t="s">
        <v>675</v>
      </c>
      <c r="D169" s="11">
        <v>1178088</v>
      </c>
      <c r="E169" s="11">
        <v>29432235</v>
      </c>
      <c r="F169" s="12" t="s">
        <v>676</v>
      </c>
      <c r="G169" s="11" t="s">
        <v>677</v>
      </c>
      <c r="H169" t="s">
        <v>678</v>
      </c>
      <c r="I169" s="13" t="s">
        <v>679</v>
      </c>
      <c r="J169" s="14">
        <v>25264</v>
      </c>
      <c r="K169" s="14">
        <v>25264</v>
      </c>
      <c r="L169" s="10" t="s">
        <v>58</v>
      </c>
      <c r="M169" s="14">
        <v>0</v>
      </c>
      <c r="N169" s="15">
        <v>0</v>
      </c>
      <c r="O169" t="str">
        <f>IFERROR(VLOOKUP($I169,CHOOSE({1,2},'[1]DIRETORES NTE'!$H$5:$H$31,'[1]DIRETORES NTE'!$E$5:$E$31,),2,0),"-")</f>
        <v>-</v>
      </c>
    </row>
    <row r="170" spans="1:15" x14ac:dyDescent="0.25">
      <c r="A170" s="10">
        <v>168</v>
      </c>
      <c r="B170" s="11">
        <v>4</v>
      </c>
      <c r="C170" s="11" t="s">
        <v>680</v>
      </c>
      <c r="D170" s="11">
        <v>1178050</v>
      </c>
      <c r="E170" s="11">
        <v>29426537</v>
      </c>
      <c r="F170" s="12" t="s">
        <v>681</v>
      </c>
      <c r="G170" s="11" t="s">
        <v>682</v>
      </c>
      <c r="H170" t="s">
        <v>683</v>
      </c>
      <c r="I170" s="13" t="s">
        <v>684</v>
      </c>
      <c r="J170" s="14">
        <v>16849</v>
      </c>
      <c r="K170" s="14">
        <v>16849</v>
      </c>
      <c r="L170" s="10" t="s">
        <v>58</v>
      </c>
      <c r="M170" s="14">
        <v>0</v>
      </c>
      <c r="N170" s="15">
        <v>0</v>
      </c>
      <c r="O170" t="str">
        <f>IFERROR(VLOOKUP($I170,CHOOSE({1,2},'[1]DIRETORES NTE'!$H$5:$H$31,'[1]DIRETORES NTE'!$E$5:$E$31,),2,0),"-")</f>
        <v>-</v>
      </c>
    </row>
    <row r="171" spans="1:15" x14ac:dyDescent="0.25">
      <c r="A171" s="10">
        <v>169</v>
      </c>
      <c r="B171" s="11">
        <v>8</v>
      </c>
      <c r="C171" s="11" t="s">
        <v>685</v>
      </c>
      <c r="D171" s="11">
        <v>1118546</v>
      </c>
      <c r="E171" s="11">
        <v>29272696</v>
      </c>
      <c r="F171" s="12" t="s">
        <v>686</v>
      </c>
      <c r="G171" s="11" t="s">
        <v>687</v>
      </c>
      <c r="H171" t="s">
        <v>688</v>
      </c>
      <c r="I171" s="13">
        <v>83289275515</v>
      </c>
      <c r="J171" s="14">
        <v>11158</v>
      </c>
      <c r="K171" s="14">
        <v>11158</v>
      </c>
      <c r="L171" s="10" t="s">
        <v>285</v>
      </c>
      <c r="M171" s="14">
        <v>0</v>
      </c>
      <c r="N171" s="15">
        <v>0</v>
      </c>
      <c r="O171" t="str">
        <f>IFERROR(VLOOKUP($I171,CHOOSE({1,2},'[1]DIRETORES NTE'!$H$5:$H$31,'[1]DIRETORES NTE'!$E$5:$E$31,),2,0),"-")</f>
        <v>-</v>
      </c>
    </row>
    <row r="172" spans="1:15" x14ac:dyDescent="0.25">
      <c r="A172" s="10">
        <v>170</v>
      </c>
      <c r="B172" s="11">
        <v>26</v>
      </c>
      <c r="C172" s="11" t="s">
        <v>95</v>
      </c>
      <c r="D172" s="11">
        <v>1176445</v>
      </c>
      <c r="E172" s="11">
        <v>29386543</v>
      </c>
      <c r="F172" s="12" t="s">
        <v>689</v>
      </c>
      <c r="G172" s="11" t="s">
        <v>690</v>
      </c>
      <c r="H172" t="s">
        <v>691</v>
      </c>
      <c r="I172" s="13">
        <v>39630153572</v>
      </c>
      <c r="J172" s="14">
        <v>16131</v>
      </c>
      <c r="K172" s="14">
        <v>16131</v>
      </c>
      <c r="L172" s="10" t="s">
        <v>99</v>
      </c>
      <c r="M172" s="14">
        <v>0</v>
      </c>
      <c r="N172" s="15">
        <v>0</v>
      </c>
      <c r="O172" t="str">
        <f>IFERROR(VLOOKUP($I172,CHOOSE({1,2},'[1]DIRETORES NTE'!$H$5:$H$31,'[1]DIRETORES NTE'!$E$5:$E$31,),2,0),"-")</f>
        <v>-</v>
      </c>
    </row>
    <row r="173" spans="1:15" x14ac:dyDescent="0.25">
      <c r="A173" s="10">
        <v>171</v>
      </c>
      <c r="B173" s="11">
        <v>26</v>
      </c>
      <c r="C173" s="11" t="s">
        <v>95</v>
      </c>
      <c r="D173" s="11">
        <v>1104111</v>
      </c>
      <c r="E173" s="11">
        <v>29194750</v>
      </c>
      <c r="F173" s="12" t="s">
        <v>692</v>
      </c>
      <c r="G173" s="11" t="s">
        <v>693</v>
      </c>
      <c r="H173" t="s">
        <v>694</v>
      </c>
      <c r="I173" s="13">
        <v>77000064587</v>
      </c>
      <c r="J173" s="14">
        <v>11094</v>
      </c>
      <c r="K173" s="14">
        <v>11094</v>
      </c>
      <c r="L173" s="10" t="s">
        <v>99</v>
      </c>
      <c r="M173" s="14">
        <v>0</v>
      </c>
      <c r="N173" s="15">
        <v>0</v>
      </c>
      <c r="O173" t="str">
        <f>IFERROR(VLOOKUP($I173,CHOOSE({1,2},'[1]DIRETORES NTE'!$H$5:$H$31,'[1]DIRETORES NTE'!$E$5:$E$31,),2,0),"-")</f>
        <v>-</v>
      </c>
    </row>
    <row r="174" spans="1:15" x14ac:dyDescent="0.25">
      <c r="A174" s="10">
        <v>172</v>
      </c>
      <c r="B174" s="11">
        <v>15</v>
      </c>
      <c r="C174" s="11" t="s">
        <v>695</v>
      </c>
      <c r="D174" s="11">
        <v>1179812</v>
      </c>
      <c r="E174" s="11">
        <v>29488575</v>
      </c>
      <c r="F174" s="12" t="s">
        <v>696</v>
      </c>
      <c r="G174" s="11" t="s">
        <v>697</v>
      </c>
      <c r="H174" t="s">
        <v>698</v>
      </c>
      <c r="I174" s="13" t="s">
        <v>699</v>
      </c>
      <c r="J174" s="14">
        <v>2372</v>
      </c>
      <c r="K174" s="14">
        <v>2372</v>
      </c>
      <c r="L174" s="10" t="s">
        <v>280</v>
      </c>
      <c r="M174" s="14">
        <v>0</v>
      </c>
      <c r="N174" s="15">
        <v>0</v>
      </c>
      <c r="O174" t="str">
        <f>IFERROR(VLOOKUP($I174,CHOOSE({1,2},'[1]DIRETORES NTE'!$H$5:$H$31,'[1]DIRETORES NTE'!$E$5:$E$31,),2,0),"-")</f>
        <v>-</v>
      </c>
    </row>
    <row r="175" spans="1:15" x14ac:dyDescent="0.25">
      <c r="A175" s="10">
        <v>173</v>
      </c>
      <c r="B175" s="11">
        <v>4</v>
      </c>
      <c r="C175" s="11" t="s">
        <v>700</v>
      </c>
      <c r="D175" s="11">
        <v>1179389</v>
      </c>
      <c r="E175" s="11">
        <v>29464382</v>
      </c>
      <c r="F175" s="12" t="s">
        <v>701</v>
      </c>
      <c r="G175" s="11" t="s">
        <v>702</v>
      </c>
      <c r="H175" t="s">
        <v>703</v>
      </c>
      <c r="I175" s="13" t="s">
        <v>704</v>
      </c>
      <c r="J175" s="14">
        <v>6035</v>
      </c>
      <c r="K175" s="14">
        <v>6035</v>
      </c>
      <c r="L175" s="10" t="s">
        <v>58</v>
      </c>
      <c r="M175" s="14">
        <v>0</v>
      </c>
      <c r="N175" s="15">
        <v>0</v>
      </c>
      <c r="O175" t="str">
        <f>IFERROR(VLOOKUP($I175,CHOOSE({1,2},'[1]DIRETORES NTE'!$H$5:$H$31,'[1]DIRETORES NTE'!$E$5:$E$31,),2,0),"-")</f>
        <v>-</v>
      </c>
    </row>
    <row r="176" spans="1:15" x14ac:dyDescent="0.25">
      <c r="A176" s="10">
        <v>174</v>
      </c>
      <c r="B176" s="11">
        <v>4</v>
      </c>
      <c r="C176" s="11" t="s">
        <v>171</v>
      </c>
      <c r="D176" s="11">
        <v>1115806</v>
      </c>
      <c r="E176" s="11">
        <v>29139325</v>
      </c>
      <c r="F176" s="12" t="s">
        <v>705</v>
      </c>
      <c r="G176" s="11" t="s">
        <v>706</v>
      </c>
      <c r="H176" t="s">
        <v>707</v>
      </c>
      <c r="I176" s="13">
        <v>63902958553</v>
      </c>
      <c r="J176" s="14">
        <v>6312</v>
      </c>
      <c r="K176" s="14">
        <v>6312</v>
      </c>
      <c r="L176" s="10" t="s">
        <v>58</v>
      </c>
      <c r="M176" s="14">
        <v>0</v>
      </c>
      <c r="N176" s="15">
        <v>0</v>
      </c>
      <c r="O176" t="str">
        <f>IFERROR(VLOOKUP($I176,CHOOSE({1,2},'[1]DIRETORES NTE'!$H$5:$H$31,'[1]DIRETORES NTE'!$E$5:$E$31,),2,0),"-")</f>
        <v>-</v>
      </c>
    </row>
    <row r="177" spans="1:15" x14ac:dyDescent="0.25">
      <c r="A177" s="10">
        <v>175</v>
      </c>
      <c r="B177" s="11">
        <v>1</v>
      </c>
      <c r="C177" s="11" t="s">
        <v>708</v>
      </c>
      <c r="D177" s="11">
        <v>1162618</v>
      </c>
      <c r="E177" s="11">
        <v>29067332</v>
      </c>
      <c r="F177" s="12" t="s">
        <v>709</v>
      </c>
      <c r="G177" s="11" t="s">
        <v>710</v>
      </c>
      <c r="H177" t="s">
        <v>711</v>
      </c>
      <c r="I177" s="13">
        <v>87630966504</v>
      </c>
      <c r="J177" s="14">
        <v>10906</v>
      </c>
      <c r="K177" s="14">
        <v>4612.45</v>
      </c>
      <c r="L177" s="10" t="s">
        <v>356</v>
      </c>
      <c r="M177" s="14">
        <v>6293.55</v>
      </c>
      <c r="N177" s="15">
        <v>0.57707225380524485</v>
      </c>
      <c r="O177" t="str">
        <f>IFERROR(VLOOKUP($I177,CHOOSE({1,2},'[1]DIRETORES NTE'!$H$5:$H$31,'[1]DIRETORES NTE'!$E$5:$E$31,),2,0),"-")</f>
        <v>-</v>
      </c>
    </row>
    <row r="178" spans="1:15" x14ac:dyDescent="0.25">
      <c r="A178" s="10">
        <v>176</v>
      </c>
      <c r="B178" s="11">
        <v>26</v>
      </c>
      <c r="C178" s="11" t="s">
        <v>712</v>
      </c>
      <c r="D178" s="11">
        <v>1177090</v>
      </c>
      <c r="E178" s="11">
        <v>29413680</v>
      </c>
      <c r="F178" s="12" t="s">
        <v>713</v>
      </c>
      <c r="G178" s="11" t="s">
        <v>714</v>
      </c>
      <c r="H178" t="s">
        <v>715</v>
      </c>
      <c r="I178" s="13">
        <v>28278240515</v>
      </c>
      <c r="J178" s="14">
        <v>20349</v>
      </c>
      <c r="K178" s="14">
        <v>1634.87</v>
      </c>
      <c r="L178" s="10" t="s">
        <v>99</v>
      </c>
      <c r="M178" s="14">
        <v>18714.13</v>
      </c>
      <c r="N178" s="15">
        <v>0.91965845987517825</v>
      </c>
      <c r="O178" t="str">
        <f>IFERROR(VLOOKUP($I178,CHOOSE({1,2},'[1]DIRETORES NTE'!$H$5:$H$31,'[1]DIRETORES NTE'!$E$5:$E$31,),2,0),"-")</f>
        <v>-</v>
      </c>
    </row>
    <row r="179" spans="1:15" x14ac:dyDescent="0.25">
      <c r="A179" s="10">
        <v>177</v>
      </c>
      <c r="B179" s="11">
        <v>27</v>
      </c>
      <c r="C179" s="11" t="s">
        <v>716</v>
      </c>
      <c r="D179" s="11">
        <v>1146493</v>
      </c>
      <c r="E179" s="11">
        <v>29321298</v>
      </c>
      <c r="F179" s="12" t="s">
        <v>717</v>
      </c>
      <c r="G179" s="11" t="s">
        <v>718</v>
      </c>
      <c r="H179" t="s">
        <v>719</v>
      </c>
      <c r="I179" s="13">
        <v>40577937553</v>
      </c>
      <c r="J179" s="14">
        <v>2782</v>
      </c>
      <c r="K179" s="14">
        <v>2782</v>
      </c>
      <c r="L179" s="10" t="s">
        <v>720</v>
      </c>
      <c r="M179" s="14">
        <v>0</v>
      </c>
      <c r="N179" s="15">
        <v>0</v>
      </c>
      <c r="O179" t="str">
        <f>IFERROR(VLOOKUP($I179,CHOOSE({1,2},'[1]DIRETORES NTE'!$H$5:$H$31,'[1]DIRETORES NTE'!$E$5:$E$31,),2,0),"-")</f>
        <v>-</v>
      </c>
    </row>
    <row r="180" spans="1:15" x14ac:dyDescent="0.25">
      <c r="A180" s="10">
        <v>178</v>
      </c>
      <c r="B180" s="11" t="s">
        <v>237</v>
      </c>
      <c r="C180" s="11" t="s">
        <v>237</v>
      </c>
      <c r="D180" s="11" t="s">
        <v>237</v>
      </c>
      <c r="E180" s="11" t="s">
        <v>237</v>
      </c>
      <c r="F180" s="12" t="s">
        <v>237</v>
      </c>
      <c r="G180" s="11" t="s">
        <v>237</v>
      </c>
      <c r="H180" t="s">
        <v>721</v>
      </c>
      <c r="I180" s="13">
        <v>34583416504</v>
      </c>
      <c r="J180" s="14">
        <v>0</v>
      </c>
      <c r="K180" s="14">
        <v>0</v>
      </c>
      <c r="L180" s="10" t="s">
        <v>336</v>
      </c>
      <c r="M180" s="14">
        <v>0</v>
      </c>
      <c r="N180" s="15" t="e">
        <v>#DIV/0!</v>
      </c>
      <c r="O180" t="str">
        <f>IFERROR(VLOOKUP($I180,CHOOSE({1,2},'[1]DIRETORES NTE'!$H$5:$H$31,'[1]DIRETORES NTE'!$E$5:$E$31,),2,0),"-")</f>
        <v>-</v>
      </c>
    </row>
    <row r="181" spans="1:15" x14ac:dyDescent="0.25">
      <c r="A181" s="10">
        <v>179</v>
      </c>
      <c r="B181" s="11">
        <v>19</v>
      </c>
      <c r="C181" s="11" t="s">
        <v>722</v>
      </c>
      <c r="D181" s="11">
        <v>1105320</v>
      </c>
      <c r="E181" s="11">
        <v>29089115</v>
      </c>
      <c r="F181" s="12" t="s">
        <v>723</v>
      </c>
      <c r="G181" s="11" t="s">
        <v>724</v>
      </c>
      <c r="H181" t="s">
        <v>725</v>
      </c>
      <c r="I181" s="13" t="s">
        <v>726</v>
      </c>
      <c r="J181" s="14">
        <v>8517</v>
      </c>
      <c r="K181" s="14">
        <v>1748.6</v>
      </c>
      <c r="L181" s="10" t="s">
        <v>336</v>
      </c>
      <c r="M181" s="14">
        <v>6768.4</v>
      </c>
      <c r="N181" s="15">
        <v>0.79469296700716208</v>
      </c>
      <c r="O181" t="str">
        <f>IFERROR(VLOOKUP($I181,CHOOSE({1,2},'[1]DIRETORES NTE'!$H$5:$H$31,'[1]DIRETORES NTE'!$E$5:$E$31,),2,0),"-")</f>
        <v>-</v>
      </c>
    </row>
    <row r="182" spans="1:15" x14ac:dyDescent="0.25">
      <c r="A182" s="10">
        <v>180</v>
      </c>
      <c r="B182" s="11">
        <v>5</v>
      </c>
      <c r="C182" s="11" t="s">
        <v>298</v>
      </c>
      <c r="D182" s="11">
        <v>1159668</v>
      </c>
      <c r="E182" s="11">
        <v>29288142</v>
      </c>
      <c r="F182" s="12" t="s">
        <v>727</v>
      </c>
      <c r="G182" s="11" t="s">
        <v>728</v>
      </c>
      <c r="H182" t="s">
        <v>729</v>
      </c>
      <c r="I182" s="13">
        <v>37184903587</v>
      </c>
      <c r="J182" s="14">
        <v>6233</v>
      </c>
      <c r="K182" s="14">
        <v>6233</v>
      </c>
      <c r="L182" s="10" t="s">
        <v>44</v>
      </c>
      <c r="M182" s="14">
        <v>0</v>
      </c>
      <c r="N182" s="15">
        <v>0</v>
      </c>
      <c r="O182" t="str">
        <f>IFERROR(VLOOKUP($I182,CHOOSE({1,2},'[1]DIRETORES NTE'!$H$5:$H$31,'[1]DIRETORES NTE'!$E$5:$E$31,),2,0),"-")</f>
        <v>-</v>
      </c>
    </row>
    <row r="183" spans="1:15" x14ac:dyDescent="0.25">
      <c r="A183" s="10">
        <v>181</v>
      </c>
      <c r="B183" s="11">
        <v>10</v>
      </c>
      <c r="C183" s="11" t="s">
        <v>16</v>
      </c>
      <c r="D183" s="11">
        <v>1161034</v>
      </c>
      <c r="E183" s="11">
        <v>29024528</v>
      </c>
      <c r="F183" s="12" t="s">
        <v>730</v>
      </c>
      <c r="G183" s="11" t="s">
        <v>731</v>
      </c>
      <c r="H183" t="s">
        <v>732</v>
      </c>
      <c r="I183" s="13">
        <v>92083692500</v>
      </c>
      <c r="J183" s="14">
        <v>19609</v>
      </c>
      <c r="K183" s="14">
        <v>19609</v>
      </c>
      <c r="L183" s="10" t="s">
        <v>21</v>
      </c>
      <c r="M183" s="14">
        <v>0</v>
      </c>
      <c r="N183" s="15">
        <v>0</v>
      </c>
      <c r="O183" t="str">
        <f>IFERROR(VLOOKUP($I183,CHOOSE({1,2},'[1]DIRETORES NTE'!$H$5:$H$31,'[1]DIRETORES NTE'!$E$5:$E$31,),2,0),"-")</f>
        <v>-</v>
      </c>
    </row>
    <row r="184" spans="1:15" x14ac:dyDescent="0.25">
      <c r="A184" s="10">
        <v>182</v>
      </c>
      <c r="B184" s="11">
        <v>3</v>
      </c>
      <c r="C184" s="11" t="s">
        <v>733</v>
      </c>
      <c r="D184" s="11">
        <v>1133014</v>
      </c>
      <c r="E184" s="11">
        <v>29214211</v>
      </c>
      <c r="F184" s="12" t="s">
        <v>734</v>
      </c>
      <c r="G184" s="11" t="s">
        <v>735</v>
      </c>
      <c r="H184" t="s">
        <v>736</v>
      </c>
      <c r="I184" s="13">
        <v>99253445572</v>
      </c>
      <c r="J184" s="14">
        <v>13243</v>
      </c>
      <c r="K184" s="14">
        <v>13243</v>
      </c>
      <c r="L184" s="10" t="s">
        <v>117</v>
      </c>
      <c r="M184" s="14">
        <v>0</v>
      </c>
      <c r="N184" s="15">
        <v>0</v>
      </c>
      <c r="O184" t="str">
        <f>IFERROR(VLOOKUP($I184,CHOOSE({1,2},'[1]DIRETORES NTE'!$H$5:$H$31,'[1]DIRETORES NTE'!$E$5:$E$31,),2,0),"-")</f>
        <v>-</v>
      </c>
    </row>
    <row r="185" spans="1:15" x14ac:dyDescent="0.25">
      <c r="A185" s="10">
        <v>183</v>
      </c>
      <c r="B185" s="11">
        <v>17</v>
      </c>
      <c r="C185" s="11" t="s">
        <v>737</v>
      </c>
      <c r="D185" s="11">
        <v>1178429</v>
      </c>
      <c r="E185" s="11">
        <v>29398940</v>
      </c>
      <c r="F185" s="12" t="s">
        <v>738</v>
      </c>
      <c r="G185" s="11" t="s">
        <v>739</v>
      </c>
      <c r="H185" t="s">
        <v>740</v>
      </c>
      <c r="I185" s="13">
        <v>64789756572</v>
      </c>
      <c r="J185" s="14">
        <v>3503</v>
      </c>
      <c r="K185" s="14">
        <v>3503</v>
      </c>
      <c r="L185" s="10" t="s">
        <v>455</v>
      </c>
      <c r="M185" s="14">
        <v>0</v>
      </c>
      <c r="N185" s="15">
        <v>0</v>
      </c>
      <c r="O185" t="str">
        <f>IFERROR(VLOOKUP($I185,CHOOSE({1,2},'[1]DIRETORES NTE'!$H$5:$H$31,'[1]DIRETORES NTE'!$E$5:$E$31,),2,0),"-")</f>
        <v>-</v>
      </c>
    </row>
    <row r="186" spans="1:15" x14ac:dyDescent="0.25">
      <c r="A186" s="10">
        <v>184</v>
      </c>
      <c r="B186" s="11">
        <v>26</v>
      </c>
      <c r="C186" s="11" t="s">
        <v>95</v>
      </c>
      <c r="D186" s="11">
        <v>1103565</v>
      </c>
      <c r="E186" s="11">
        <v>29191041</v>
      </c>
      <c r="F186" s="12" t="s">
        <v>741</v>
      </c>
      <c r="G186" s="11" t="s">
        <v>742</v>
      </c>
      <c r="H186" t="s">
        <v>743</v>
      </c>
      <c r="I186" s="13">
        <v>66034639549</v>
      </c>
      <c r="J186" s="14">
        <v>5612</v>
      </c>
      <c r="K186" s="14">
        <v>5612</v>
      </c>
      <c r="L186" s="10" t="s">
        <v>99</v>
      </c>
      <c r="M186" s="14">
        <v>0</v>
      </c>
      <c r="N186" s="15">
        <v>0</v>
      </c>
      <c r="O186" t="str">
        <f>IFERROR(VLOOKUP($I186,CHOOSE({1,2},'[1]DIRETORES NTE'!$H$5:$H$31,'[1]DIRETORES NTE'!$E$5:$E$31,),2,0),"-")</f>
        <v>-</v>
      </c>
    </row>
    <row r="187" spans="1:15" x14ac:dyDescent="0.25">
      <c r="A187" s="10">
        <v>185</v>
      </c>
      <c r="B187" s="11">
        <v>1</v>
      </c>
      <c r="C187" s="11" t="s">
        <v>744</v>
      </c>
      <c r="D187" s="11">
        <v>1126247</v>
      </c>
      <c r="E187" s="11">
        <v>29060001</v>
      </c>
      <c r="F187" s="12" t="s">
        <v>745</v>
      </c>
      <c r="G187" s="11" t="s">
        <v>746</v>
      </c>
      <c r="H187" t="s">
        <v>747</v>
      </c>
      <c r="I187" s="13">
        <v>56225032568</v>
      </c>
      <c r="J187" s="14">
        <v>21271</v>
      </c>
      <c r="K187" s="14">
        <v>11505.35</v>
      </c>
      <c r="L187" s="10" t="s">
        <v>356</v>
      </c>
      <c r="M187" s="14">
        <v>9765.65</v>
      </c>
      <c r="N187" s="15">
        <v>0.45910629495557331</v>
      </c>
      <c r="O187" t="str">
        <f>IFERROR(VLOOKUP($I187,CHOOSE({1,2},'[1]DIRETORES NTE'!$H$5:$H$31,'[1]DIRETORES NTE'!$E$5:$E$31,),2,0),"-")</f>
        <v>-</v>
      </c>
    </row>
    <row r="188" spans="1:15" x14ac:dyDescent="0.25">
      <c r="A188" s="10">
        <v>186</v>
      </c>
      <c r="B188" s="11">
        <v>26</v>
      </c>
      <c r="C188" s="11" t="s">
        <v>712</v>
      </c>
      <c r="D188" s="11">
        <v>1102259</v>
      </c>
      <c r="E188" s="11">
        <v>29175518</v>
      </c>
      <c r="F188" s="12" t="s">
        <v>748</v>
      </c>
      <c r="G188" s="11" t="s">
        <v>749</v>
      </c>
      <c r="H188" t="s">
        <v>750</v>
      </c>
      <c r="I188" s="13">
        <v>99769387568</v>
      </c>
      <c r="J188" s="14">
        <v>33522</v>
      </c>
      <c r="K188" s="14">
        <v>33522</v>
      </c>
      <c r="L188" s="10" t="s">
        <v>99</v>
      </c>
      <c r="M188" s="14">
        <v>0</v>
      </c>
      <c r="N188" s="15">
        <v>0</v>
      </c>
      <c r="O188" t="str">
        <f>IFERROR(VLOOKUP($I188,CHOOSE({1,2},'[1]DIRETORES NTE'!$H$5:$H$31,'[1]DIRETORES NTE'!$E$5:$E$31,),2,0),"-")</f>
        <v>-</v>
      </c>
    </row>
    <row r="189" spans="1:15" x14ac:dyDescent="0.25">
      <c r="A189" s="10">
        <v>187</v>
      </c>
      <c r="B189" s="11">
        <v>26</v>
      </c>
      <c r="C189" s="11" t="s">
        <v>712</v>
      </c>
      <c r="D189" s="11">
        <v>1178400</v>
      </c>
      <c r="E189" s="11">
        <v>29982758</v>
      </c>
      <c r="F189" s="12" t="s">
        <v>751</v>
      </c>
      <c r="G189" s="11" t="s">
        <v>752</v>
      </c>
      <c r="H189" t="s">
        <v>753</v>
      </c>
      <c r="I189" s="13">
        <v>76658023468</v>
      </c>
      <c r="J189" s="14">
        <v>53390</v>
      </c>
      <c r="K189" s="14">
        <v>2936.81</v>
      </c>
      <c r="L189" s="10" t="s">
        <v>99</v>
      </c>
      <c r="M189" s="14">
        <v>50453.19</v>
      </c>
      <c r="N189" s="15">
        <v>0.94499325716426297</v>
      </c>
      <c r="O189" t="str">
        <f>IFERROR(VLOOKUP($I189,CHOOSE({1,2},'[1]DIRETORES NTE'!$H$5:$H$31,'[1]DIRETORES NTE'!$E$5:$E$31,),2,0),"-")</f>
        <v>-</v>
      </c>
    </row>
    <row r="190" spans="1:15" x14ac:dyDescent="0.25">
      <c r="A190" s="10">
        <v>188</v>
      </c>
      <c r="B190" s="11">
        <v>18</v>
      </c>
      <c r="C190" s="11" t="s">
        <v>754</v>
      </c>
      <c r="D190" s="11">
        <v>1179222</v>
      </c>
      <c r="E190" s="11">
        <v>29456495</v>
      </c>
      <c r="F190" s="12" t="s">
        <v>755</v>
      </c>
      <c r="G190" s="11" t="s">
        <v>756</v>
      </c>
      <c r="H190" t="s">
        <v>757</v>
      </c>
      <c r="I190" s="13">
        <v>54681065587</v>
      </c>
      <c r="J190" s="14">
        <v>8508</v>
      </c>
      <c r="K190" s="14">
        <v>8508</v>
      </c>
      <c r="L190" s="10" t="s">
        <v>68</v>
      </c>
      <c r="M190" s="14">
        <v>0</v>
      </c>
      <c r="N190" s="15">
        <v>0</v>
      </c>
      <c r="O190" t="str">
        <f>IFERROR(VLOOKUP($I190,CHOOSE({1,2},'[1]DIRETORES NTE'!$H$5:$H$31,'[1]DIRETORES NTE'!$E$5:$E$31,),2,0),"-")</f>
        <v>-</v>
      </c>
    </row>
    <row r="191" spans="1:15" x14ac:dyDescent="0.25">
      <c r="A191" s="10">
        <v>189</v>
      </c>
      <c r="B191" s="11">
        <v>26</v>
      </c>
      <c r="C191" s="11" t="s">
        <v>95</v>
      </c>
      <c r="D191" s="11">
        <v>1104260</v>
      </c>
      <c r="E191" s="11">
        <v>29190363</v>
      </c>
      <c r="F191" s="12" t="s">
        <v>758</v>
      </c>
      <c r="G191" s="11" t="s">
        <v>759</v>
      </c>
      <c r="H191" t="s">
        <v>760</v>
      </c>
      <c r="I191" s="13">
        <v>47050438553</v>
      </c>
      <c r="J191" s="14">
        <v>9182</v>
      </c>
      <c r="K191" s="14">
        <v>9182</v>
      </c>
      <c r="L191" s="10" t="s">
        <v>99</v>
      </c>
      <c r="M191" s="14">
        <v>0</v>
      </c>
      <c r="N191" s="15">
        <v>0</v>
      </c>
      <c r="O191" t="str">
        <f>IFERROR(VLOOKUP($I191,CHOOSE({1,2},'[1]DIRETORES NTE'!$H$5:$H$31,'[1]DIRETORES NTE'!$E$5:$E$31,),2,0),"-")</f>
        <v>-</v>
      </c>
    </row>
    <row r="192" spans="1:15" x14ac:dyDescent="0.25">
      <c r="A192" s="10">
        <v>190</v>
      </c>
      <c r="B192" s="11">
        <v>21</v>
      </c>
      <c r="C192" s="11" t="s">
        <v>761</v>
      </c>
      <c r="D192" s="11">
        <v>1135610</v>
      </c>
      <c r="E192" s="11">
        <v>29169160</v>
      </c>
      <c r="F192" s="12" t="s">
        <v>762</v>
      </c>
      <c r="G192" s="11" t="s">
        <v>763</v>
      </c>
      <c r="H192" t="s">
        <v>764</v>
      </c>
      <c r="I192" s="13">
        <v>54128005568</v>
      </c>
      <c r="J192" s="14">
        <v>11173</v>
      </c>
      <c r="K192" s="14">
        <v>112.86</v>
      </c>
      <c r="L192" s="10" t="s">
        <v>63</v>
      </c>
      <c r="M192" s="14">
        <v>11060.14</v>
      </c>
      <c r="N192" s="15">
        <v>0.98989886333124488</v>
      </c>
      <c r="O192" t="str">
        <f>IFERROR(VLOOKUP($I192,CHOOSE({1,2},'[1]DIRETORES NTE'!$H$5:$H$31,'[1]DIRETORES NTE'!$E$5:$E$31,),2,0),"-")</f>
        <v>-</v>
      </c>
    </row>
    <row r="193" spans="1:15" x14ac:dyDescent="0.25">
      <c r="A193" s="10">
        <v>191</v>
      </c>
      <c r="B193" s="11">
        <v>26</v>
      </c>
      <c r="C193" s="11" t="s">
        <v>566</v>
      </c>
      <c r="D193" s="11">
        <v>1102410</v>
      </c>
      <c r="E193" s="11">
        <v>29202493</v>
      </c>
      <c r="F193" s="12" t="s">
        <v>765</v>
      </c>
      <c r="G193" s="11" t="s">
        <v>766</v>
      </c>
      <c r="H193" t="s">
        <v>767</v>
      </c>
      <c r="I193" s="13">
        <v>66703069549</v>
      </c>
      <c r="J193" s="14">
        <v>3303</v>
      </c>
      <c r="K193" s="14">
        <v>2.69</v>
      </c>
      <c r="L193" s="10" t="s">
        <v>99</v>
      </c>
      <c r="M193" s="14">
        <v>3300.31</v>
      </c>
      <c r="N193" s="15">
        <v>0.99918558885861342</v>
      </c>
      <c r="O193" t="str">
        <f>IFERROR(VLOOKUP($I193,CHOOSE({1,2},'[1]DIRETORES NTE'!$H$5:$H$31,'[1]DIRETORES NTE'!$E$5:$E$31,),2,0),"-")</f>
        <v>-</v>
      </c>
    </row>
    <row r="194" spans="1:15" x14ac:dyDescent="0.25">
      <c r="A194" s="10">
        <v>192</v>
      </c>
      <c r="B194" s="11">
        <v>5</v>
      </c>
      <c r="C194" s="11" t="s">
        <v>40</v>
      </c>
      <c r="D194" s="11">
        <v>1159919</v>
      </c>
      <c r="E194" s="11">
        <v>29301475</v>
      </c>
      <c r="F194" s="12" t="s">
        <v>768</v>
      </c>
      <c r="G194" s="11" t="s">
        <v>769</v>
      </c>
      <c r="H194" t="s">
        <v>770</v>
      </c>
      <c r="I194" s="13">
        <v>41666020559</v>
      </c>
      <c r="J194" s="14">
        <v>11708</v>
      </c>
      <c r="K194" s="14">
        <v>11708</v>
      </c>
      <c r="L194" s="10" t="s">
        <v>44</v>
      </c>
      <c r="M194" s="14">
        <v>0</v>
      </c>
      <c r="N194" s="15">
        <v>0</v>
      </c>
      <c r="O194" t="str">
        <f>IFERROR(VLOOKUP($I194,CHOOSE({1,2},'[1]DIRETORES NTE'!$H$5:$H$31,'[1]DIRETORES NTE'!$E$5:$E$31,),2,0),"-")</f>
        <v>-</v>
      </c>
    </row>
    <row r="195" spans="1:15" x14ac:dyDescent="0.25">
      <c r="A195" s="10">
        <v>193</v>
      </c>
      <c r="B195" s="11">
        <v>6</v>
      </c>
      <c r="C195" s="11" t="s">
        <v>45</v>
      </c>
      <c r="D195" s="11">
        <v>1179786</v>
      </c>
      <c r="E195" s="11">
        <v>44173</v>
      </c>
      <c r="F195" s="12" t="s">
        <v>771</v>
      </c>
      <c r="G195" s="11" t="s">
        <v>772</v>
      </c>
      <c r="H195" t="s">
        <v>773</v>
      </c>
      <c r="I195" s="13">
        <v>94554480500</v>
      </c>
      <c r="J195" s="14">
        <v>94</v>
      </c>
      <c r="K195" s="14">
        <v>94</v>
      </c>
      <c r="L195" s="10" t="s">
        <v>49</v>
      </c>
      <c r="M195" s="14">
        <v>0</v>
      </c>
      <c r="N195" s="15">
        <v>0</v>
      </c>
      <c r="O195" t="str">
        <f>IFERROR(VLOOKUP($I195,CHOOSE({1,2},'[1]DIRETORES NTE'!$H$5:$H$31,'[1]DIRETORES NTE'!$E$5:$E$31,),2,0),"-")</f>
        <v>-</v>
      </c>
    </row>
    <row r="196" spans="1:15" x14ac:dyDescent="0.25">
      <c r="A196" s="10">
        <v>194</v>
      </c>
      <c r="B196" s="11">
        <v>6</v>
      </c>
      <c r="C196" s="11" t="s">
        <v>45</v>
      </c>
      <c r="D196" s="11">
        <v>1179139</v>
      </c>
      <c r="E196" s="11">
        <v>29456460</v>
      </c>
      <c r="F196" s="12" t="s">
        <v>774</v>
      </c>
      <c r="G196" s="11" t="s">
        <v>775</v>
      </c>
      <c r="H196" t="s">
        <v>776</v>
      </c>
      <c r="I196" s="13">
        <v>87884925591</v>
      </c>
      <c r="J196" s="14">
        <v>7174</v>
      </c>
      <c r="K196" s="14">
        <v>7174</v>
      </c>
      <c r="L196" s="10" t="s">
        <v>49</v>
      </c>
      <c r="M196" s="14">
        <v>0</v>
      </c>
      <c r="N196" s="15">
        <v>0</v>
      </c>
      <c r="O196" t="str">
        <f>IFERROR(VLOOKUP($I196,CHOOSE({1,2},'[1]DIRETORES NTE'!$H$5:$H$31,'[1]DIRETORES NTE'!$E$5:$E$31,),2,0),"-")</f>
        <v>-</v>
      </c>
    </row>
    <row r="197" spans="1:15" x14ac:dyDescent="0.25">
      <c r="A197" s="10">
        <v>195</v>
      </c>
      <c r="B197" s="11">
        <v>13</v>
      </c>
      <c r="C197" s="11" t="s">
        <v>777</v>
      </c>
      <c r="D197" s="11">
        <v>1129319</v>
      </c>
      <c r="E197" s="11">
        <v>29243920</v>
      </c>
      <c r="F197" s="12" t="s">
        <v>778</v>
      </c>
      <c r="G197" s="11" t="s">
        <v>779</v>
      </c>
      <c r="H197" t="s">
        <v>780</v>
      </c>
      <c r="I197" s="13" t="s">
        <v>781</v>
      </c>
      <c r="J197" s="14">
        <v>21524</v>
      </c>
      <c r="K197" s="14">
        <v>21524</v>
      </c>
      <c r="L197" s="10" t="s">
        <v>33</v>
      </c>
      <c r="M197" s="14">
        <v>0</v>
      </c>
      <c r="N197" s="15">
        <v>0</v>
      </c>
      <c r="O197" t="str">
        <f>IFERROR(VLOOKUP($I197,CHOOSE({1,2},'[1]DIRETORES NTE'!$H$5:$H$31,'[1]DIRETORES NTE'!$E$5:$E$31,),2,0),"-")</f>
        <v>-</v>
      </c>
    </row>
    <row r="198" spans="1:15" x14ac:dyDescent="0.25">
      <c r="A198" s="10">
        <v>196</v>
      </c>
      <c r="B198" s="11">
        <v>26</v>
      </c>
      <c r="C198" s="11" t="s">
        <v>95</v>
      </c>
      <c r="D198" s="11">
        <v>1176079</v>
      </c>
      <c r="E198" s="11">
        <v>29192188</v>
      </c>
      <c r="F198" s="12" t="s">
        <v>782</v>
      </c>
      <c r="G198" s="11" t="s">
        <v>783</v>
      </c>
      <c r="H198" t="s">
        <v>784</v>
      </c>
      <c r="I198" s="13">
        <v>60741953587</v>
      </c>
      <c r="J198" s="14">
        <v>5385</v>
      </c>
      <c r="K198" s="14">
        <v>5385</v>
      </c>
      <c r="L198" s="10" t="s">
        <v>99</v>
      </c>
      <c r="M198" s="14">
        <v>0</v>
      </c>
      <c r="N198" s="15">
        <v>0</v>
      </c>
      <c r="O198" t="str">
        <f>IFERROR(VLOOKUP($I198,CHOOSE({1,2},'[1]DIRETORES NTE'!$H$5:$H$31,'[1]DIRETORES NTE'!$E$5:$E$31,),2,0),"-")</f>
        <v>-</v>
      </c>
    </row>
    <row r="199" spans="1:15" x14ac:dyDescent="0.25">
      <c r="A199" s="10">
        <v>197</v>
      </c>
      <c r="B199" s="11">
        <v>26</v>
      </c>
      <c r="C199" s="11" t="s">
        <v>95</v>
      </c>
      <c r="D199" s="11">
        <v>1174772</v>
      </c>
      <c r="E199" s="11">
        <v>29192080</v>
      </c>
      <c r="F199" s="12" t="s">
        <v>785</v>
      </c>
      <c r="G199" s="11" t="s">
        <v>786</v>
      </c>
      <c r="H199" t="s">
        <v>787</v>
      </c>
      <c r="I199" s="13">
        <v>61332836534</v>
      </c>
      <c r="J199" s="14">
        <v>11154</v>
      </c>
      <c r="K199" s="14">
        <v>11154</v>
      </c>
      <c r="L199" s="10" t="s">
        <v>99</v>
      </c>
      <c r="M199" s="14">
        <v>0</v>
      </c>
      <c r="N199" s="15">
        <v>0</v>
      </c>
      <c r="O199" t="str">
        <f>IFERROR(VLOOKUP($I199,CHOOSE({1,2},'[1]DIRETORES NTE'!$H$5:$H$31,'[1]DIRETORES NTE'!$E$5:$E$31,),2,0),"-")</f>
        <v>-</v>
      </c>
    </row>
    <row r="200" spans="1:15" x14ac:dyDescent="0.25">
      <c r="A200" s="10">
        <v>198</v>
      </c>
      <c r="B200" s="11">
        <v>27</v>
      </c>
      <c r="C200" s="11" t="s">
        <v>788</v>
      </c>
      <c r="D200" s="11">
        <v>1146167</v>
      </c>
      <c r="E200" s="11">
        <v>29318220</v>
      </c>
      <c r="F200" s="12" t="s">
        <v>789</v>
      </c>
      <c r="G200" s="11" t="s">
        <v>790</v>
      </c>
      <c r="H200" t="s">
        <v>791</v>
      </c>
      <c r="I200" s="13" t="s">
        <v>792</v>
      </c>
      <c r="J200" s="14">
        <v>20391</v>
      </c>
      <c r="K200" s="14">
        <v>20391</v>
      </c>
      <c r="L200" s="10" t="s">
        <v>720</v>
      </c>
      <c r="M200" s="14">
        <v>0</v>
      </c>
      <c r="N200" s="15">
        <v>0</v>
      </c>
      <c r="O200" t="str">
        <f>IFERROR(VLOOKUP($I200,CHOOSE({1,2},'[1]DIRETORES NTE'!$H$5:$H$31,'[1]DIRETORES NTE'!$E$5:$E$31,),2,0),"-")</f>
        <v>-</v>
      </c>
    </row>
    <row r="201" spans="1:15" x14ac:dyDescent="0.25">
      <c r="A201" s="10">
        <v>199</v>
      </c>
      <c r="B201" s="11">
        <v>10</v>
      </c>
      <c r="C201" s="11" t="s">
        <v>793</v>
      </c>
      <c r="D201" s="11">
        <v>1178278</v>
      </c>
      <c r="E201" s="11">
        <v>29535808</v>
      </c>
      <c r="F201" s="12" t="s">
        <v>794</v>
      </c>
      <c r="G201" s="11" t="s">
        <v>795</v>
      </c>
      <c r="H201" t="s">
        <v>796</v>
      </c>
      <c r="I201" s="13">
        <v>59898437472</v>
      </c>
      <c r="J201" s="14">
        <v>12656</v>
      </c>
      <c r="K201" s="14">
        <v>12656</v>
      </c>
      <c r="L201" s="10" t="s">
        <v>21</v>
      </c>
      <c r="M201" s="14">
        <v>0</v>
      </c>
      <c r="N201" s="15">
        <v>0</v>
      </c>
      <c r="O201" t="str">
        <f>IFERROR(VLOOKUP($I201,CHOOSE({1,2},'[1]DIRETORES NTE'!$H$5:$H$31,'[1]DIRETORES NTE'!$E$5:$E$31,),2,0),"-")</f>
        <v>-</v>
      </c>
    </row>
    <row r="202" spans="1:15" x14ac:dyDescent="0.25">
      <c r="A202" s="10">
        <v>200</v>
      </c>
      <c r="B202" s="11">
        <v>18</v>
      </c>
      <c r="C202" s="11" t="s">
        <v>797</v>
      </c>
      <c r="D202" s="11">
        <v>1107749</v>
      </c>
      <c r="E202" s="11">
        <v>29151554</v>
      </c>
      <c r="F202" s="12" t="s">
        <v>798</v>
      </c>
      <c r="G202" s="11" t="s">
        <v>799</v>
      </c>
      <c r="H202" t="s">
        <v>800</v>
      </c>
      <c r="I202" s="13" t="s">
        <v>801</v>
      </c>
      <c r="J202" s="14">
        <v>6798</v>
      </c>
      <c r="K202" s="14">
        <v>6798</v>
      </c>
      <c r="L202" s="10" t="s">
        <v>68</v>
      </c>
      <c r="M202" s="14">
        <v>0</v>
      </c>
      <c r="N202" s="15">
        <v>0</v>
      </c>
      <c r="O202" t="str">
        <f>IFERROR(VLOOKUP($I202,CHOOSE({1,2},'[1]DIRETORES NTE'!$H$5:$H$31,'[1]DIRETORES NTE'!$E$5:$E$31,),2,0),"-")</f>
        <v>-</v>
      </c>
    </row>
    <row r="203" spans="1:15" x14ac:dyDescent="0.25">
      <c r="A203" s="10">
        <v>201</v>
      </c>
      <c r="B203" s="11">
        <v>23</v>
      </c>
      <c r="C203" s="11" t="s">
        <v>802</v>
      </c>
      <c r="D203" s="11">
        <v>1131453</v>
      </c>
      <c r="E203" s="11">
        <v>29013275</v>
      </c>
      <c r="F203" s="12" t="s">
        <v>803</v>
      </c>
      <c r="G203" s="11" t="s">
        <v>804</v>
      </c>
      <c r="H203" t="s">
        <v>805</v>
      </c>
      <c r="I203" s="13">
        <v>80481159568</v>
      </c>
      <c r="J203" s="14">
        <v>21213</v>
      </c>
      <c r="K203" s="14">
        <v>21213</v>
      </c>
      <c r="L203" s="10" t="s">
        <v>373</v>
      </c>
      <c r="M203" s="14">
        <v>0</v>
      </c>
      <c r="N203" s="15">
        <v>0</v>
      </c>
      <c r="O203" t="str">
        <f>IFERROR(VLOOKUP($I203,CHOOSE({1,2},'[1]DIRETORES NTE'!$H$5:$H$31,'[1]DIRETORES NTE'!$E$5:$E$31,),2,0),"-")</f>
        <v>-</v>
      </c>
    </row>
    <row r="204" spans="1:15" x14ac:dyDescent="0.25">
      <c r="A204" s="10">
        <v>202</v>
      </c>
      <c r="B204" s="11">
        <v>25</v>
      </c>
      <c r="C204" s="11" t="s">
        <v>385</v>
      </c>
      <c r="D204" s="11">
        <v>1120923</v>
      </c>
      <c r="E204" s="11">
        <v>29056144</v>
      </c>
      <c r="F204" s="12" t="s">
        <v>806</v>
      </c>
      <c r="G204" s="11" t="s">
        <v>807</v>
      </c>
      <c r="H204" t="s">
        <v>808</v>
      </c>
      <c r="I204" s="13">
        <v>63815869587</v>
      </c>
      <c r="J204" s="14">
        <v>11547</v>
      </c>
      <c r="K204" s="14">
        <v>11547</v>
      </c>
      <c r="L204" s="10" t="s">
        <v>80</v>
      </c>
      <c r="M204" s="14">
        <v>0</v>
      </c>
      <c r="N204" s="15">
        <v>0</v>
      </c>
      <c r="O204" t="str">
        <f>IFERROR(VLOOKUP($I204,CHOOSE({1,2},'[1]DIRETORES NTE'!$H$5:$H$31,'[1]DIRETORES NTE'!$E$5:$E$31,),2,0),"-")</f>
        <v>-</v>
      </c>
    </row>
    <row r="205" spans="1:15" x14ac:dyDescent="0.25">
      <c r="A205" s="10">
        <v>203</v>
      </c>
      <c r="B205" s="11">
        <v>13</v>
      </c>
      <c r="C205" s="11" t="s">
        <v>809</v>
      </c>
      <c r="D205" s="11">
        <v>1176197</v>
      </c>
      <c r="E205" s="11">
        <v>29263972</v>
      </c>
      <c r="F205" s="12" t="s">
        <v>810</v>
      </c>
      <c r="G205" s="11" t="s">
        <v>811</v>
      </c>
      <c r="H205" t="s">
        <v>812</v>
      </c>
      <c r="I205" s="13">
        <v>85885428549</v>
      </c>
      <c r="J205" s="14">
        <v>5443</v>
      </c>
      <c r="K205" s="14">
        <v>5443</v>
      </c>
      <c r="L205" s="10" t="s">
        <v>33</v>
      </c>
      <c r="M205" s="14">
        <v>0</v>
      </c>
      <c r="N205" s="15">
        <v>0</v>
      </c>
      <c r="O205" t="str">
        <f>IFERROR(VLOOKUP($I205,CHOOSE({1,2},'[1]DIRETORES NTE'!$H$5:$H$31,'[1]DIRETORES NTE'!$E$5:$E$31,),2,0),"-")</f>
        <v>-</v>
      </c>
    </row>
    <row r="206" spans="1:15" x14ac:dyDescent="0.25">
      <c r="A206" s="10">
        <v>204</v>
      </c>
      <c r="B206" s="11">
        <v>26</v>
      </c>
      <c r="C206" s="11" t="s">
        <v>95</v>
      </c>
      <c r="D206" s="11">
        <v>1176810</v>
      </c>
      <c r="E206" s="11">
        <v>29411491</v>
      </c>
      <c r="F206" s="12" t="s">
        <v>813</v>
      </c>
      <c r="G206" s="11" t="s">
        <v>814</v>
      </c>
      <c r="H206" t="s">
        <v>815</v>
      </c>
      <c r="I206" s="13">
        <v>48708445591</v>
      </c>
      <c r="J206" s="14">
        <v>18696</v>
      </c>
      <c r="K206" s="14">
        <v>18696</v>
      </c>
      <c r="L206" s="10" t="s">
        <v>99</v>
      </c>
      <c r="M206" s="14">
        <v>0</v>
      </c>
      <c r="N206" s="15">
        <v>0</v>
      </c>
      <c r="O206" t="str">
        <f>IFERROR(VLOOKUP($I206,CHOOSE({1,2},'[1]DIRETORES NTE'!$H$5:$H$31,'[1]DIRETORES NTE'!$E$5:$E$31,),2,0),"-")</f>
        <v>-</v>
      </c>
    </row>
    <row r="207" spans="1:15" x14ac:dyDescent="0.25">
      <c r="A207" s="10">
        <v>205</v>
      </c>
      <c r="B207" s="11">
        <v>11</v>
      </c>
      <c r="C207" s="11" t="s">
        <v>816</v>
      </c>
      <c r="D207" s="11">
        <v>1176129</v>
      </c>
      <c r="E207" s="11">
        <v>29336082</v>
      </c>
      <c r="F207" s="12" t="s">
        <v>817</v>
      </c>
      <c r="G207" s="11" t="s">
        <v>818</v>
      </c>
      <c r="H207" t="s">
        <v>819</v>
      </c>
      <c r="I207" s="13">
        <v>99476533587</v>
      </c>
      <c r="J207" s="14">
        <v>11731</v>
      </c>
      <c r="K207" s="14">
        <v>11731</v>
      </c>
      <c r="L207" s="10" t="s">
        <v>39</v>
      </c>
      <c r="M207" s="14">
        <v>0</v>
      </c>
      <c r="N207" s="15">
        <v>0</v>
      </c>
      <c r="O207" t="str">
        <f>IFERROR(VLOOKUP($I207,CHOOSE({1,2},'[1]DIRETORES NTE'!$H$5:$H$31,'[1]DIRETORES NTE'!$E$5:$E$31,),2,0),"-")</f>
        <v>-</v>
      </c>
    </row>
    <row r="208" spans="1:15" x14ac:dyDescent="0.25">
      <c r="A208" s="10">
        <v>206</v>
      </c>
      <c r="B208" s="11">
        <v>7</v>
      </c>
      <c r="C208" s="11" t="s">
        <v>820</v>
      </c>
      <c r="D208" s="11">
        <v>1113846</v>
      </c>
      <c r="E208" s="11">
        <v>29327792</v>
      </c>
      <c r="F208" s="12" t="s">
        <v>821</v>
      </c>
      <c r="G208" s="11" t="s">
        <v>822</v>
      </c>
      <c r="H208" t="s">
        <v>823</v>
      </c>
      <c r="I208" s="13">
        <v>74431722572</v>
      </c>
      <c r="J208" s="14">
        <v>33901</v>
      </c>
      <c r="K208" s="14">
        <v>33901</v>
      </c>
      <c r="L208" s="10" t="s">
        <v>153</v>
      </c>
      <c r="M208" s="14">
        <v>0</v>
      </c>
      <c r="N208" s="15">
        <v>0</v>
      </c>
      <c r="O208" t="str">
        <f>IFERROR(VLOOKUP($I208,CHOOSE({1,2},'[1]DIRETORES NTE'!$H$5:$H$31,'[1]DIRETORES NTE'!$E$5:$E$31,),2,0),"-")</f>
        <v>-</v>
      </c>
    </row>
    <row r="209" spans="1:15" x14ac:dyDescent="0.25">
      <c r="A209" s="10">
        <v>207</v>
      </c>
      <c r="B209" s="11">
        <v>10</v>
      </c>
      <c r="C209" s="11" t="s">
        <v>824</v>
      </c>
      <c r="D209" s="11">
        <v>1121326</v>
      </c>
      <c r="E209" s="11">
        <v>29030137</v>
      </c>
      <c r="F209" s="12" t="s">
        <v>825</v>
      </c>
      <c r="G209" s="11" t="s">
        <v>826</v>
      </c>
      <c r="H209" t="s">
        <v>827</v>
      </c>
      <c r="I209" s="13">
        <v>96692588553</v>
      </c>
      <c r="J209" s="14">
        <v>7604</v>
      </c>
      <c r="K209" s="14">
        <v>7604</v>
      </c>
      <c r="L209" s="10" t="s">
        <v>21</v>
      </c>
      <c r="M209" s="14">
        <v>0</v>
      </c>
      <c r="N209" s="15">
        <v>0</v>
      </c>
      <c r="O209" t="str">
        <f>IFERROR(VLOOKUP($I209,CHOOSE({1,2},'[1]DIRETORES NTE'!$H$5:$H$31,'[1]DIRETORES NTE'!$E$5:$E$31,),2,0),"-")</f>
        <v>-</v>
      </c>
    </row>
    <row r="210" spans="1:15" x14ac:dyDescent="0.25">
      <c r="A210" s="10">
        <v>208</v>
      </c>
      <c r="B210" s="11">
        <v>3</v>
      </c>
      <c r="C210" s="11" t="s">
        <v>828</v>
      </c>
      <c r="D210" s="11">
        <v>1178017</v>
      </c>
      <c r="E210" s="11">
        <v>29425166</v>
      </c>
      <c r="F210" s="12" t="s">
        <v>829</v>
      </c>
      <c r="G210" s="11" t="s">
        <v>830</v>
      </c>
      <c r="H210" t="s">
        <v>831</v>
      </c>
      <c r="I210" s="13">
        <v>94394377587</v>
      </c>
      <c r="J210" s="14">
        <v>13339</v>
      </c>
      <c r="K210" s="14">
        <v>13339</v>
      </c>
      <c r="L210" s="10" t="s">
        <v>117</v>
      </c>
      <c r="M210" s="14">
        <v>0</v>
      </c>
      <c r="N210" s="15">
        <v>0</v>
      </c>
      <c r="O210" t="str">
        <f>IFERROR(VLOOKUP($I210,CHOOSE({1,2},'[1]DIRETORES NTE'!$H$5:$H$31,'[1]DIRETORES NTE'!$E$5:$E$31,),2,0),"-")</f>
        <v>-</v>
      </c>
    </row>
    <row r="211" spans="1:15" x14ac:dyDescent="0.25">
      <c r="A211" s="10">
        <v>209</v>
      </c>
      <c r="B211" s="11">
        <v>20</v>
      </c>
      <c r="C211" s="11" t="s">
        <v>50</v>
      </c>
      <c r="D211" s="11">
        <v>1125399</v>
      </c>
      <c r="E211" s="11">
        <v>29277752</v>
      </c>
      <c r="F211" s="12" t="s">
        <v>832</v>
      </c>
      <c r="G211" s="11" t="s">
        <v>833</v>
      </c>
      <c r="H211" t="s">
        <v>834</v>
      </c>
      <c r="I211" s="13">
        <v>65621638549</v>
      </c>
      <c r="J211" s="14">
        <v>4355</v>
      </c>
      <c r="K211" s="14">
        <v>4355</v>
      </c>
      <c r="L211" s="10" t="s">
        <v>27</v>
      </c>
      <c r="M211" s="14">
        <v>0</v>
      </c>
      <c r="N211" s="15">
        <v>0</v>
      </c>
      <c r="O211" t="str">
        <f>IFERROR(VLOOKUP($I211,CHOOSE({1,2},'[1]DIRETORES NTE'!$H$5:$H$31,'[1]DIRETORES NTE'!$E$5:$E$31,),2,0),"-")</f>
        <v>-</v>
      </c>
    </row>
    <row r="212" spans="1:15" x14ac:dyDescent="0.25">
      <c r="A212" s="10">
        <v>210</v>
      </c>
      <c r="B212" s="11">
        <v>5</v>
      </c>
      <c r="C212" s="11" t="s">
        <v>40</v>
      </c>
      <c r="D212" s="11">
        <v>1178145</v>
      </c>
      <c r="E212" s="11">
        <v>29442079</v>
      </c>
      <c r="F212" s="12" t="s">
        <v>835</v>
      </c>
      <c r="G212" s="11" t="s">
        <v>836</v>
      </c>
      <c r="H212" t="s">
        <v>837</v>
      </c>
      <c r="I212" s="13">
        <v>37514687572</v>
      </c>
      <c r="J212" s="14">
        <v>4836</v>
      </c>
      <c r="K212" s="14">
        <v>4836</v>
      </c>
      <c r="L212" s="10" t="s">
        <v>44</v>
      </c>
      <c r="M212" s="14">
        <v>0</v>
      </c>
      <c r="N212" s="15">
        <v>0</v>
      </c>
      <c r="O212" t="str">
        <f>IFERROR(VLOOKUP($I212,CHOOSE({1,2},'[1]DIRETORES NTE'!$H$5:$H$31,'[1]DIRETORES NTE'!$E$5:$E$31,),2,0),"-")</f>
        <v>-</v>
      </c>
    </row>
    <row r="213" spans="1:15" x14ac:dyDescent="0.25">
      <c r="A213" s="10">
        <v>211</v>
      </c>
      <c r="B213" s="11">
        <v>26</v>
      </c>
      <c r="C213" s="11" t="s">
        <v>95</v>
      </c>
      <c r="D213" s="11">
        <v>1102348</v>
      </c>
      <c r="E213" s="11">
        <v>29186935</v>
      </c>
      <c r="F213" s="12" t="s">
        <v>838</v>
      </c>
      <c r="G213" s="11" t="s">
        <v>839</v>
      </c>
      <c r="H213" t="s">
        <v>840</v>
      </c>
      <c r="I213" s="13">
        <v>62946722520</v>
      </c>
      <c r="J213" s="14">
        <v>10580</v>
      </c>
      <c r="K213" s="14">
        <v>1801.6</v>
      </c>
      <c r="L213" s="10" t="s">
        <v>99</v>
      </c>
      <c r="M213" s="14">
        <v>8778.4</v>
      </c>
      <c r="N213" s="15">
        <v>0.8297164461247637</v>
      </c>
      <c r="O213" t="str">
        <f>IFERROR(VLOOKUP($I213,CHOOSE({1,2},'[1]DIRETORES NTE'!$H$5:$H$31,'[1]DIRETORES NTE'!$E$5:$E$31,),2,0),"-")</f>
        <v>-</v>
      </c>
    </row>
    <row r="214" spans="1:15" x14ac:dyDescent="0.25">
      <c r="A214" s="10">
        <v>212</v>
      </c>
      <c r="B214" s="11">
        <v>5</v>
      </c>
      <c r="C214" s="11" t="s">
        <v>209</v>
      </c>
      <c r="D214" s="11">
        <v>1111940</v>
      </c>
      <c r="E214" s="11">
        <v>29306264</v>
      </c>
      <c r="F214" s="12" t="s">
        <v>841</v>
      </c>
      <c r="G214" s="11" t="s">
        <v>842</v>
      </c>
      <c r="H214" t="s">
        <v>843</v>
      </c>
      <c r="I214" s="13">
        <v>26789442553</v>
      </c>
      <c r="J214" s="14">
        <v>10105</v>
      </c>
      <c r="K214" s="14">
        <v>10105</v>
      </c>
      <c r="L214" s="10" t="s">
        <v>44</v>
      </c>
      <c r="M214" s="14">
        <v>0</v>
      </c>
      <c r="N214" s="15">
        <v>0</v>
      </c>
      <c r="O214" t="str">
        <f>IFERROR(VLOOKUP($I214,CHOOSE({1,2},'[1]DIRETORES NTE'!$H$5:$H$31,'[1]DIRETORES NTE'!$E$5:$E$31,),2,0),"-")</f>
        <v>-</v>
      </c>
    </row>
    <row r="215" spans="1:15" x14ac:dyDescent="0.25">
      <c r="A215" s="10">
        <v>213</v>
      </c>
      <c r="B215" s="11">
        <v>26</v>
      </c>
      <c r="C215" s="11" t="s">
        <v>712</v>
      </c>
      <c r="D215" s="11">
        <v>1178399</v>
      </c>
      <c r="E215" s="11">
        <v>29362016</v>
      </c>
      <c r="F215" s="12" t="s">
        <v>844</v>
      </c>
      <c r="G215" s="11" t="s">
        <v>845</v>
      </c>
      <c r="H215" t="s">
        <v>846</v>
      </c>
      <c r="I215" s="13">
        <v>26790742549</v>
      </c>
      <c r="J215" s="14">
        <v>19754</v>
      </c>
      <c r="K215" s="14">
        <v>0.2</v>
      </c>
      <c r="L215" s="10" t="s">
        <v>99</v>
      </c>
      <c r="M215" s="14">
        <v>19753.8</v>
      </c>
      <c r="N215" s="15">
        <v>0.99998987546825957</v>
      </c>
      <c r="O215" t="str">
        <f>IFERROR(VLOOKUP($I215,CHOOSE({1,2},'[1]DIRETORES NTE'!$H$5:$H$31,'[1]DIRETORES NTE'!$E$5:$E$31,),2,0),"-")</f>
        <v>-</v>
      </c>
    </row>
    <row r="216" spans="1:15" x14ac:dyDescent="0.25">
      <c r="A216" s="10">
        <v>214</v>
      </c>
      <c r="B216" s="11">
        <v>3</v>
      </c>
      <c r="C216" s="11" t="s">
        <v>847</v>
      </c>
      <c r="D216" s="11">
        <v>1178095</v>
      </c>
      <c r="E216" s="11">
        <v>29428742</v>
      </c>
      <c r="F216" s="12" t="s">
        <v>848</v>
      </c>
      <c r="G216" s="11" t="s">
        <v>849</v>
      </c>
      <c r="H216" t="s">
        <v>850</v>
      </c>
      <c r="I216" s="13" t="s">
        <v>851</v>
      </c>
      <c r="J216" s="14">
        <v>11592</v>
      </c>
      <c r="K216" s="14">
        <v>1337.06</v>
      </c>
      <c r="L216" s="10" t="s">
        <v>117</v>
      </c>
      <c r="M216" s="14">
        <v>10254.94</v>
      </c>
      <c r="N216" s="15">
        <v>0.88465665976535546</v>
      </c>
      <c r="O216" t="str">
        <f>IFERROR(VLOOKUP($I216,CHOOSE({1,2},'[1]DIRETORES NTE'!$H$5:$H$31,'[1]DIRETORES NTE'!$E$5:$E$31,),2,0),"-")</f>
        <v>-</v>
      </c>
    </row>
    <row r="217" spans="1:15" x14ac:dyDescent="0.25">
      <c r="A217" s="10">
        <v>215</v>
      </c>
      <c r="B217" s="11">
        <v>26</v>
      </c>
      <c r="C217" s="11" t="s">
        <v>95</v>
      </c>
      <c r="D217" s="11">
        <v>1163967</v>
      </c>
      <c r="E217" s="11">
        <v>29192137</v>
      </c>
      <c r="F217" s="12" t="s">
        <v>852</v>
      </c>
      <c r="G217" s="11" t="s">
        <v>853</v>
      </c>
      <c r="H217" t="s">
        <v>854</v>
      </c>
      <c r="I217" s="13">
        <v>67093051553</v>
      </c>
      <c r="J217" s="14">
        <v>7379</v>
      </c>
      <c r="K217" s="14">
        <v>7379</v>
      </c>
      <c r="L217" s="10" t="s">
        <v>99</v>
      </c>
      <c r="M217" s="14">
        <v>0</v>
      </c>
      <c r="N217" s="15">
        <v>0</v>
      </c>
      <c r="O217" t="str">
        <f>IFERROR(VLOOKUP($I217,CHOOSE({1,2},'[1]DIRETORES NTE'!$H$5:$H$31,'[1]DIRETORES NTE'!$E$5:$E$31,),2,0),"-")</f>
        <v>-</v>
      </c>
    </row>
    <row r="218" spans="1:15" x14ac:dyDescent="0.25">
      <c r="A218" s="10">
        <v>216</v>
      </c>
      <c r="B218" s="11">
        <v>26</v>
      </c>
      <c r="C218" s="11" t="s">
        <v>95</v>
      </c>
      <c r="D218" s="11">
        <v>1101449</v>
      </c>
      <c r="E218" s="11">
        <v>29191920</v>
      </c>
      <c r="F218" s="12" t="s">
        <v>855</v>
      </c>
      <c r="G218" s="11" t="s">
        <v>856</v>
      </c>
      <c r="H218" t="s">
        <v>857</v>
      </c>
      <c r="I218" s="13">
        <v>71604987553</v>
      </c>
      <c r="J218" s="14">
        <v>12221</v>
      </c>
      <c r="K218" s="14">
        <v>12221</v>
      </c>
      <c r="L218" s="10" t="s">
        <v>99</v>
      </c>
      <c r="M218" s="14">
        <v>0</v>
      </c>
      <c r="N218" s="15">
        <v>0</v>
      </c>
      <c r="O218" t="str">
        <f>IFERROR(VLOOKUP($I218,CHOOSE({1,2},'[1]DIRETORES NTE'!$H$5:$H$31,'[1]DIRETORES NTE'!$E$5:$E$31,),2,0),"-")</f>
        <v>-</v>
      </c>
    </row>
    <row r="219" spans="1:15" x14ac:dyDescent="0.25">
      <c r="A219" s="10">
        <v>217</v>
      </c>
      <c r="B219" s="11">
        <v>19</v>
      </c>
      <c r="C219" s="11" t="s">
        <v>331</v>
      </c>
      <c r="D219" s="11">
        <v>1106335</v>
      </c>
      <c r="E219" s="11">
        <v>29093260</v>
      </c>
      <c r="F219" s="12" t="s">
        <v>858</v>
      </c>
      <c r="G219" s="11" t="s">
        <v>859</v>
      </c>
      <c r="H219" t="s">
        <v>860</v>
      </c>
      <c r="I219" s="13">
        <v>92085067549</v>
      </c>
      <c r="J219" s="14">
        <v>5607</v>
      </c>
      <c r="K219" s="14">
        <v>5607</v>
      </c>
      <c r="L219" s="10" t="s">
        <v>336</v>
      </c>
      <c r="M219" s="14">
        <v>0</v>
      </c>
      <c r="N219" s="15">
        <v>0</v>
      </c>
      <c r="O219" t="str">
        <f>IFERROR(VLOOKUP($I219,CHOOSE({1,2},'[1]DIRETORES NTE'!$H$5:$H$31,'[1]DIRETORES NTE'!$E$5:$E$31,),2,0),"-")</f>
        <v>-</v>
      </c>
    </row>
    <row r="220" spans="1:15" x14ac:dyDescent="0.25">
      <c r="A220" s="10">
        <v>218</v>
      </c>
      <c r="B220" s="11">
        <v>22</v>
      </c>
      <c r="C220" s="11" t="s">
        <v>861</v>
      </c>
      <c r="D220" s="11">
        <v>1117310</v>
      </c>
      <c r="E220" s="11">
        <v>29293707</v>
      </c>
      <c r="F220" s="12" t="s">
        <v>862</v>
      </c>
      <c r="G220" s="11" t="s">
        <v>863</v>
      </c>
      <c r="H220" t="s">
        <v>864</v>
      </c>
      <c r="I220" s="13" t="s">
        <v>865</v>
      </c>
      <c r="J220" s="14">
        <v>5536</v>
      </c>
      <c r="K220" s="14">
        <v>5536</v>
      </c>
      <c r="L220" s="10" t="s">
        <v>200</v>
      </c>
      <c r="M220" s="14">
        <v>0</v>
      </c>
      <c r="N220" s="15">
        <v>0</v>
      </c>
      <c r="O220" t="str">
        <f>IFERROR(VLOOKUP($I220,CHOOSE({1,2},'[1]DIRETORES NTE'!$H$5:$H$31,'[1]DIRETORES NTE'!$E$5:$E$31,),2,0),"-")</f>
        <v>-</v>
      </c>
    </row>
    <row r="221" spans="1:15" x14ac:dyDescent="0.25">
      <c r="A221" s="10">
        <v>219</v>
      </c>
      <c r="B221" s="11">
        <v>26</v>
      </c>
      <c r="C221" s="11" t="s">
        <v>95</v>
      </c>
      <c r="D221" s="11">
        <v>1178175</v>
      </c>
      <c r="E221" s="11">
        <v>29447151</v>
      </c>
      <c r="F221" s="12" t="s">
        <v>866</v>
      </c>
      <c r="G221" s="11" t="s">
        <v>867</v>
      </c>
      <c r="H221" t="s">
        <v>868</v>
      </c>
      <c r="I221" s="13">
        <v>32573383504</v>
      </c>
      <c r="J221" s="14">
        <v>3261</v>
      </c>
      <c r="K221" s="14">
        <v>3261</v>
      </c>
      <c r="L221" s="10" t="s">
        <v>99</v>
      </c>
      <c r="M221" s="14">
        <v>0</v>
      </c>
      <c r="N221" s="15">
        <v>0</v>
      </c>
      <c r="O221" t="str">
        <f>IFERROR(VLOOKUP($I221,CHOOSE({1,2},'[1]DIRETORES NTE'!$H$5:$H$31,'[1]DIRETORES NTE'!$E$5:$E$31,),2,0),"-")</f>
        <v>-</v>
      </c>
    </row>
    <row r="222" spans="1:15" x14ac:dyDescent="0.25">
      <c r="A222" s="10">
        <v>220</v>
      </c>
      <c r="B222" s="11">
        <v>16</v>
      </c>
      <c r="C222" s="11" t="s">
        <v>869</v>
      </c>
      <c r="D222" s="11">
        <v>1179765</v>
      </c>
      <c r="E222" s="11">
        <v>29486327</v>
      </c>
      <c r="F222" s="12" t="s">
        <v>870</v>
      </c>
      <c r="G222" s="11" t="s">
        <v>871</v>
      </c>
      <c r="H222" t="s">
        <v>872</v>
      </c>
      <c r="I222" s="13">
        <v>89716205520</v>
      </c>
      <c r="J222" s="14">
        <v>3209</v>
      </c>
      <c r="K222" s="14">
        <v>3209</v>
      </c>
      <c r="L222" s="10" t="s">
        <v>74</v>
      </c>
      <c r="M222" s="14">
        <v>0</v>
      </c>
      <c r="N222" s="15">
        <v>0</v>
      </c>
      <c r="O222" t="str">
        <f>IFERROR(VLOOKUP($I222,CHOOSE({1,2},'[1]DIRETORES NTE'!$H$5:$H$31,'[1]DIRETORES NTE'!$E$5:$E$31,),2,0),"-")</f>
        <v>-</v>
      </c>
    </row>
    <row r="223" spans="1:15" x14ac:dyDescent="0.25">
      <c r="A223" s="10">
        <v>221</v>
      </c>
      <c r="B223" s="11">
        <v>16</v>
      </c>
      <c r="C223" s="11" t="s">
        <v>873</v>
      </c>
      <c r="D223" s="11">
        <v>1178026</v>
      </c>
      <c r="E223" s="11">
        <v>29425530</v>
      </c>
      <c r="F223" s="12" t="s">
        <v>60</v>
      </c>
      <c r="G223" s="11" t="s">
        <v>874</v>
      </c>
      <c r="H223" t="s">
        <v>875</v>
      </c>
      <c r="I223" s="13">
        <v>51255960515</v>
      </c>
      <c r="J223" s="14">
        <v>12764</v>
      </c>
      <c r="K223" s="14">
        <v>12764</v>
      </c>
      <c r="L223" s="10" t="s">
        <v>74</v>
      </c>
      <c r="M223" s="14">
        <v>0</v>
      </c>
      <c r="N223" s="15">
        <v>0</v>
      </c>
      <c r="O223" t="str">
        <f>IFERROR(VLOOKUP($I223,CHOOSE({1,2},'[1]DIRETORES NTE'!$H$5:$H$31,'[1]DIRETORES NTE'!$E$5:$E$31,),2,0),"-")</f>
        <v>-</v>
      </c>
    </row>
    <row r="224" spans="1:15" x14ac:dyDescent="0.25">
      <c r="A224" s="10">
        <v>222</v>
      </c>
      <c r="B224" s="11">
        <v>2</v>
      </c>
      <c r="C224" s="11" t="s">
        <v>876</v>
      </c>
      <c r="D224" s="11">
        <v>1178023</v>
      </c>
      <c r="E224" s="11">
        <v>29430534</v>
      </c>
      <c r="F224" s="12" t="s">
        <v>877</v>
      </c>
      <c r="G224" s="11" t="s">
        <v>878</v>
      </c>
      <c r="H224" t="s">
        <v>879</v>
      </c>
      <c r="I224" s="13" t="s">
        <v>880</v>
      </c>
      <c r="J224" s="14">
        <v>12879</v>
      </c>
      <c r="K224" s="14">
        <v>12879</v>
      </c>
      <c r="L224" s="10" t="s">
        <v>105</v>
      </c>
      <c r="M224" s="14">
        <v>0</v>
      </c>
      <c r="N224" s="15">
        <v>0</v>
      </c>
      <c r="O224" t="str">
        <f>IFERROR(VLOOKUP($I224,CHOOSE({1,2},'[1]DIRETORES NTE'!$H$5:$H$31,'[1]DIRETORES NTE'!$E$5:$E$31,),2,0),"-")</f>
        <v>-</v>
      </c>
    </row>
    <row r="225" spans="1:15" x14ac:dyDescent="0.25">
      <c r="A225" s="10">
        <v>223</v>
      </c>
      <c r="B225" s="11">
        <v>16</v>
      </c>
      <c r="C225" s="11" t="s">
        <v>873</v>
      </c>
      <c r="D225" s="11">
        <v>1122144</v>
      </c>
      <c r="E225" s="11">
        <v>29073014</v>
      </c>
      <c r="F225" s="12" t="s">
        <v>881</v>
      </c>
      <c r="G225" s="11" t="s">
        <v>882</v>
      </c>
      <c r="H225" t="s">
        <v>883</v>
      </c>
      <c r="I225" s="13">
        <v>94922314504</v>
      </c>
      <c r="J225" s="14">
        <v>8895</v>
      </c>
      <c r="K225" s="14">
        <v>8895</v>
      </c>
      <c r="L225" s="10" t="s">
        <v>74</v>
      </c>
      <c r="M225" s="14">
        <v>0</v>
      </c>
      <c r="N225" s="15">
        <v>0</v>
      </c>
      <c r="O225" t="str">
        <f>IFERROR(VLOOKUP($I225,CHOOSE({1,2},'[1]DIRETORES NTE'!$H$5:$H$31,'[1]DIRETORES NTE'!$E$5:$E$31,),2,0),"-")</f>
        <v>-</v>
      </c>
    </row>
    <row r="226" spans="1:15" x14ac:dyDescent="0.25">
      <c r="A226" s="10">
        <v>224</v>
      </c>
      <c r="B226" s="11">
        <v>14</v>
      </c>
      <c r="C226" s="11" t="s">
        <v>884</v>
      </c>
      <c r="D226" s="11">
        <v>1123485</v>
      </c>
      <c r="E226" s="11">
        <v>29084202</v>
      </c>
      <c r="F226" s="12" t="s">
        <v>885</v>
      </c>
      <c r="G226" s="11" t="s">
        <v>886</v>
      </c>
      <c r="H226" t="s">
        <v>887</v>
      </c>
      <c r="I226" s="13" t="s">
        <v>888</v>
      </c>
      <c r="J226" s="14">
        <v>7166</v>
      </c>
      <c r="K226" s="14">
        <v>7166</v>
      </c>
      <c r="L226" s="10" t="s">
        <v>147</v>
      </c>
      <c r="M226" s="14">
        <v>0</v>
      </c>
      <c r="N226" s="15">
        <v>0</v>
      </c>
      <c r="O226" t="str">
        <f>IFERROR(VLOOKUP($I226,CHOOSE({1,2},'[1]DIRETORES NTE'!$H$5:$H$31,'[1]DIRETORES NTE'!$E$5:$E$31,),2,0),"-")</f>
        <v>-</v>
      </c>
    </row>
    <row r="227" spans="1:15" x14ac:dyDescent="0.25">
      <c r="A227" s="10">
        <v>225</v>
      </c>
      <c r="B227" s="11">
        <v>22</v>
      </c>
      <c r="C227" s="11" t="s">
        <v>889</v>
      </c>
      <c r="D227" s="11">
        <v>1178421</v>
      </c>
      <c r="E227" s="11">
        <v>29397324</v>
      </c>
      <c r="F227" s="12" t="s">
        <v>890</v>
      </c>
      <c r="G227" s="11" t="s">
        <v>891</v>
      </c>
      <c r="H227" t="s">
        <v>892</v>
      </c>
      <c r="I227" s="13">
        <v>88749940520</v>
      </c>
      <c r="J227" s="14">
        <v>0</v>
      </c>
      <c r="K227" s="14">
        <v>0</v>
      </c>
      <c r="L227" s="10" t="s">
        <v>200</v>
      </c>
      <c r="M227" s="14">
        <v>0</v>
      </c>
      <c r="N227" s="15" t="e">
        <v>#DIV/0!</v>
      </c>
      <c r="O227" t="str">
        <f>IFERROR(VLOOKUP($I227,CHOOSE({1,2},'[1]DIRETORES NTE'!$H$5:$H$31,'[1]DIRETORES NTE'!$E$5:$E$31,),2,0),"-")</f>
        <v>-</v>
      </c>
    </row>
    <row r="228" spans="1:15" x14ac:dyDescent="0.25">
      <c r="A228" s="10">
        <v>226</v>
      </c>
      <c r="B228" s="11">
        <v>17</v>
      </c>
      <c r="C228" s="11" t="s">
        <v>737</v>
      </c>
      <c r="D228" s="11">
        <v>1115393</v>
      </c>
      <c r="E228" s="11">
        <v>29133955</v>
      </c>
      <c r="F228" s="12" t="s">
        <v>893</v>
      </c>
      <c r="G228" s="11" t="s">
        <v>894</v>
      </c>
      <c r="H228" t="s">
        <v>895</v>
      </c>
      <c r="I228" s="13">
        <v>53679296568</v>
      </c>
      <c r="J228" s="14">
        <v>6676</v>
      </c>
      <c r="K228" s="14">
        <v>6676</v>
      </c>
      <c r="L228" s="10" t="s">
        <v>455</v>
      </c>
      <c r="M228" s="14">
        <v>0</v>
      </c>
      <c r="N228" s="15">
        <v>0</v>
      </c>
      <c r="O228" t="str">
        <f>IFERROR(VLOOKUP($I228,CHOOSE({1,2},'[1]DIRETORES NTE'!$H$5:$H$31,'[1]DIRETORES NTE'!$E$5:$E$31,),2,0),"-")</f>
        <v>-</v>
      </c>
    </row>
    <row r="229" spans="1:15" x14ac:dyDescent="0.25">
      <c r="A229" s="10">
        <v>227</v>
      </c>
      <c r="B229" s="11">
        <v>19</v>
      </c>
      <c r="C229" s="11" t="s">
        <v>331</v>
      </c>
      <c r="D229" s="11">
        <v>1106564</v>
      </c>
      <c r="E229" s="11">
        <v>29094712</v>
      </c>
      <c r="F229" s="12" t="s">
        <v>896</v>
      </c>
      <c r="G229" s="11" t="s">
        <v>897</v>
      </c>
      <c r="H229" t="s">
        <v>898</v>
      </c>
      <c r="I229" s="13">
        <v>90613287568</v>
      </c>
      <c r="J229" s="14">
        <v>16689</v>
      </c>
      <c r="K229" s="14">
        <v>16689</v>
      </c>
      <c r="L229" s="10" t="s">
        <v>336</v>
      </c>
      <c r="M229" s="14">
        <v>0</v>
      </c>
      <c r="N229" s="15">
        <v>0</v>
      </c>
      <c r="O229" t="str">
        <f>IFERROR(VLOOKUP($I229,CHOOSE({1,2},'[1]DIRETORES NTE'!$H$5:$H$31,'[1]DIRETORES NTE'!$E$5:$E$31,),2,0),"-")</f>
        <v>-</v>
      </c>
    </row>
    <row r="230" spans="1:15" x14ac:dyDescent="0.25">
      <c r="A230" s="10">
        <v>228</v>
      </c>
      <c r="B230" s="11">
        <v>5</v>
      </c>
      <c r="C230" s="11" t="s">
        <v>899</v>
      </c>
      <c r="D230" s="11">
        <v>1159277</v>
      </c>
      <c r="E230" s="11">
        <v>29310660</v>
      </c>
      <c r="F230" s="12" t="s">
        <v>900</v>
      </c>
      <c r="G230" s="11" t="s">
        <v>901</v>
      </c>
      <c r="H230" t="s">
        <v>902</v>
      </c>
      <c r="I230" s="13" t="s">
        <v>903</v>
      </c>
      <c r="J230" s="14">
        <v>7282</v>
      </c>
      <c r="K230" s="14">
        <v>7282</v>
      </c>
      <c r="L230" s="10" t="s">
        <v>44</v>
      </c>
      <c r="M230" s="14">
        <v>0</v>
      </c>
      <c r="N230" s="15">
        <v>0</v>
      </c>
      <c r="O230" t="str">
        <f>IFERROR(VLOOKUP($I230,CHOOSE({1,2},'[1]DIRETORES NTE'!$H$5:$H$31,'[1]DIRETORES NTE'!$E$5:$E$31,),2,0),"-")</f>
        <v>-</v>
      </c>
    </row>
    <row r="231" spans="1:15" x14ac:dyDescent="0.25">
      <c r="A231" s="10">
        <v>229</v>
      </c>
      <c r="B231" s="11">
        <v>11</v>
      </c>
      <c r="C231" s="11" t="s">
        <v>904</v>
      </c>
      <c r="D231" s="11">
        <v>1178086</v>
      </c>
      <c r="E231" s="11">
        <v>29431662</v>
      </c>
      <c r="F231" s="12" t="s">
        <v>905</v>
      </c>
      <c r="G231" s="11" t="s">
        <v>906</v>
      </c>
      <c r="H231" t="s">
        <v>907</v>
      </c>
      <c r="I231" s="13">
        <v>29122066500</v>
      </c>
      <c r="J231" s="14">
        <v>8131</v>
      </c>
      <c r="K231" s="14">
        <v>8131</v>
      </c>
      <c r="L231" s="10" t="s">
        <v>39</v>
      </c>
      <c r="M231" s="14">
        <v>0</v>
      </c>
      <c r="N231" s="15">
        <v>0</v>
      </c>
      <c r="O231" t="str">
        <f>IFERROR(VLOOKUP($I231,CHOOSE({1,2},'[1]DIRETORES NTE'!$H$5:$H$31,'[1]DIRETORES NTE'!$E$5:$E$31,),2,0),"-")</f>
        <v>-</v>
      </c>
    </row>
    <row r="232" spans="1:15" x14ac:dyDescent="0.25">
      <c r="A232" s="10">
        <v>230</v>
      </c>
      <c r="B232" s="11">
        <v>11</v>
      </c>
      <c r="C232" s="11" t="s">
        <v>904</v>
      </c>
      <c r="D232" s="11">
        <v>1178086</v>
      </c>
      <c r="E232" s="11">
        <v>29431662</v>
      </c>
      <c r="F232" s="12" t="s">
        <v>905</v>
      </c>
      <c r="G232" s="11" t="s">
        <v>906</v>
      </c>
      <c r="H232" t="s">
        <v>907</v>
      </c>
      <c r="I232" s="13">
        <v>29122066500</v>
      </c>
      <c r="J232" s="14">
        <v>0</v>
      </c>
      <c r="K232" s="14">
        <v>0</v>
      </c>
      <c r="L232" s="10" t="s">
        <v>39</v>
      </c>
      <c r="M232" s="14">
        <v>0</v>
      </c>
      <c r="N232" s="15" t="e">
        <v>#DIV/0!</v>
      </c>
      <c r="O232" t="str">
        <f>IFERROR(VLOOKUP($I232,CHOOSE({1,2},'[1]DIRETORES NTE'!$H$5:$H$31,'[1]DIRETORES NTE'!$E$5:$E$31,),2,0),"-")</f>
        <v>-</v>
      </c>
    </row>
    <row r="233" spans="1:15" x14ac:dyDescent="0.25">
      <c r="A233" s="10">
        <v>231</v>
      </c>
      <c r="B233" s="11">
        <v>22</v>
      </c>
      <c r="C233" s="11" t="s">
        <v>889</v>
      </c>
      <c r="D233" s="11">
        <v>1117736</v>
      </c>
      <c r="E233" s="11">
        <v>29229464</v>
      </c>
      <c r="F233" s="12" t="s">
        <v>908</v>
      </c>
      <c r="G233" s="11" t="s">
        <v>909</v>
      </c>
      <c r="H233" t="s">
        <v>910</v>
      </c>
      <c r="I233" s="13" t="s">
        <v>911</v>
      </c>
      <c r="J233" s="14">
        <v>8396</v>
      </c>
      <c r="K233" s="14">
        <v>8396</v>
      </c>
      <c r="L233" s="10" t="s">
        <v>200</v>
      </c>
      <c r="M233" s="14">
        <v>0</v>
      </c>
      <c r="N233" s="15">
        <v>0</v>
      </c>
      <c r="O233" t="str">
        <f>IFERROR(VLOOKUP($I233,CHOOSE({1,2},'[1]DIRETORES NTE'!$H$5:$H$31,'[1]DIRETORES NTE'!$E$5:$E$31,),2,0),"-")</f>
        <v>-</v>
      </c>
    </row>
    <row r="234" spans="1:15" x14ac:dyDescent="0.25">
      <c r="A234" s="10">
        <v>232</v>
      </c>
      <c r="B234" s="11">
        <v>20</v>
      </c>
      <c r="C234" s="11" t="s">
        <v>912</v>
      </c>
      <c r="D234" s="11">
        <v>1178271</v>
      </c>
      <c r="E234" s="11">
        <v>29535816</v>
      </c>
      <c r="F234" s="12" t="s">
        <v>468</v>
      </c>
      <c r="G234" s="11" t="s">
        <v>913</v>
      </c>
      <c r="H234" t="s">
        <v>914</v>
      </c>
      <c r="I234" s="13" t="s">
        <v>915</v>
      </c>
      <c r="J234" s="14">
        <v>6220</v>
      </c>
      <c r="K234" s="14">
        <v>6220</v>
      </c>
      <c r="L234" s="10" t="s">
        <v>27</v>
      </c>
      <c r="M234" s="14">
        <v>0</v>
      </c>
      <c r="N234" s="15">
        <v>0</v>
      </c>
      <c r="O234" t="str">
        <f>IFERROR(VLOOKUP($I234,CHOOSE({1,2},'[1]DIRETORES NTE'!$H$5:$H$31,'[1]DIRETORES NTE'!$E$5:$E$31,),2,0),"-")</f>
        <v>-</v>
      </c>
    </row>
    <row r="235" spans="1:15" x14ac:dyDescent="0.25">
      <c r="A235" s="10">
        <v>233</v>
      </c>
      <c r="B235" s="11">
        <v>26</v>
      </c>
      <c r="C235" s="11" t="s">
        <v>916</v>
      </c>
      <c r="D235" s="11">
        <v>1176072</v>
      </c>
      <c r="E235" s="11">
        <v>29201632</v>
      </c>
      <c r="F235" s="12" t="s">
        <v>917</v>
      </c>
      <c r="G235" s="11" t="s">
        <v>918</v>
      </c>
      <c r="H235" t="s">
        <v>919</v>
      </c>
      <c r="I235" s="13">
        <v>56788258520</v>
      </c>
      <c r="J235" s="14">
        <v>14068</v>
      </c>
      <c r="K235" s="14">
        <v>14068</v>
      </c>
      <c r="L235" s="10" t="s">
        <v>99</v>
      </c>
      <c r="M235" s="14">
        <v>0</v>
      </c>
      <c r="N235" s="15">
        <v>0</v>
      </c>
      <c r="O235" t="str">
        <f>IFERROR(VLOOKUP($I235,CHOOSE({1,2},'[1]DIRETORES NTE'!$H$5:$H$31,'[1]DIRETORES NTE'!$E$5:$E$31,),2,0),"-")</f>
        <v>-</v>
      </c>
    </row>
    <row r="236" spans="1:15" x14ac:dyDescent="0.25">
      <c r="A236" s="10">
        <v>234</v>
      </c>
      <c r="B236" s="11">
        <v>19</v>
      </c>
      <c r="C236" s="11" t="s">
        <v>331</v>
      </c>
      <c r="D236" s="11">
        <v>1106637</v>
      </c>
      <c r="E236" s="11">
        <v>29095999</v>
      </c>
      <c r="F236" s="12" t="s">
        <v>920</v>
      </c>
      <c r="G236" s="11" t="s">
        <v>921</v>
      </c>
      <c r="H236" t="s">
        <v>922</v>
      </c>
      <c r="I236" s="13" t="s">
        <v>923</v>
      </c>
      <c r="J236" s="14">
        <v>4729</v>
      </c>
      <c r="K236" s="14">
        <v>1447.3</v>
      </c>
      <c r="L236" s="10" t="s">
        <v>336</v>
      </c>
      <c r="M236" s="14">
        <v>3281.7</v>
      </c>
      <c r="N236" s="15">
        <v>0.69395220976950722</v>
      </c>
      <c r="O236" t="str">
        <f>IFERROR(VLOOKUP($I236,CHOOSE({1,2},'[1]DIRETORES NTE'!$H$5:$H$31,'[1]DIRETORES NTE'!$E$5:$E$31,),2,0),"-")</f>
        <v>-</v>
      </c>
    </row>
    <row r="237" spans="1:15" x14ac:dyDescent="0.25">
      <c r="A237" s="10">
        <v>235</v>
      </c>
      <c r="B237" s="11">
        <v>27</v>
      </c>
      <c r="C237" s="11" t="s">
        <v>924</v>
      </c>
      <c r="D237" s="11">
        <v>1178067</v>
      </c>
      <c r="E237" s="11">
        <v>29428084</v>
      </c>
      <c r="F237" s="12" t="s">
        <v>925</v>
      </c>
      <c r="G237" s="11" t="s">
        <v>926</v>
      </c>
      <c r="H237" t="s">
        <v>927</v>
      </c>
      <c r="I237" s="13" t="s">
        <v>928</v>
      </c>
      <c r="J237" s="14">
        <v>8575</v>
      </c>
      <c r="K237" s="14">
        <v>8575</v>
      </c>
      <c r="L237" s="10" t="s">
        <v>720</v>
      </c>
      <c r="M237" s="14">
        <v>0</v>
      </c>
      <c r="N237" s="15">
        <v>0</v>
      </c>
      <c r="O237" t="str">
        <f>IFERROR(VLOOKUP($I237,CHOOSE({1,2},'[1]DIRETORES NTE'!$H$5:$H$31,'[1]DIRETORES NTE'!$E$5:$E$31,),2,0),"-")</f>
        <v>-</v>
      </c>
    </row>
    <row r="238" spans="1:15" x14ac:dyDescent="0.25">
      <c r="A238" s="10">
        <v>236</v>
      </c>
      <c r="B238" s="11">
        <v>4</v>
      </c>
      <c r="C238" s="11" t="s">
        <v>929</v>
      </c>
      <c r="D238" s="11">
        <v>1114958</v>
      </c>
      <c r="E238" s="11">
        <v>29123143</v>
      </c>
      <c r="F238" s="12" t="s">
        <v>930</v>
      </c>
      <c r="G238" s="11" t="s">
        <v>931</v>
      </c>
      <c r="H238" t="s">
        <v>932</v>
      </c>
      <c r="I238" s="13">
        <v>88383563515</v>
      </c>
      <c r="J238" s="14">
        <v>5998</v>
      </c>
      <c r="K238" s="14">
        <v>5998</v>
      </c>
      <c r="L238" s="10" t="s">
        <v>58</v>
      </c>
      <c r="M238" s="14">
        <v>0</v>
      </c>
      <c r="N238" s="15">
        <v>0</v>
      </c>
      <c r="O238" t="str">
        <f>IFERROR(VLOOKUP($I238,CHOOSE({1,2},'[1]DIRETORES NTE'!$H$5:$H$31,'[1]DIRETORES NTE'!$E$5:$E$31,),2,0),"-")</f>
        <v>-</v>
      </c>
    </row>
    <row r="239" spans="1:15" x14ac:dyDescent="0.25">
      <c r="A239" s="10">
        <v>237</v>
      </c>
      <c r="B239" s="11">
        <v>18</v>
      </c>
      <c r="C239" s="11" t="s">
        <v>933</v>
      </c>
      <c r="D239" s="11">
        <v>1179439</v>
      </c>
      <c r="E239" s="11">
        <v>29465400</v>
      </c>
      <c r="F239" s="12" t="s">
        <v>934</v>
      </c>
      <c r="G239" s="11" t="s">
        <v>935</v>
      </c>
      <c r="H239" t="s">
        <v>936</v>
      </c>
      <c r="I239" s="13" t="s">
        <v>937</v>
      </c>
      <c r="J239" s="14">
        <v>13379</v>
      </c>
      <c r="K239" s="14">
        <v>13379</v>
      </c>
      <c r="L239" s="10" t="s">
        <v>68</v>
      </c>
      <c r="M239" s="14">
        <v>0</v>
      </c>
      <c r="N239" s="15">
        <v>0</v>
      </c>
      <c r="O239" t="str">
        <f>IFERROR(VLOOKUP($I239,CHOOSE({1,2},'[1]DIRETORES NTE'!$H$5:$H$31,'[1]DIRETORES NTE'!$E$5:$E$31,),2,0),"-")</f>
        <v>-</v>
      </c>
    </row>
    <row r="240" spans="1:15" x14ac:dyDescent="0.25">
      <c r="A240" s="10">
        <v>238</v>
      </c>
      <c r="B240" s="11">
        <v>5</v>
      </c>
      <c r="C240" s="11" t="s">
        <v>938</v>
      </c>
      <c r="D240" s="11">
        <v>1111550</v>
      </c>
      <c r="E240" s="11">
        <v>29293197</v>
      </c>
      <c r="F240" s="12" t="s">
        <v>939</v>
      </c>
      <c r="G240" s="11" t="s">
        <v>940</v>
      </c>
      <c r="H240" t="s">
        <v>941</v>
      </c>
      <c r="I240" s="13">
        <v>58287418534</v>
      </c>
      <c r="J240" s="14">
        <v>10169</v>
      </c>
      <c r="K240" s="14">
        <v>10169</v>
      </c>
      <c r="L240" s="10" t="s">
        <v>44</v>
      </c>
      <c r="M240" s="14">
        <v>0</v>
      </c>
      <c r="N240" s="15">
        <v>0</v>
      </c>
      <c r="O240" t="str">
        <f>IFERROR(VLOOKUP($I240,CHOOSE({1,2},'[1]DIRETORES NTE'!$H$5:$H$31,'[1]DIRETORES NTE'!$E$5:$E$31,),2,0),"-")</f>
        <v>-</v>
      </c>
    </row>
    <row r="241" spans="1:15" x14ac:dyDescent="0.25">
      <c r="A241" s="10">
        <v>239</v>
      </c>
      <c r="B241" s="11">
        <v>26</v>
      </c>
      <c r="C241" s="11" t="s">
        <v>289</v>
      </c>
      <c r="D241" s="11">
        <v>1178431</v>
      </c>
      <c r="E241" s="11">
        <v>29398673</v>
      </c>
      <c r="F241" s="12" t="s">
        <v>942</v>
      </c>
      <c r="G241" s="11" t="s">
        <v>943</v>
      </c>
      <c r="H241" t="s">
        <v>944</v>
      </c>
      <c r="I241" s="13">
        <v>71691839515</v>
      </c>
      <c r="J241" s="14">
        <v>20372</v>
      </c>
      <c r="K241" s="14">
        <v>2482.5500000000002</v>
      </c>
      <c r="L241" s="10" t="s">
        <v>99</v>
      </c>
      <c r="M241" s="14">
        <v>17889.45</v>
      </c>
      <c r="N241" s="15">
        <v>0.8781391125073631</v>
      </c>
      <c r="O241" t="str">
        <f>IFERROR(VLOOKUP($I241,CHOOSE({1,2},'[1]DIRETORES NTE'!$H$5:$H$31,'[1]DIRETORES NTE'!$E$5:$E$31,),2,0),"-")</f>
        <v>-</v>
      </c>
    </row>
    <row r="242" spans="1:15" x14ac:dyDescent="0.25">
      <c r="A242" s="10">
        <v>240</v>
      </c>
      <c r="B242" s="11">
        <v>26</v>
      </c>
      <c r="C242" s="11" t="s">
        <v>95</v>
      </c>
      <c r="D242" s="11">
        <v>1103336</v>
      </c>
      <c r="E242" s="11">
        <v>29182271</v>
      </c>
      <c r="F242" s="12" t="s">
        <v>945</v>
      </c>
      <c r="G242" s="11" t="s">
        <v>946</v>
      </c>
      <c r="H242" t="s">
        <v>947</v>
      </c>
      <c r="I242" s="13">
        <v>31284124568</v>
      </c>
      <c r="J242" s="14">
        <v>17640</v>
      </c>
      <c r="K242" s="14">
        <v>17640</v>
      </c>
      <c r="L242" s="10" t="s">
        <v>99</v>
      </c>
      <c r="M242" s="14">
        <v>0</v>
      </c>
      <c r="N242" s="15">
        <v>0</v>
      </c>
      <c r="O242" t="str">
        <f>IFERROR(VLOOKUP($I242,CHOOSE({1,2},'[1]DIRETORES NTE'!$H$5:$H$31,'[1]DIRETORES NTE'!$E$5:$E$31,),2,0),"-")</f>
        <v>-</v>
      </c>
    </row>
    <row r="243" spans="1:15" x14ac:dyDescent="0.25">
      <c r="A243" s="10">
        <v>241</v>
      </c>
      <c r="B243" s="11">
        <v>5</v>
      </c>
      <c r="C243" s="11" t="s">
        <v>209</v>
      </c>
      <c r="D243" s="11">
        <v>1146698</v>
      </c>
      <c r="E243" s="11">
        <v>29305373</v>
      </c>
      <c r="F243" s="12" t="s">
        <v>948</v>
      </c>
      <c r="G243" s="11" t="s">
        <v>949</v>
      </c>
      <c r="H243" t="s">
        <v>950</v>
      </c>
      <c r="I243" s="13">
        <v>52921689553</v>
      </c>
      <c r="J243" s="14">
        <v>2584</v>
      </c>
      <c r="K243" s="14">
        <v>2584</v>
      </c>
      <c r="L243" s="10" t="s">
        <v>44</v>
      </c>
      <c r="M243" s="14">
        <v>0</v>
      </c>
      <c r="N243" s="15">
        <v>0</v>
      </c>
      <c r="O243" t="str">
        <f>IFERROR(VLOOKUP($I243,CHOOSE({1,2},'[1]DIRETORES NTE'!$H$5:$H$31,'[1]DIRETORES NTE'!$E$5:$E$31,),2,0),"-")</f>
        <v>-</v>
      </c>
    </row>
    <row r="244" spans="1:15" x14ac:dyDescent="0.25">
      <c r="A244" s="10">
        <v>242</v>
      </c>
      <c r="B244" s="11">
        <v>21</v>
      </c>
      <c r="C244" s="11" t="s">
        <v>951</v>
      </c>
      <c r="D244" s="11">
        <v>1176467</v>
      </c>
      <c r="E244" s="11">
        <v>29400220</v>
      </c>
      <c r="F244" s="12" t="s">
        <v>952</v>
      </c>
      <c r="G244" s="11" t="s">
        <v>953</v>
      </c>
      <c r="H244" t="s">
        <v>954</v>
      </c>
      <c r="I244" s="13">
        <v>78605679549</v>
      </c>
      <c r="J244" s="14">
        <v>23277</v>
      </c>
      <c r="K244" s="14">
        <v>0</v>
      </c>
      <c r="L244" s="10" t="s">
        <v>63</v>
      </c>
      <c r="M244" s="14">
        <v>23277</v>
      </c>
      <c r="N244" s="15">
        <v>1</v>
      </c>
      <c r="O244" t="str">
        <f>IFERROR(VLOOKUP($I244,CHOOSE({1,2},'[1]DIRETORES NTE'!$H$5:$H$31,'[1]DIRETORES NTE'!$E$5:$E$31,),2,0),"-")</f>
        <v>-</v>
      </c>
    </row>
    <row r="245" spans="1:15" x14ac:dyDescent="0.25">
      <c r="A245" s="10">
        <v>243</v>
      </c>
      <c r="B245" s="11">
        <v>26</v>
      </c>
      <c r="C245" s="11" t="s">
        <v>566</v>
      </c>
      <c r="D245" s="11">
        <v>1102402</v>
      </c>
      <c r="E245" s="11">
        <v>29202604</v>
      </c>
      <c r="F245" s="12" t="s">
        <v>955</v>
      </c>
      <c r="G245" s="11" t="s">
        <v>956</v>
      </c>
      <c r="H245" t="s">
        <v>957</v>
      </c>
      <c r="I245" s="13">
        <v>28782534500</v>
      </c>
      <c r="J245" s="14">
        <v>17088</v>
      </c>
      <c r="K245" s="14">
        <v>0</v>
      </c>
      <c r="L245" s="10" t="s">
        <v>99</v>
      </c>
      <c r="M245" s="14">
        <v>17088</v>
      </c>
      <c r="N245" s="15">
        <v>1</v>
      </c>
      <c r="O245" t="str">
        <f>IFERROR(VLOOKUP($I245,CHOOSE({1,2},'[1]DIRETORES NTE'!$H$5:$H$31,'[1]DIRETORES NTE'!$E$5:$E$31,),2,0),"-")</f>
        <v>-</v>
      </c>
    </row>
    <row r="246" spans="1:15" x14ac:dyDescent="0.25">
      <c r="A246" s="10">
        <v>244</v>
      </c>
      <c r="B246" s="11">
        <v>6</v>
      </c>
      <c r="C246" s="11" t="s">
        <v>958</v>
      </c>
      <c r="D246" s="11">
        <v>1178081</v>
      </c>
      <c r="E246" s="11">
        <v>29431719</v>
      </c>
      <c r="F246" s="12" t="s">
        <v>959</v>
      </c>
      <c r="G246" s="11" t="s">
        <v>960</v>
      </c>
      <c r="H246" t="s">
        <v>961</v>
      </c>
      <c r="I246" s="13" t="s">
        <v>962</v>
      </c>
      <c r="J246" s="14">
        <v>14862</v>
      </c>
      <c r="K246" s="14">
        <v>14862</v>
      </c>
      <c r="L246" s="10" t="s">
        <v>49</v>
      </c>
      <c r="M246" s="14">
        <v>0</v>
      </c>
      <c r="N246" s="15">
        <v>0</v>
      </c>
      <c r="O246" t="str">
        <f>IFERROR(VLOOKUP($I246,CHOOSE({1,2},'[1]DIRETORES NTE'!$H$5:$H$31,'[1]DIRETORES NTE'!$E$5:$E$31,),2,0),"-")</f>
        <v>-</v>
      </c>
    </row>
    <row r="247" spans="1:15" x14ac:dyDescent="0.25">
      <c r="A247" s="10">
        <v>245</v>
      </c>
      <c r="B247" s="11" t="s">
        <v>237</v>
      </c>
      <c r="C247" s="11" t="s">
        <v>237</v>
      </c>
      <c r="D247" s="11" t="s">
        <v>237</v>
      </c>
      <c r="E247" s="11" t="s">
        <v>237</v>
      </c>
      <c r="F247" s="12" t="s">
        <v>237</v>
      </c>
      <c r="G247" s="11" t="s">
        <v>237</v>
      </c>
      <c r="H247" t="s">
        <v>963</v>
      </c>
      <c r="I247" s="13">
        <v>78828350563</v>
      </c>
      <c r="J247" s="14">
        <v>0</v>
      </c>
      <c r="K247" s="14">
        <v>0</v>
      </c>
      <c r="L247" s="10" t="s">
        <v>455</v>
      </c>
      <c r="M247" s="14">
        <v>0</v>
      </c>
      <c r="N247" s="15" t="e">
        <v>#DIV/0!</v>
      </c>
      <c r="O247" t="str">
        <f>IFERROR(VLOOKUP($I247,CHOOSE({1,2},'[1]DIRETORES NTE'!$H$5:$H$31,'[1]DIRETORES NTE'!$E$5:$E$31,),2,0),"-")</f>
        <v>DEUSDETE GOMES DE ALMEIDA JUNIOR (DIRETOR DE NTE)</v>
      </c>
    </row>
    <row r="248" spans="1:15" x14ac:dyDescent="0.25">
      <c r="A248" s="10">
        <v>246</v>
      </c>
      <c r="B248" s="11">
        <v>7</v>
      </c>
      <c r="C248" s="11" t="s">
        <v>820</v>
      </c>
      <c r="D248" s="11">
        <v>1176218</v>
      </c>
      <c r="E248" s="11">
        <v>29327695</v>
      </c>
      <c r="F248" s="12" t="s">
        <v>964</v>
      </c>
      <c r="G248" s="11" t="s">
        <v>965</v>
      </c>
      <c r="H248" t="s">
        <v>966</v>
      </c>
      <c r="I248" s="13">
        <v>92086004591</v>
      </c>
      <c r="J248" s="14">
        <v>16243</v>
      </c>
      <c r="K248" s="14">
        <v>16243</v>
      </c>
      <c r="L248" s="10" t="s">
        <v>153</v>
      </c>
      <c r="M248" s="14">
        <v>0</v>
      </c>
      <c r="N248" s="15">
        <v>0</v>
      </c>
      <c r="O248" t="str">
        <f>IFERROR(VLOOKUP($I248,CHOOSE({1,2},'[1]DIRETORES NTE'!$H$5:$H$31,'[1]DIRETORES NTE'!$E$5:$E$31,),2,0),"-")</f>
        <v>-</v>
      </c>
    </row>
    <row r="249" spans="1:15" x14ac:dyDescent="0.25">
      <c r="A249" s="10">
        <v>247</v>
      </c>
      <c r="B249" s="11">
        <v>2</v>
      </c>
      <c r="C249" s="11" t="s">
        <v>967</v>
      </c>
      <c r="D249" s="11">
        <v>1176059</v>
      </c>
      <c r="E249" s="11">
        <v>29047455</v>
      </c>
      <c r="F249" s="12" t="s">
        <v>968</v>
      </c>
      <c r="G249" s="11" t="s">
        <v>969</v>
      </c>
      <c r="H249" t="s">
        <v>970</v>
      </c>
      <c r="I249" s="13" t="s">
        <v>971</v>
      </c>
      <c r="J249" s="14">
        <v>2408</v>
      </c>
      <c r="K249" s="14">
        <v>2408</v>
      </c>
      <c r="L249" s="10" t="s">
        <v>105</v>
      </c>
      <c r="M249" s="14">
        <v>0</v>
      </c>
      <c r="N249" s="15">
        <v>0</v>
      </c>
      <c r="O249" t="str">
        <f>IFERROR(VLOOKUP($I249,CHOOSE({1,2},'[1]DIRETORES NTE'!$H$5:$H$31,'[1]DIRETORES NTE'!$E$5:$E$31,),2,0),"-")</f>
        <v>-</v>
      </c>
    </row>
    <row r="250" spans="1:15" x14ac:dyDescent="0.25">
      <c r="A250" s="10">
        <v>248</v>
      </c>
      <c r="B250" s="11">
        <v>23</v>
      </c>
      <c r="C250" s="11" t="s">
        <v>972</v>
      </c>
      <c r="D250" s="11">
        <v>1132000</v>
      </c>
      <c r="E250" s="11">
        <v>29014433</v>
      </c>
      <c r="F250" s="12" t="s">
        <v>973</v>
      </c>
      <c r="G250" s="11" t="s">
        <v>974</v>
      </c>
      <c r="H250" t="s">
        <v>975</v>
      </c>
      <c r="I250" s="13" t="s">
        <v>976</v>
      </c>
      <c r="J250" s="14">
        <v>9656</v>
      </c>
      <c r="K250" s="14">
        <v>9656</v>
      </c>
      <c r="L250" s="10" t="s">
        <v>373</v>
      </c>
      <c r="M250" s="14">
        <v>0</v>
      </c>
      <c r="N250" s="15">
        <v>0</v>
      </c>
      <c r="O250" t="str">
        <f>IFERROR(VLOOKUP($I250,CHOOSE({1,2},'[1]DIRETORES NTE'!$H$5:$H$31,'[1]DIRETORES NTE'!$E$5:$E$31,),2,0),"-")</f>
        <v>-</v>
      </c>
    </row>
    <row r="251" spans="1:15" x14ac:dyDescent="0.25">
      <c r="A251" s="10">
        <v>249</v>
      </c>
      <c r="B251" s="11">
        <v>6</v>
      </c>
      <c r="C251" s="11" t="s">
        <v>45</v>
      </c>
      <c r="D251" s="11">
        <v>1179116</v>
      </c>
      <c r="E251" s="11">
        <v>29460549</v>
      </c>
      <c r="F251" s="12" t="s">
        <v>977</v>
      </c>
      <c r="G251" s="11" t="s">
        <v>978</v>
      </c>
      <c r="H251" t="s">
        <v>979</v>
      </c>
      <c r="I251" s="13" t="s">
        <v>980</v>
      </c>
      <c r="J251" s="14">
        <v>4069</v>
      </c>
      <c r="K251" s="14">
        <v>4069</v>
      </c>
      <c r="L251" s="10" t="s">
        <v>49</v>
      </c>
      <c r="M251" s="14">
        <v>0</v>
      </c>
      <c r="N251" s="15">
        <v>0</v>
      </c>
      <c r="O251" t="str">
        <f>IFERROR(VLOOKUP($I251,CHOOSE({1,2},'[1]DIRETORES NTE'!$H$5:$H$31,'[1]DIRETORES NTE'!$E$5:$E$31,),2,0),"-")</f>
        <v>-</v>
      </c>
    </row>
    <row r="252" spans="1:15" x14ac:dyDescent="0.25">
      <c r="A252" s="10">
        <v>250</v>
      </c>
      <c r="B252" s="11">
        <v>26</v>
      </c>
      <c r="C252" s="11" t="s">
        <v>95</v>
      </c>
      <c r="D252" s="11">
        <v>1100833</v>
      </c>
      <c r="E252" s="11">
        <v>29184932</v>
      </c>
      <c r="F252" s="12" t="s">
        <v>981</v>
      </c>
      <c r="G252" s="11" t="s">
        <v>982</v>
      </c>
      <c r="H252" t="s">
        <v>983</v>
      </c>
      <c r="I252" s="13">
        <v>77051173553</v>
      </c>
      <c r="J252" s="14">
        <v>11280</v>
      </c>
      <c r="K252" s="14">
        <v>11280</v>
      </c>
      <c r="L252" s="10" t="s">
        <v>99</v>
      </c>
      <c r="M252" s="14">
        <v>0</v>
      </c>
      <c r="N252" s="15">
        <v>0</v>
      </c>
      <c r="O252" t="str">
        <f>IFERROR(VLOOKUP($I252,CHOOSE({1,2},'[1]DIRETORES NTE'!$H$5:$H$31,'[1]DIRETORES NTE'!$E$5:$E$31,),2,0),"-")</f>
        <v>-</v>
      </c>
    </row>
    <row r="253" spans="1:15" x14ac:dyDescent="0.25">
      <c r="A253" s="10">
        <v>251</v>
      </c>
      <c r="B253" s="11">
        <v>20</v>
      </c>
      <c r="C253" s="11" t="s">
        <v>50</v>
      </c>
      <c r="D253" s="11">
        <v>1125160</v>
      </c>
      <c r="E253" s="11">
        <v>29277809</v>
      </c>
      <c r="F253" s="12" t="s">
        <v>984</v>
      </c>
      <c r="G253" s="11" t="s">
        <v>985</v>
      </c>
      <c r="H253" t="s">
        <v>986</v>
      </c>
      <c r="I253" s="13">
        <v>65636368534</v>
      </c>
      <c r="J253" s="14">
        <v>19735</v>
      </c>
      <c r="K253" s="14">
        <v>19735</v>
      </c>
      <c r="L253" s="10" t="s">
        <v>27</v>
      </c>
      <c r="M253" s="14">
        <v>0</v>
      </c>
      <c r="N253" s="15">
        <v>0</v>
      </c>
      <c r="O253" t="str">
        <f>IFERROR(VLOOKUP($I253,CHOOSE({1,2},'[1]DIRETORES NTE'!$H$5:$H$31,'[1]DIRETORES NTE'!$E$5:$E$31,),2,0),"-")</f>
        <v>-</v>
      </c>
    </row>
    <row r="254" spans="1:15" x14ac:dyDescent="0.25">
      <c r="A254" s="10">
        <v>252</v>
      </c>
      <c r="B254" s="11">
        <v>10</v>
      </c>
      <c r="C254" s="11" t="s">
        <v>16</v>
      </c>
      <c r="D254" s="11">
        <v>1176428</v>
      </c>
      <c r="E254" s="11">
        <v>29390737</v>
      </c>
      <c r="F254" s="12" t="s">
        <v>649</v>
      </c>
      <c r="G254" s="11" t="s">
        <v>987</v>
      </c>
      <c r="H254" t="s">
        <v>988</v>
      </c>
      <c r="I254" s="13">
        <v>68769768587</v>
      </c>
      <c r="J254" s="14">
        <v>20854</v>
      </c>
      <c r="K254" s="14">
        <v>20854</v>
      </c>
      <c r="L254" s="10" t="s">
        <v>21</v>
      </c>
      <c r="M254" s="14">
        <v>0</v>
      </c>
      <c r="N254" s="15">
        <v>0</v>
      </c>
      <c r="O254" t="str">
        <f>IFERROR(VLOOKUP($I254,CHOOSE({1,2},'[1]DIRETORES NTE'!$H$5:$H$31,'[1]DIRETORES NTE'!$E$5:$E$31,),2,0),"-")</f>
        <v>-</v>
      </c>
    </row>
    <row r="255" spans="1:15" x14ac:dyDescent="0.25">
      <c r="A255" s="10">
        <v>253</v>
      </c>
      <c r="B255" s="11">
        <v>26</v>
      </c>
      <c r="C255" s="11" t="s">
        <v>95</v>
      </c>
      <c r="D255" s="11">
        <v>1176610</v>
      </c>
      <c r="E255" s="11">
        <v>29404266</v>
      </c>
      <c r="F255" s="12" t="s">
        <v>989</v>
      </c>
      <c r="G255" s="11" t="s">
        <v>990</v>
      </c>
      <c r="H255" t="s">
        <v>991</v>
      </c>
      <c r="I255" s="13">
        <v>35402440506</v>
      </c>
      <c r="J255" s="14">
        <v>8368</v>
      </c>
      <c r="K255" s="14">
        <v>8368</v>
      </c>
      <c r="L255" s="10" t="s">
        <v>99</v>
      </c>
      <c r="M255" s="14">
        <v>0</v>
      </c>
      <c r="N255" s="15">
        <v>0</v>
      </c>
      <c r="O255" t="str">
        <f>IFERROR(VLOOKUP($I255,CHOOSE({1,2},'[1]DIRETORES NTE'!$H$5:$H$31,'[1]DIRETORES NTE'!$E$5:$E$31,),2,0),"-")</f>
        <v>-</v>
      </c>
    </row>
    <row r="256" spans="1:15" x14ac:dyDescent="0.25">
      <c r="A256" s="10">
        <v>254</v>
      </c>
      <c r="B256" s="11">
        <v>26</v>
      </c>
      <c r="C256" s="11" t="s">
        <v>95</v>
      </c>
      <c r="D256" s="11">
        <v>1103859</v>
      </c>
      <c r="E256" s="11">
        <v>29182565</v>
      </c>
      <c r="F256" s="12" t="s">
        <v>992</v>
      </c>
      <c r="G256" s="11" t="s">
        <v>993</v>
      </c>
      <c r="H256" t="s">
        <v>994</v>
      </c>
      <c r="I256" s="13">
        <v>82010943520</v>
      </c>
      <c r="J256" s="14">
        <v>20096</v>
      </c>
      <c r="K256" s="14">
        <v>20096</v>
      </c>
      <c r="L256" s="10" t="s">
        <v>99</v>
      </c>
      <c r="M256" s="14">
        <v>0</v>
      </c>
      <c r="N256" s="15">
        <v>0</v>
      </c>
      <c r="O256" t="str">
        <f>IFERROR(VLOOKUP($I256,CHOOSE({1,2},'[1]DIRETORES NTE'!$H$5:$H$31,'[1]DIRETORES NTE'!$E$5:$E$31,),2,0),"-")</f>
        <v>-</v>
      </c>
    </row>
    <row r="257" spans="1:15" x14ac:dyDescent="0.25">
      <c r="A257" s="10">
        <v>255</v>
      </c>
      <c r="B257" s="11">
        <v>26</v>
      </c>
      <c r="C257" s="11" t="s">
        <v>95</v>
      </c>
      <c r="D257" s="11">
        <v>1103654</v>
      </c>
      <c r="E257" s="11">
        <v>29188458</v>
      </c>
      <c r="F257" s="12" t="s">
        <v>995</v>
      </c>
      <c r="G257" s="11" t="s">
        <v>996</v>
      </c>
      <c r="H257" t="s">
        <v>997</v>
      </c>
      <c r="I257" s="13">
        <v>76555216549</v>
      </c>
      <c r="J257" s="14">
        <v>8490</v>
      </c>
      <c r="K257" s="14">
        <v>8490</v>
      </c>
      <c r="L257" s="10" t="s">
        <v>99</v>
      </c>
      <c r="M257" s="14">
        <v>0</v>
      </c>
      <c r="N257" s="15">
        <v>0</v>
      </c>
      <c r="O257" t="str">
        <f>IFERROR(VLOOKUP($I257,CHOOSE({1,2},'[1]DIRETORES NTE'!$H$5:$H$31,'[1]DIRETORES NTE'!$E$5:$E$31,),2,0),"-")</f>
        <v>-</v>
      </c>
    </row>
    <row r="258" spans="1:15" x14ac:dyDescent="0.25">
      <c r="A258" s="10">
        <v>256</v>
      </c>
      <c r="B258" s="11">
        <v>26</v>
      </c>
      <c r="C258" s="11" t="s">
        <v>95</v>
      </c>
      <c r="D258" s="11">
        <v>1103972</v>
      </c>
      <c r="E258" s="11">
        <v>29191114</v>
      </c>
      <c r="F258" s="12" t="s">
        <v>998</v>
      </c>
      <c r="G258" s="11" t="s">
        <v>999</v>
      </c>
      <c r="H258" t="s">
        <v>1000</v>
      </c>
      <c r="I258" s="13">
        <v>16087232591</v>
      </c>
      <c r="J258" s="14">
        <v>11663</v>
      </c>
      <c r="K258" s="14">
        <v>11663</v>
      </c>
      <c r="L258" s="10" t="s">
        <v>99</v>
      </c>
      <c r="M258" s="14">
        <v>0</v>
      </c>
      <c r="N258" s="15">
        <v>0</v>
      </c>
      <c r="O258" t="str">
        <f>IFERROR(VLOOKUP($I258,CHOOSE({1,2},'[1]DIRETORES NTE'!$H$5:$H$31,'[1]DIRETORES NTE'!$E$5:$E$31,),2,0),"-")</f>
        <v>-</v>
      </c>
    </row>
    <row r="259" spans="1:15" x14ac:dyDescent="0.25">
      <c r="A259" s="10">
        <v>257</v>
      </c>
      <c r="B259" s="11">
        <v>11</v>
      </c>
      <c r="C259" s="11" t="s">
        <v>1001</v>
      </c>
      <c r="D259" s="11">
        <v>1178288</v>
      </c>
      <c r="E259" s="11">
        <v>29526809</v>
      </c>
      <c r="F259" s="12" t="s">
        <v>1002</v>
      </c>
      <c r="G259" s="11" t="s">
        <v>1003</v>
      </c>
      <c r="H259" t="s">
        <v>1004</v>
      </c>
      <c r="I259" s="13">
        <v>88621537591</v>
      </c>
      <c r="J259" s="14">
        <v>4082</v>
      </c>
      <c r="K259" s="14">
        <v>4082</v>
      </c>
      <c r="L259" s="10" t="s">
        <v>39</v>
      </c>
      <c r="M259" s="14">
        <v>0</v>
      </c>
      <c r="N259" s="15">
        <v>0</v>
      </c>
      <c r="O259" t="str">
        <f>IFERROR(VLOOKUP($I259,CHOOSE({1,2},'[1]DIRETORES NTE'!$H$5:$H$31,'[1]DIRETORES NTE'!$E$5:$E$31,),2,0),"-")</f>
        <v>-</v>
      </c>
    </row>
    <row r="260" spans="1:15" x14ac:dyDescent="0.25">
      <c r="A260" s="10">
        <v>258</v>
      </c>
      <c r="B260" s="11">
        <v>15</v>
      </c>
      <c r="C260" s="11" t="s">
        <v>1005</v>
      </c>
      <c r="D260" s="11">
        <v>1138245</v>
      </c>
      <c r="E260" s="11">
        <v>29143365</v>
      </c>
      <c r="F260" s="12" t="s">
        <v>1006</v>
      </c>
      <c r="G260" s="11" t="s">
        <v>1007</v>
      </c>
      <c r="H260" t="s">
        <v>1008</v>
      </c>
      <c r="I260" s="13">
        <v>95896244568</v>
      </c>
      <c r="J260" s="14">
        <v>3612</v>
      </c>
      <c r="K260" s="14">
        <v>3612</v>
      </c>
      <c r="L260" s="10" t="s">
        <v>280</v>
      </c>
      <c r="M260" s="14">
        <v>0</v>
      </c>
      <c r="N260" s="15">
        <v>0</v>
      </c>
      <c r="O260" t="str">
        <f>IFERROR(VLOOKUP($I260,CHOOSE({1,2},'[1]DIRETORES NTE'!$H$5:$H$31,'[1]DIRETORES NTE'!$E$5:$E$31,),2,0),"-")</f>
        <v>-</v>
      </c>
    </row>
    <row r="261" spans="1:15" x14ac:dyDescent="0.25">
      <c r="A261" s="10">
        <v>259</v>
      </c>
      <c r="B261" s="11">
        <v>2</v>
      </c>
      <c r="C261" s="11" t="s">
        <v>1009</v>
      </c>
      <c r="D261" s="11">
        <v>1179813</v>
      </c>
      <c r="E261" s="11">
        <v>29489466</v>
      </c>
      <c r="F261" s="12" t="s">
        <v>1010</v>
      </c>
      <c r="G261" s="11" t="s">
        <v>1011</v>
      </c>
      <c r="H261" t="s">
        <v>1012</v>
      </c>
      <c r="I261" s="13" t="s">
        <v>1013</v>
      </c>
      <c r="J261" s="14">
        <v>1733</v>
      </c>
      <c r="K261" s="14">
        <v>1733</v>
      </c>
      <c r="L261" s="10" t="s">
        <v>105</v>
      </c>
      <c r="M261" s="14">
        <v>0</v>
      </c>
      <c r="N261" s="15">
        <v>0</v>
      </c>
      <c r="O261" t="str">
        <f>IFERROR(VLOOKUP($I261,CHOOSE({1,2},'[1]DIRETORES NTE'!$H$5:$H$31,'[1]DIRETORES NTE'!$E$5:$E$31,),2,0),"-")</f>
        <v>-</v>
      </c>
    </row>
    <row r="262" spans="1:15" x14ac:dyDescent="0.25">
      <c r="A262" s="10">
        <v>260</v>
      </c>
      <c r="B262" s="11">
        <v>19</v>
      </c>
      <c r="C262" s="11" t="s">
        <v>331</v>
      </c>
      <c r="D262" s="11">
        <v>1105878</v>
      </c>
      <c r="E262" s="11">
        <v>29093317</v>
      </c>
      <c r="F262" s="12" t="s">
        <v>1014</v>
      </c>
      <c r="G262" s="11" t="s">
        <v>1015</v>
      </c>
      <c r="H262" t="s">
        <v>1016</v>
      </c>
      <c r="I262" s="13">
        <v>87130793520</v>
      </c>
      <c r="J262" s="14">
        <v>11674</v>
      </c>
      <c r="K262" s="14">
        <v>11674</v>
      </c>
      <c r="L262" s="10" t="s">
        <v>336</v>
      </c>
      <c r="M262" s="14">
        <v>0</v>
      </c>
      <c r="N262" s="15">
        <v>0</v>
      </c>
      <c r="O262" t="str">
        <f>IFERROR(VLOOKUP($I262,CHOOSE({1,2},'[1]DIRETORES NTE'!$H$5:$H$31,'[1]DIRETORES NTE'!$E$5:$E$31,),2,0),"-")</f>
        <v>-</v>
      </c>
    </row>
    <row r="263" spans="1:15" x14ac:dyDescent="0.25">
      <c r="A263" s="10">
        <v>261</v>
      </c>
      <c r="B263" s="11">
        <v>22</v>
      </c>
      <c r="C263" s="11" t="s">
        <v>889</v>
      </c>
      <c r="D263" s="11">
        <v>1176093</v>
      </c>
      <c r="E263" s="11">
        <v>29227690</v>
      </c>
      <c r="F263" s="12" t="s">
        <v>1017</v>
      </c>
      <c r="G263" s="11" t="s">
        <v>1018</v>
      </c>
      <c r="H263" t="s">
        <v>1019</v>
      </c>
      <c r="I263" s="13">
        <v>75091607587</v>
      </c>
      <c r="J263" s="14">
        <v>12483</v>
      </c>
      <c r="K263" s="14">
        <v>12483</v>
      </c>
      <c r="L263" s="10" t="s">
        <v>200</v>
      </c>
      <c r="M263" s="14">
        <v>0</v>
      </c>
      <c r="N263" s="15">
        <v>0</v>
      </c>
      <c r="O263" t="str">
        <f>IFERROR(VLOOKUP($I263,CHOOSE({1,2},'[1]DIRETORES NTE'!$H$5:$H$31,'[1]DIRETORES NTE'!$E$5:$E$31,),2,0),"-")</f>
        <v>-</v>
      </c>
    </row>
    <row r="264" spans="1:15" x14ac:dyDescent="0.25">
      <c r="A264" s="10">
        <v>262</v>
      </c>
      <c r="B264" s="11">
        <v>26</v>
      </c>
      <c r="C264" s="11" t="s">
        <v>95</v>
      </c>
      <c r="D264" s="11">
        <v>1103085</v>
      </c>
      <c r="E264" s="11">
        <v>29191165</v>
      </c>
      <c r="F264" s="12" t="s">
        <v>1020</v>
      </c>
      <c r="G264" s="11" t="s">
        <v>1021</v>
      </c>
      <c r="H264" t="s">
        <v>1022</v>
      </c>
      <c r="I264" s="13">
        <v>41462963587</v>
      </c>
      <c r="J264" s="14">
        <v>7946</v>
      </c>
      <c r="K264" s="14">
        <v>0.65</v>
      </c>
      <c r="L264" s="10" t="s">
        <v>99</v>
      </c>
      <c r="M264" s="14">
        <v>7945.35</v>
      </c>
      <c r="N264" s="15">
        <v>0.99991819783538893</v>
      </c>
      <c r="O264" t="str">
        <f>IFERROR(VLOOKUP($I264,CHOOSE({1,2},'[1]DIRETORES NTE'!$H$5:$H$31,'[1]DIRETORES NTE'!$E$5:$E$31,),2,0),"-")</f>
        <v>-</v>
      </c>
    </row>
    <row r="265" spans="1:15" x14ac:dyDescent="0.25">
      <c r="A265" s="10">
        <v>263</v>
      </c>
      <c r="B265" s="11">
        <v>8</v>
      </c>
      <c r="C265" s="11" t="s">
        <v>1023</v>
      </c>
      <c r="D265" s="11">
        <v>1112785</v>
      </c>
      <c r="E265" s="11">
        <v>29312469</v>
      </c>
      <c r="F265" s="12" t="s">
        <v>1024</v>
      </c>
      <c r="G265" s="11" t="s">
        <v>1025</v>
      </c>
      <c r="H265" t="s">
        <v>1026</v>
      </c>
      <c r="I265" s="13">
        <v>19390556520</v>
      </c>
      <c r="J265" s="14">
        <v>2626</v>
      </c>
      <c r="K265" s="14">
        <v>2626</v>
      </c>
      <c r="L265" s="10" t="s">
        <v>285</v>
      </c>
      <c r="M265" s="14">
        <v>0</v>
      </c>
      <c r="N265" s="15">
        <v>0</v>
      </c>
      <c r="O265" t="str">
        <f>IFERROR(VLOOKUP($I265,CHOOSE({1,2},'[1]DIRETORES NTE'!$H$5:$H$31,'[1]DIRETORES NTE'!$E$5:$E$31,),2,0),"-")</f>
        <v>-</v>
      </c>
    </row>
    <row r="266" spans="1:15" x14ac:dyDescent="0.25">
      <c r="A266" s="10">
        <v>264</v>
      </c>
      <c r="B266" s="11">
        <v>4</v>
      </c>
      <c r="C266" s="11" t="s">
        <v>1027</v>
      </c>
      <c r="D266" s="11">
        <v>1177070</v>
      </c>
      <c r="E266" s="11">
        <v>29410975</v>
      </c>
      <c r="F266" s="12" t="s">
        <v>1028</v>
      </c>
      <c r="G266" s="11" t="s">
        <v>1029</v>
      </c>
      <c r="H266" t="s">
        <v>1030</v>
      </c>
      <c r="I266" s="13" t="s">
        <v>1031</v>
      </c>
      <c r="J266" s="14">
        <v>7500</v>
      </c>
      <c r="K266" s="14">
        <v>7500</v>
      </c>
      <c r="L266" s="10" t="s">
        <v>58</v>
      </c>
      <c r="M266" s="14">
        <v>0</v>
      </c>
      <c r="N266" s="15">
        <v>0</v>
      </c>
      <c r="O266" t="str">
        <f>IFERROR(VLOOKUP($I266,CHOOSE({1,2},'[1]DIRETORES NTE'!$H$5:$H$31,'[1]DIRETORES NTE'!$E$5:$E$31,),2,0),"-")</f>
        <v>-</v>
      </c>
    </row>
    <row r="267" spans="1:15" x14ac:dyDescent="0.25">
      <c r="A267" s="10">
        <v>265</v>
      </c>
      <c r="B267" s="11">
        <v>26</v>
      </c>
      <c r="C267" s="11" t="s">
        <v>916</v>
      </c>
      <c r="D267" s="11">
        <v>1177009</v>
      </c>
      <c r="E267" s="11">
        <v>29404460</v>
      </c>
      <c r="F267" s="12" t="s">
        <v>1032</v>
      </c>
      <c r="G267" s="11" t="s">
        <v>1033</v>
      </c>
      <c r="H267" t="s">
        <v>1034</v>
      </c>
      <c r="I267" s="13" t="s">
        <v>1035</v>
      </c>
      <c r="J267" s="14">
        <v>8015</v>
      </c>
      <c r="K267" s="14">
        <v>0.8</v>
      </c>
      <c r="L267" s="10" t="s">
        <v>99</v>
      </c>
      <c r="M267" s="14">
        <v>8014.2</v>
      </c>
      <c r="N267" s="15">
        <v>0.99990018714909545</v>
      </c>
      <c r="O267" t="str">
        <f>IFERROR(VLOOKUP($I267,CHOOSE({1,2},'[1]DIRETORES NTE'!$H$5:$H$31,'[1]DIRETORES NTE'!$E$5:$E$31,),2,0),"-")</f>
        <v>-</v>
      </c>
    </row>
    <row r="268" spans="1:15" x14ac:dyDescent="0.25">
      <c r="A268" s="10">
        <v>266</v>
      </c>
      <c r="B268" s="11">
        <v>26</v>
      </c>
      <c r="C268" s="11" t="s">
        <v>95</v>
      </c>
      <c r="D268" s="11">
        <v>1176109</v>
      </c>
      <c r="E268" s="11">
        <v>29343160</v>
      </c>
      <c r="F268" s="12" t="s">
        <v>1036</v>
      </c>
      <c r="G268" s="11" t="s">
        <v>1037</v>
      </c>
      <c r="H268" t="s">
        <v>1038</v>
      </c>
      <c r="I268" s="13">
        <v>19249748515</v>
      </c>
      <c r="J268" s="14">
        <v>9773</v>
      </c>
      <c r="K268" s="14">
        <v>0</v>
      </c>
      <c r="L268" s="10" t="s">
        <v>99</v>
      </c>
      <c r="M268" s="14">
        <v>9773</v>
      </c>
      <c r="N268" s="15">
        <v>1</v>
      </c>
      <c r="O268" t="str">
        <f>IFERROR(VLOOKUP($I268,CHOOSE({1,2},'[1]DIRETORES NTE'!$H$5:$H$31,'[1]DIRETORES NTE'!$E$5:$E$31,),2,0),"-")</f>
        <v>-</v>
      </c>
    </row>
    <row r="269" spans="1:15" x14ac:dyDescent="0.25">
      <c r="A269" s="10">
        <v>267</v>
      </c>
      <c r="B269" s="11">
        <v>18</v>
      </c>
      <c r="C269" s="11" t="s">
        <v>1039</v>
      </c>
      <c r="D269" s="11">
        <v>1108320</v>
      </c>
      <c r="E269" s="11">
        <v>29153964</v>
      </c>
      <c r="F269" s="12" t="s">
        <v>1040</v>
      </c>
      <c r="G269" s="11" t="s">
        <v>1041</v>
      </c>
      <c r="H269" t="s">
        <v>1042</v>
      </c>
      <c r="I269" s="13">
        <v>32995717534</v>
      </c>
      <c r="J269" s="14">
        <v>12905</v>
      </c>
      <c r="K269" s="14">
        <v>12905</v>
      </c>
      <c r="L269" s="10" t="s">
        <v>68</v>
      </c>
      <c r="M269" s="14">
        <v>0</v>
      </c>
      <c r="N269" s="15">
        <v>0</v>
      </c>
      <c r="O269" t="str">
        <f>IFERROR(VLOOKUP($I269,CHOOSE({1,2},'[1]DIRETORES NTE'!$H$5:$H$31,'[1]DIRETORES NTE'!$E$5:$E$31,),2,0),"-")</f>
        <v>-</v>
      </c>
    </row>
    <row r="270" spans="1:15" x14ac:dyDescent="0.25">
      <c r="A270" s="10">
        <v>268</v>
      </c>
      <c r="B270" s="11">
        <v>1</v>
      </c>
      <c r="C270" s="11" t="s">
        <v>1043</v>
      </c>
      <c r="D270" s="11">
        <v>1176432</v>
      </c>
      <c r="E270" s="11">
        <v>29395321</v>
      </c>
      <c r="F270" s="12" t="s">
        <v>1044</v>
      </c>
      <c r="G270" s="11" t="s">
        <v>1045</v>
      </c>
      <c r="H270" t="s">
        <v>1046</v>
      </c>
      <c r="I270" s="13">
        <v>60987286587</v>
      </c>
      <c r="J270" s="14">
        <v>8759</v>
      </c>
      <c r="K270" s="14">
        <v>8759</v>
      </c>
      <c r="L270" s="10" t="s">
        <v>356</v>
      </c>
      <c r="M270" s="14">
        <v>0</v>
      </c>
      <c r="N270" s="15">
        <v>0</v>
      </c>
      <c r="O270" t="str">
        <f>IFERROR(VLOOKUP($I270,CHOOSE({1,2},'[1]DIRETORES NTE'!$H$5:$H$31,'[1]DIRETORES NTE'!$E$5:$E$31,),2,0),"-")</f>
        <v>-</v>
      </c>
    </row>
    <row r="271" spans="1:15" x14ac:dyDescent="0.25">
      <c r="A271" s="10">
        <v>269</v>
      </c>
      <c r="B271" s="11">
        <v>25</v>
      </c>
      <c r="C271" s="11" t="s">
        <v>75</v>
      </c>
      <c r="D271" s="11">
        <v>1120257</v>
      </c>
      <c r="E271" s="11">
        <v>29053544</v>
      </c>
      <c r="F271" s="12" t="s">
        <v>1047</v>
      </c>
      <c r="G271" s="11" t="s">
        <v>1048</v>
      </c>
      <c r="H271" t="s">
        <v>1049</v>
      </c>
      <c r="I271" s="13">
        <v>56432771587</v>
      </c>
      <c r="J271" s="14">
        <v>12341</v>
      </c>
      <c r="K271" s="14">
        <v>12341</v>
      </c>
      <c r="L271" s="10" t="s">
        <v>80</v>
      </c>
      <c r="M271" s="14">
        <v>0</v>
      </c>
      <c r="N271" s="15">
        <v>0</v>
      </c>
      <c r="O271" t="str">
        <f>IFERROR(VLOOKUP($I271,CHOOSE({1,2},'[1]DIRETORES NTE'!$H$5:$H$31,'[1]DIRETORES NTE'!$E$5:$E$31,),2,0),"-")</f>
        <v>-</v>
      </c>
    </row>
    <row r="272" spans="1:15" x14ac:dyDescent="0.25">
      <c r="A272" s="10">
        <v>270</v>
      </c>
      <c r="B272" s="11">
        <v>19</v>
      </c>
      <c r="C272" s="11" t="s">
        <v>331</v>
      </c>
      <c r="D272" s="11">
        <v>1105975</v>
      </c>
      <c r="E272" s="11">
        <v>29093520</v>
      </c>
      <c r="F272" s="12" t="s">
        <v>1050</v>
      </c>
      <c r="G272" s="11" t="s">
        <v>1051</v>
      </c>
      <c r="H272" t="s">
        <v>1052</v>
      </c>
      <c r="I272" s="13">
        <v>42803055520</v>
      </c>
      <c r="J272" s="14">
        <v>18617</v>
      </c>
      <c r="K272" s="14">
        <v>1855.55</v>
      </c>
      <c r="L272" s="10" t="s">
        <v>336</v>
      </c>
      <c r="M272" s="14">
        <v>16761.45</v>
      </c>
      <c r="N272" s="15">
        <v>0.90033034323467798</v>
      </c>
      <c r="O272" t="str">
        <f>IFERROR(VLOOKUP($I272,CHOOSE({1,2},'[1]DIRETORES NTE'!$H$5:$H$31,'[1]DIRETORES NTE'!$E$5:$E$31,),2,0),"-")</f>
        <v>-</v>
      </c>
    </row>
    <row r="273" spans="1:15" x14ac:dyDescent="0.25">
      <c r="A273" s="10">
        <v>271</v>
      </c>
      <c r="B273" s="11">
        <v>5</v>
      </c>
      <c r="C273" s="11" t="s">
        <v>40</v>
      </c>
      <c r="D273" s="11">
        <v>1111436</v>
      </c>
      <c r="E273" s="11">
        <v>29303125</v>
      </c>
      <c r="F273" s="12" t="s">
        <v>1053</v>
      </c>
      <c r="G273" s="11" t="s">
        <v>1054</v>
      </c>
      <c r="H273" t="s">
        <v>1055</v>
      </c>
      <c r="I273" s="13">
        <v>98890417587</v>
      </c>
      <c r="J273" s="14">
        <v>3429</v>
      </c>
      <c r="K273" s="14">
        <v>3429</v>
      </c>
      <c r="L273" s="10" t="s">
        <v>44</v>
      </c>
      <c r="M273" s="14">
        <v>0</v>
      </c>
      <c r="N273" s="15">
        <v>0</v>
      </c>
      <c r="O273" t="str">
        <f>IFERROR(VLOOKUP($I273,CHOOSE({1,2},'[1]DIRETORES NTE'!$H$5:$H$31,'[1]DIRETORES NTE'!$E$5:$E$31,),2,0),"-")</f>
        <v>-</v>
      </c>
    </row>
    <row r="274" spans="1:15" x14ac:dyDescent="0.25">
      <c r="A274" s="10">
        <v>272</v>
      </c>
      <c r="B274" s="11">
        <v>26</v>
      </c>
      <c r="C274" s="11" t="s">
        <v>95</v>
      </c>
      <c r="D274" s="11">
        <v>1100418</v>
      </c>
      <c r="E274" s="11">
        <v>29189080</v>
      </c>
      <c r="F274" s="12" t="s">
        <v>1056</v>
      </c>
      <c r="G274" s="11" t="s">
        <v>1057</v>
      </c>
      <c r="H274" t="s">
        <v>1058</v>
      </c>
      <c r="I274" s="13">
        <v>21675325553</v>
      </c>
      <c r="J274" s="14">
        <v>8259</v>
      </c>
      <c r="K274" s="14">
        <v>259</v>
      </c>
      <c r="L274" s="10" t="s">
        <v>99</v>
      </c>
      <c r="M274" s="14">
        <v>8000</v>
      </c>
      <c r="N274" s="15">
        <v>0.96864027121927598</v>
      </c>
      <c r="O274" t="str">
        <f>IFERROR(VLOOKUP($I274,CHOOSE({1,2},'[1]DIRETORES NTE'!$H$5:$H$31,'[1]DIRETORES NTE'!$E$5:$E$31,),2,0),"-")</f>
        <v>-</v>
      </c>
    </row>
    <row r="275" spans="1:15" x14ac:dyDescent="0.25">
      <c r="A275" s="10">
        <v>273</v>
      </c>
      <c r="B275" s="11">
        <v>26</v>
      </c>
      <c r="C275" s="11" t="s">
        <v>95</v>
      </c>
      <c r="D275" s="11">
        <v>1102445</v>
      </c>
      <c r="E275" s="11">
        <v>29191009</v>
      </c>
      <c r="F275" s="12" t="s">
        <v>1059</v>
      </c>
      <c r="G275" s="11" t="s">
        <v>1060</v>
      </c>
      <c r="H275" t="s">
        <v>1061</v>
      </c>
      <c r="I275" s="13">
        <v>38010828572</v>
      </c>
      <c r="J275" s="14">
        <v>11260</v>
      </c>
      <c r="K275" s="14">
        <v>943.83</v>
      </c>
      <c r="L275" s="10" t="s">
        <v>99</v>
      </c>
      <c r="M275" s="14">
        <v>10316.17</v>
      </c>
      <c r="N275" s="15">
        <v>0.91617850799289524</v>
      </c>
      <c r="O275" t="str">
        <f>IFERROR(VLOOKUP($I275,CHOOSE({1,2},'[1]DIRETORES NTE'!$H$5:$H$31,'[1]DIRETORES NTE'!$E$5:$E$31,),2,0),"-")</f>
        <v>-</v>
      </c>
    </row>
    <row r="276" spans="1:15" x14ac:dyDescent="0.25">
      <c r="A276" s="10">
        <v>274</v>
      </c>
      <c r="B276" s="11">
        <v>10</v>
      </c>
      <c r="C276" s="11" t="s">
        <v>16</v>
      </c>
      <c r="D276" s="11">
        <v>1120311</v>
      </c>
      <c r="E276" s="11">
        <v>29025028</v>
      </c>
      <c r="F276" s="12" t="s">
        <v>1062</v>
      </c>
      <c r="G276" s="11" t="s">
        <v>1063</v>
      </c>
      <c r="H276" t="s">
        <v>1064</v>
      </c>
      <c r="I276" s="13">
        <v>74775413449</v>
      </c>
      <c r="J276" s="14">
        <v>14399</v>
      </c>
      <c r="K276" s="14">
        <v>14399</v>
      </c>
      <c r="L276" s="10" t="s">
        <v>21</v>
      </c>
      <c r="M276" s="14">
        <v>0</v>
      </c>
      <c r="N276" s="15">
        <v>0</v>
      </c>
      <c r="O276" t="str">
        <f>IFERROR(VLOOKUP($I276,CHOOSE({1,2},'[1]DIRETORES NTE'!$H$5:$H$31,'[1]DIRETORES NTE'!$E$5:$E$31,),2,0),"-")</f>
        <v>-</v>
      </c>
    </row>
    <row r="277" spans="1:15" x14ac:dyDescent="0.25">
      <c r="A277" s="10">
        <v>275</v>
      </c>
      <c r="B277" s="11">
        <v>5</v>
      </c>
      <c r="C277" s="11" t="s">
        <v>40</v>
      </c>
      <c r="D277" s="11">
        <v>1179275</v>
      </c>
      <c r="E277" s="11">
        <v>29462266</v>
      </c>
      <c r="F277" s="12" t="s">
        <v>1065</v>
      </c>
      <c r="G277" s="11" t="s">
        <v>1066</v>
      </c>
      <c r="H277" t="s">
        <v>1067</v>
      </c>
      <c r="I277" s="13">
        <v>27366421553</v>
      </c>
      <c r="J277" s="14">
        <v>5933</v>
      </c>
      <c r="K277" s="14">
        <v>5933</v>
      </c>
      <c r="L277" s="10" t="s">
        <v>44</v>
      </c>
      <c r="M277" s="14">
        <v>0</v>
      </c>
      <c r="N277" s="15">
        <v>0</v>
      </c>
      <c r="O277" t="str">
        <f>IFERROR(VLOOKUP($I277,CHOOSE({1,2},'[1]DIRETORES NTE'!$H$5:$H$31,'[1]DIRETORES NTE'!$E$5:$E$31,),2,0),"-")</f>
        <v>-</v>
      </c>
    </row>
    <row r="278" spans="1:15" x14ac:dyDescent="0.25">
      <c r="A278" s="10">
        <v>276</v>
      </c>
      <c r="B278" s="11">
        <v>5</v>
      </c>
      <c r="C278" s="11" t="s">
        <v>209</v>
      </c>
      <c r="D278" s="11">
        <v>1177091</v>
      </c>
      <c r="E278" s="11">
        <v>29424020</v>
      </c>
      <c r="F278" s="12" t="s">
        <v>649</v>
      </c>
      <c r="G278" s="11" t="s">
        <v>1068</v>
      </c>
      <c r="H278" t="s">
        <v>1069</v>
      </c>
      <c r="I278" s="13">
        <v>57872740591</v>
      </c>
      <c r="J278" s="14">
        <v>14360</v>
      </c>
      <c r="K278" s="14">
        <v>14360</v>
      </c>
      <c r="L278" s="10" t="s">
        <v>44</v>
      </c>
      <c r="M278" s="14">
        <v>0</v>
      </c>
      <c r="N278" s="15">
        <v>0</v>
      </c>
      <c r="O278" t="str">
        <f>IFERROR(VLOOKUP($I278,CHOOSE({1,2},'[1]DIRETORES NTE'!$H$5:$H$31,'[1]DIRETORES NTE'!$E$5:$E$31,),2,0),"-")</f>
        <v>-</v>
      </c>
    </row>
    <row r="279" spans="1:15" x14ac:dyDescent="0.25">
      <c r="A279" s="10">
        <v>277</v>
      </c>
      <c r="B279" s="11">
        <v>21</v>
      </c>
      <c r="C279" s="11" t="s">
        <v>1070</v>
      </c>
      <c r="D279" s="11">
        <v>1138954</v>
      </c>
      <c r="E279" s="11">
        <v>29174546</v>
      </c>
      <c r="F279" s="12" t="s">
        <v>1071</v>
      </c>
      <c r="G279" s="11" t="s">
        <v>1072</v>
      </c>
      <c r="H279" t="s">
        <v>1073</v>
      </c>
      <c r="I279" s="13">
        <v>63457849587</v>
      </c>
      <c r="J279" s="14">
        <v>12141</v>
      </c>
      <c r="K279" s="14">
        <v>12141</v>
      </c>
      <c r="L279" s="10" t="s">
        <v>63</v>
      </c>
      <c r="M279" s="14">
        <v>0</v>
      </c>
      <c r="N279" s="15">
        <v>0</v>
      </c>
      <c r="O279" t="str">
        <f>IFERROR(VLOOKUP($I279,CHOOSE({1,2},'[1]DIRETORES NTE'!$H$5:$H$31,'[1]DIRETORES NTE'!$E$5:$E$31,),2,0),"-")</f>
        <v>-</v>
      </c>
    </row>
    <row r="280" spans="1:15" x14ac:dyDescent="0.25">
      <c r="A280" s="10">
        <v>278</v>
      </c>
      <c r="B280" s="11">
        <v>26</v>
      </c>
      <c r="C280" s="11" t="s">
        <v>95</v>
      </c>
      <c r="D280" s="11">
        <v>1101759</v>
      </c>
      <c r="E280" s="11">
        <v>29187877</v>
      </c>
      <c r="F280" s="12" t="s">
        <v>1074</v>
      </c>
      <c r="G280" s="11" t="s">
        <v>1075</v>
      </c>
      <c r="H280" t="s">
        <v>1076</v>
      </c>
      <c r="I280" s="13">
        <v>88071480568</v>
      </c>
      <c r="J280" s="14">
        <v>6225</v>
      </c>
      <c r="K280" s="14">
        <v>6225</v>
      </c>
      <c r="L280" s="10" t="s">
        <v>99</v>
      </c>
      <c r="M280" s="14">
        <v>0</v>
      </c>
      <c r="N280" s="15">
        <v>0</v>
      </c>
      <c r="O280" t="str">
        <f>IFERROR(VLOOKUP($I280,CHOOSE({1,2},'[1]DIRETORES NTE'!$H$5:$H$31,'[1]DIRETORES NTE'!$E$5:$E$31,),2,0),"-")</f>
        <v>-</v>
      </c>
    </row>
    <row r="281" spans="1:15" x14ac:dyDescent="0.25">
      <c r="A281" s="10">
        <v>279</v>
      </c>
      <c r="B281" s="11">
        <v>16</v>
      </c>
      <c r="C281" s="11" t="s">
        <v>1077</v>
      </c>
      <c r="D281" s="11">
        <v>1122365</v>
      </c>
      <c r="E281" s="11">
        <v>29073324</v>
      </c>
      <c r="F281" s="12" t="s">
        <v>1078</v>
      </c>
      <c r="G281" s="11" t="s">
        <v>1079</v>
      </c>
      <c r="H281" t="s">
        <v>1080</v>
      </c>
      <c r="I281" s="13">
        <v>59415428520</v>
      </c>
      <c r="J281" s="14">
        <v>8547</v>
      </c>
      <c r="K281" s="14">
        <v>6020.09</v>
      </c>
      <c r="L281" s="10" t="s">
        <v>74</v>
      </c>
      <c r="M281" s="14">
        <v>2526.91</v>
      </c>
      <c r="N281" s="15">
        <v>0.29564876564876563</v>
      </c>
      <c r="O281" t="str">
        <f>IFERROR(VLOOKUP($I281,CHOOSE({1,2},'[1]DIRETORES NTE'!$H$5:$H$31,'[1]DIRETORES NTE'!$E$5:$E$31,),2,0),"-")</f>
        <v>-</v>
      </c>
    </row>
    <row r="282" spans="1:15" x14ac:dyDescent="0.25">
      <c r="A282" s="10">
        <v>280</v>
      </c>
      <c r="B282" s="11">
        <v>14</v>
      </c>
      <c r="C282" s="11" t="s">
        <v>1081</v>
      </c>
      <c r="D282" s="11">
        <v>1178016</v>
      </c>
      <c r="E282" s="11">
        <v>29426960</v>
      </c>
      <c r="F282" s="12" t="s">
        <v>1082</v>
      </c>
      <c r="G282" s="11" t="s">
        <v>1083</v>
      </c>
      <c r="H282" t="s">
        <v>1084</v>
      </c>
      <c r="I282" s="13">
        <v>93723016553</v>
      </c>
      <c r="J282" s="14">
        <v>8273</v>
      </c>
      <c r="K282" s="14">
        <v>73</v>
      </c>
      <c r="L282" s="10" t="s">
        <v>147</v>
      </c>
      <c r="M282" s="14">
        <v>8200</v>
      </c>
      <c r="N282" s="15">
        <v>0.99117611507312942</v>
      </c>
      <c r="O282" t="str">
        <f>IFERROR(VLOOKUP($I282,CHOOSE({1,2},'[1]DIRETORES NTE'!$H$5:$H$31,'[1]DIRETORES NTE'!$E$5:$E$31,),2,0),"-")</f>
        <v>-</v>
      </c>
    </row>
    <row r="283" spans="1:15" x14ac:dyDescent="0.25">
      <c r="A283" s="10">
        <v>281</v>
      </c>
      <c r="B283" s="11">
        <v>19</v>
      </c>
      <c r="C283" s="11" t="s">
        <v>331</v>
      </c>
      <c r="D283" s="11">
        <v>1106742</v>
      </c>
      <c r="E283" s="11">
        <v>29093279</v>
      </c>
      <c r="F283" s="12" t="s">
        <v>244</v>
      </c>
      <c r="G283" s="11" t="s">
        <v>1085</v>
      </c>
      <c r="H283" t="s">
        <v>1086</v>
      </c>
      <c r="I283" s="13">
        <v>52676412515</v>
      </c>
      <c r="J283" s="14">
        <v>21715</v>
      </c>
      <c r="K283" s="14">
        <v>21715</v>
      </c>
      <c r="L283" s="10" t="s">
        <v>336</v>
      </c>
      <c r="M283" s="14">
        <v>0</v>
      </c>
      <c r="N283" s="15">
        <v>0</v>
      </c>
      <c r="O283" t="str">
        <f>IFERROR(VLOOKUP($I283,CHOOSE({1,2},'[1]DIRETORES NTE'!$H$5:$H$31,'[1]DIRETORES NTE'!$E$5:$E$31,),2,0),"-")</f>
        <v>-</v>
      </c>
    </row>
    <row r="284" spans="1:15" x14ac:dyDescent="0.25">
      <c r="A284" s="10">
        <v>282</v>
      </c>
      <c r="B284" s="11">
        <v>26</v>
      </c>
      <c r="C284" s="11" t="s">
        <v>95</v>
      </c>
      <c r="D284" s="11">
        <v>1176387</v>
      </c>
      <c r="E284" s="11">
        <v>29382017</v>
      </c>
      <c r="F284" s="12" t="s">
        <v>1087</v>
      </c>
      <c r="G284" s="11" t="s">
        <v>1088</v>
      </c>
      <c r="H284" t="s">
        <v>1089</v>
      </c>
      <c r="I284" s="13">
        <v>62960709500</v>
      </c>
      <c r="J284" s="14">
        <v>10707</v>
      </c>
      <c r="K284" s="14">
        <v>10707</v>
      </c>
      <c r="L284" s="10" t="s">
        <v>99</v>
      </c>
      <c r="M284" s="14">
        <v>0</v>
      </c>
      <c r="N284" s="15">
        <v>0</v>
      </c>
      <c r="O284" t="str">
        <f>IFERROR(VLOOKUP($I284,CHOOSE({1,2},'[1]DIRETORES NTE'!$H$5:$H$31,'[1]DIRETORES NTE'!$E$5:$E$31,),2,0),"-")</f>
        <v>-</v>
      </c>
    </row>
    <row r="285" spans="1:15" x14ac:dyDescent="0.25">
      <c r="A285" s="10">
        <v>283</v>
      </c>
      <c r="B285" s="11">
        <v>19</v>
      </c>
      <c r="C285" s="11" t="s">
        <v>331</v>
      </c>
      <c r="D285" s="11">
        <v>1176423</v>
      </c>
      <c r="E285" s="11">
        <v>29387736</v>
      </c>
      <c r="F285" s="12" t="s">
        <v>649</v>
      </c>
      <c r="G285" s="11" t="s">
        <v>1090</v>
      </c>
      <c r="H285" t="s">
        <v>1091</v>
      </c>
      <c r="I285" s="13">
        <v>34500480587</v>
      </c>
      <c r="J285" s="14">
        <v>24100</v>
      </c>
      <c r="K285" s="14">
        <v>2173.61</v>
      </c>
      <c r="L285" s="10" t="s">
        <v>336</v>
      </c>
      <c r="M285" s="14">
        <v>21926.39</v>
      </c>
      <c r="N285" s="15">
        <v>0.90980871369294603</v>
      </c>
      <c r="O285" t="str">
        <f>IFERROR(VLOOKUP($I285,CHOOSE({1,2},'[1]DIRETORES NTE'!$H$5:$H$31,'[1]DIRETORES NTE'!$E$5:$E$31,),2,0),"-")</f>
        <v>-</v>
      </c>
    </row>
    <row r="286" spans="1:15" x14ac:dyDescent="0.25">
      <c r="A286" s="10">
        <v>284</v>
      </c>
      <c r="B286" s="11">
        <v>26</v>
      </c>
      <c r="C286" s="11" t="s">
        <v>95</v>
      </c>
      <c r="D286" s="11">
        <v>1101546</v>
      </c>
      <c r="E286" s="11">
        <v>29189950</v>
      </c>
      <c r="F286" s="12" t="s">
        <v>1092</v>
      </c>
      <c r="G286" s="11" t="s">
        <v>1093</v>
      </c>
      <c r="H286" t="s">
        <v>1094</v>
      </c>
      <c r="I286" s="13">
        <v>91351910582</v>
      </c>
      <c r="J286" s="14">
        <v>3390</v>
      </c>
      <c r="K286" s="14">
        <v>0.02</v>
      </c>
      <c r="L286" s="10" t="s">
        <v>99</v>
      </c>
      <c r="M286" s="14">
        <v>3389.98</v>
      </c>
      <c r="N286" s="15">
        <v>0.99999410029498526</v>
      </c>
      <c r="O286" t="str">
        <f>IFERROR(VLOOKUP($I286,CHOOSE({1,2},'[1]DIRETORES NTE'!$H$5:$H$31,'[1]DIRETORES NTE'!$E$5:$E$31,),2,0),"-")</f>
        <v>-</v>
      </c>
    </row>
    <row r="287" spans="1:15" x14ac:dyDescent="0.25">
      <c r="A287" s="10">
        <v>285</v>
      </c>
      <c r="B287" s="11">
        <v>11</v>
      </c>
      <c r="C287" s="11" t="s">
        <v>1095</v>
      </c>
      <c r="D287" s="11">
        <v>1177102</v>
      </c>
      <c r="E287" s="11">
        <v>29427550</v>
      </c>
      <c r="F287" s="12" t="s">
        <v>1096</v>
      </c>
      <c r="G287" s="11" t="s">
        <v>1097</v>
      </c>
      <c r="H287" t="s">
        <v>1098</v>
      </c>
      <c r="I287" s="13">
        <v>61566802504</v>
      </c>
      <c r="J287" s="14">
        <v>17716</v>
      </c>
      <c r="K287" s="14">
        <v>17716</v>
      </c>
      <c r="L287" s="10" t="s">
        <v>39</v>
      </c>
      <c r="M287" s="14">
        <v>0</v>
      </c>
      <c r="N287" s="15">
        <v>0</v>
      </c>
      <c r="O287" t="str">
        <f>IFERROR(VLOOKUP($I287,CHOOSE({1,2},'[1]DIRETORES NTE'!$H$5:$H$31,'[1]DIRETORES NTE'!$E$5:$E$31,),2,0),"-")</f>
        <v>-</v>
      </c>
    </row>
    <row r="288" spans="1:15" x14ac:dyDescent="0.25">
      <c r="A288" s="10">
        <v>286</v>
      </c>
      <c r="B288" s="11">
        <v>24</v>
      </c>
      <c r="C288" s="11" t="s">
        <v>1099</v>
      </c>
      <c r="D288" s="11">
        <v>1179123</v>
      </c>
      <c r="E288" s="11">
        <v>29354536</v>
      </c>
      <c r="F288" s="12" t="s">
        <v>1100</v>
      </c>
      <c r="G288" s="11" t="s">
        <v>1101</v>
      </c>
      <c r="H288" t="s">
        <v>1102</v>
      </c>
      <c r="I288" s="13" t="s">
        <v>1103</v>
      </c>
      <c r="J288" s="14">
        <v>5959</v>
      </c>
      <c r="K288" s="14">
        <v>5959</v>
      </c>
      <c r="L288" s="10" t="s">
        <v>266</v>
      </c>
      <c r="M288" s="14">
        <v>0</v>
      </c>
      <c r="N288" s="15">
        <v>0</v>
      </c>
      <c r="O288" t="str">
        <f>IFERROR(VLOOKUP($I288,CHOOSE({1,2},'[1]DIRETORES NTE'!$H$5:$H$31,'[1]DIRETORES NTE'!$E$5:$E$31,),2,0),"-")</f>
        <v>-</v>
      </c>
    </row>
    <row r="289" spans="1:15" x14ac:dyDescent="0.25">
      <c r="A289" s="10">
        <v>287</v>
      </c>
      <c r="B289" s="11">
        <v>25</v>
      </c>
      <c r="C289" s="11" t="s">
        <v>385</v>
      </c>
      <c r="D289" s="11">
        <v>1164602</v>
      </c>
      <c r="E289" s="11">
        <v>29055385</v>
      </c>
      <c r="F289" s="12" t="s">
        <v>1104</v>
      </c>
      <c r="G289" s="11" t="s">
        <v>1105</v>
      </c>
      <c r="H289" t="s">
        <v>1106</v>
      </c>
      <c r="I289" s="13" t="s">
        <v>1107</v>
      </c>
      <c r="J289" s="14">
        <v>32298</v>
      </c>
      <c r="K289" s="14">
        <v>3978.41</v>
      </c>
      <c r="L289" s="10" t="s">
        <v>80</v>
      </c>
      <c r="M289" s="14">
        <v>28319.59</v>
      </c>
      <c r="N289" s="15">
        <v>0.87682178463062732</v>
      </c>
      <c r="O289" t="str">
        <f>IFERROR(VLOOKUP($I289,CHOOSE({1,2},'[1]DIRETORES NTE'!$H$5:$H$31,'[1]DIRETORES NTE'!$E$5:$E$31,),2,0),"-")</f>
        <v>-</v>
      </c>
    </row>
    <row r="290" spans="1:15" x14ac:dyDescent="0.25">
      <c r="A290" s="10">
        <v>288</v>
      </c>
      <c r="B290" s="11">
        <v>6</v>
      </c>
      <c r="C290" s="11" t="s">
        <v>1108</v>
      </c>
      <c r="D290" s="11">
        <v>1178010</v>
      </c>
      <c r="E290" s="11">
        <v>29423503</v>
      </c>
      <c r="F290" s="12" t="s">
        <v>1109</v>
      </c>
      <c r="G290" s="11" t="s">
        <v>1110</v>
      </c>
      <c r="H290" t="s">
        <v>1111</v>
      </c>
      <c r="I290" s="13">
        <v>75401770553</v>
      </c>
      <c r="J290" s="14">
        <v>12682</v>
      </c>
      <c r="K290" s="14">
        <v>12682</v>
      </c>
      <c r="L290" s="10" t="s">
        <v>49</v>
      </c>
      <c r="M290" s="14">
        <v>0</v>
      </c>
      <c r="N290" s="15">
        <v>0</v>
      </c>
      <c r="O290" t="str">
        <f>IFERROR(VLOOKUP($I290,CHOOSE({1,2},'[1]DIRETORES NTE'!$H$5:$H$31,'[1]DIRETORES NTE'!$E$5:$E$31,),2,0),"-")</f>
        <v>-</v>
      </c>
    </row>
    <row r="291" spans="1:15" x14ac:dyDescent="0.25">
      <c r="A291" s="10">
        <v>289</v>
      </c>
      <c r="B291" s="11">
        <v>21</v>
      </c>
      <c r="C291" s="11" t="s">
        <v>761</v>
      </c>
      <c r="D291" s="11">
        <v>1178001</v>
      </c>
      <c r="E291" s="11">
        <v>29417287</v>
      </c>
      <c r="F291" s="12" t="s">
        <v>1112</v>
      </c>
      <c r="G291" s="11" t="s">
        <v>1113</v>
      </c>
      <c r="H291" t="s">
        <v>1114</v>
      </c>
      <c r="I291" s="13">
        <v>64968944500</v>
      </c>
      <c r="J291" s="14">
        <v>6756</v>
      </c>
      <c r="K291" s="14">
        <v>6756</v>
      </c>
      <c r="L291" s="10" t="s">
        <v>63</v>
      </c>
      <c r="M291" s="14">
        <v>0</v>
      </c>
      <c r="N291" s="15">
        <v>0</v>
      </c>
      <c r="O291" t="str">
        <f>IFERROR(VLOOKUP($I291,CHOOSE({1,2},'[1]DIRETORES NTE'!$H$5:$H$31,'[1]DIRETORES NTE'!$E$5:$E$31,),2,0),"-")</f>
        <v>-</v>
      </c>
    </row>
    <row r="292" spans="1:15" x14ac:dyDescent="0.25">
      <c r="A292" s="10">
        <v>290</v>
      </c>
      <c r="B292" s="11">
        <v>3</v>
      </c>
      <c r="C292" s="11" t="s">
        <v>1115</v>
      </c>
      <c r="D292" s="11">
        <v>1176457</v>
      </c>
      <c r="E292" s="11">
        <v>29390869</v>
      </c>
      <c r="F292" s="12" t="s">
        <v>1116</v>
      </c>
      <c r="G292" s="11" t="s">
        <v>1117</v>
      </c>
      <c r="H292" t="s">
        <v>1118</v>
      </c>
      <c r="I292" s="13">
        <v>43396739515</v>
      </c>
      <c r="J292" s="14">
        <v>18868</v>
      </c>
      <c r="K292" s="14">
        <v>18868</v>
      </c>
      <c r="L292" s="10" t="s">
        <v>117</v>
      </c>
      <c r="M292" s="14">
        <v>0</v>
      </c>
      <c r="N292" s="15">
        <v>0</v>
      </c>
      <c r="O292" t="str">
        <f>IFERROR(VLOOKUP($I292,CHOOSE({1,2},'[1]DIRETORES NTE'!$H$5:$H$31,'[1]DIRETORES NTE'!$E$5:$E$31,),2,0),"-")</f>
        <v>-</v>
      </c>
    </row>
    <row r="293" spans="1:15" x14ac:dyDescent="0.25">
      <c r="A293" s="10">
        <v>291</v>
      </c>
      <c r="B293" s="11">
        <v>11</v>
      </c>
      <c r="C293" s="11" t="s">
        <v>1095</v>
      </c>
      <c r="D293" s="11">
        <v>1171390</v>
      </c>
      <c r="E293" s="11">
        <v>29379423</v>
      </c>
      <c r="F293" s="12" t="s">
        <v>1119</v>
      </c>
      <c r="G293" s="11" t="s">
        <v>1120</v>
      </c>
      <c r="H293" t="s">
        <v>1121</v>
      </c>
      <c r="I293" s="13">
        <v>36926302553</v>
      </c>
      <c r="J293" s="14">
        <v>22321</v>
      </c>
      <c r="K293" s="14">
        <v>22321</v>
      </c>
      <c r="L293" s="10" t="s">
        <v>39</v>
      </c>
      <c r="M293" s="14">
        <v>0</v>
      </c>
      <c r="N293" s="15">
        <v>0</v>
      </c>
      <c r="O293" t="str">
        <f>IFERROR(VLOOKUP($I293,CHOOSE({1,2},'[1]DIRETORES NTE'!$H$5:$H$31,'[1]DIRETORES NTE'!$E$5:$E$31,),2,0),"-")</f>
        <v>-</v>
      </c>
    </row>
    <row r="294" spans="1:15" x14ac:dyDescent="0.25">
      <c r="A294" s="10">
        <v>292</v>
      </c>
      <c r="B294" s="11">
        <v>26</v>
      </c>
      <c r="C294" s="11" t="s">
        <v>95</v>
      </c>
      <c r="D294" s="11">
        <v>1101031</v>
      </c>
      <c r="E294" s="11">
        <v>29182093</v>
      </c>
      <c r="F294" s="12" t="s">
        <v>1122</v>
      </c>
      <c r="G294" s="11" t="s">
        <v>1123</v>
      </c>
      <c r="H294" t="s">
        <v>1124</v>
      </c>
      <c r="I294" s="13">
        <v>50685015572</v>
      </c>
      <c r="J294" s="14">
        <v>4525</v>
      </c>
      <c r="K294" s="14">
        <v>4525</v>
      </c>
      <c r="L294" s="10" t="s">
        <v>99</v>
      </c>
      <c r="M294" s="14">
        <v>0</v>
      </c>
      <c r="N294" s="15">
        <v>0</v>
      </c>
      <c r="O294" t="str">
        <f>IFERROR(VLOOKUP($I294,CHOOSE({1,2},'[1]DIRETORES NTE'!$H$5:$H$31,'[1]DIRETORES NTE'!$E$5:$E$31,),2,0),"-")</f>
        <v>-</v>
      </c>
    </row>
    <row r="295" spans="1:15" x14ac:dyDescent="0.25">
      <c r="A295" s="10">
        <v>293</v>
      </c>
      <c r="B295" s="11">
        <v>5</v>
      </c>
      <c r="C295" s="11" t="s">
        <v>1125</v>
      </c>
      <c r="D295" s="11">
        <v>1112602</v>
      </c>
      <c r="E295" s="11">
        <v>29310512</v>
      </c>
      <c r="F295" s="12" t="s">
        <v>1126</v>
      </c>
      <c r="G295" s="11" t="s">
        <v>1127</v>
      </c>
      <c r="H295" t="s">
        <v>1128</v>
      </c>
      <c r="I295" s="13" t="s">
        <v>1129</v>
      </c>
      <c r="J295" s="14">
        <v>3563</v>
      </c>
      <c r="K295" s="14">
        <v>3563</v>
      </c>
      <c r="L295" s="10" t="s">
        <v>44</v>
      </c>
      <c r="M295" s="14">
        <v>0</v>
      </c>
      <c r="N295" s="15">
        <v>0</v>
      </c>
      <c r="O295" t="str">
        <f>IFERROR(VLOOKUP($I295,CHOOSE({1,2},'[1]DIRETORES NTE'!$H$5:$H$31,'[1]DIRETORES NTE'!$E$5:$E$31,),2,0),"-")</f>
        <v>-</v>
      </c>
    </row>
    <row r="296" spans="1:15" x14ac:dyDescent="0.25">
      <c r="A296" s="10">
        <v>294</v>
      </c>
      <c r="B296" s="11">
        <v>15</v>
      </c>
      <c r="C296" s="11" t="s">
        <v>1130</v>
      </c>
      <c r="D296" s="11">
        <v>1122306</v>
      </c>
      <c r="E296" s="11">
        <v>29079934</v>
      </c>
      <c r="F296" s="12" t="s">
        <v>1131</v>
      </c>
      <c r="G296" s="11" t="s">
        <v>1132</v>
      </c>
      <c r="H296" t="s">
        <v>1133</v>
      </c>
      <c r="I296" s="13" t="s">
        <v>1134</v>
      </c>
      <c r="J296" s="14">
        <v>5784</v>
      </c>
      <c r="K296" s="14">
        <v>5784</v>
      </c>
      <c r="L296" s="10" t="s">
        <v>280</v>
      </c>
      <c r="M296" s="14">
        <v>0</v>
      </c>
      <c r="N296" s="15">
        <v>0</v>
      </c>
      <c r="O296" t="str">
        <f>IFERROR(VLOOKUP($I296,CHOOSE({1,2},'[1]DIRETORES NTE'!$H$5:$H$31,'[1]DIRETORES NTE'!$E$5:$E$31,),2,0),"-")</f>
        <v>-</v>
      </c>
    </row>
    <row r="297" spans="1:15" x14ac:dyDescent="0.25">
      <c r="A297" s="10">
        <v>295</v>
      </c>
      <c r="B297" s="11">
        <v>26</v>
      </c>
      <c r="C297" s="11" t="s">
        <v>289</v>
      </c>
      <c r="D297" s="11">
        <v>1176364</v>
      </c>
      <c r="E297" s="11">
        <v>29359635</v>
      </c>
      <c r="F297" s="12" t="s">
        <v>1135</v>
      </c>
      <c r="G297" s="11" t="s">
        <v>1136</v>
      </c>
      <c r="H297" t="s">
        <v>1137</v>
      </c>
      <c r="I297" s="13">
        <v>89727592520</v>
      </c>
      <c r="J297" s="14">
        <v>14387</v>
      </c>
      <c r="K297" s="14">
        <v>0.2</v>
      </c>
      <c r="L297" s="10" t="s">
        <v>99</v>
      </c>
      <c r="M297" s="14">
        <v>14386.8</v>
      </c>
      <c r="N297" s="15">
        <v>0.99998609856120102</v>
      </c>
      <c r="O297" t="str">
        <f>IFERROR(VLOOKUP($I297,CHOOSE({1,2},'[1]DIRETORES NTE'!$H$5:$H$31,'[1]DIRETORES NTE'!$E$5:$E$31,),2,0),"-")</f>
        <v>-</v>
      </c>
    </row>
    <row r="298" spans="1:15" x14ac:dyDescent="0.25">
      <c r="A298" s="10">
        <v>296</v>
      </c>
      <c r="B298" s="11">
        <v>14</v>
      </c>
      <c r="C298" s="11" t="s">
        <v>1138</v>
      </c>
      <c r="D298" s="11">
        <v>1123531</v>
      </c>
      <c r="E298" s="11">
        <v>29084784</v>
      </c>
      <c r="F298" s="12" t="s">
        <v>1139</v>
      </c>
      <c r="G298" s="11" t="s">
        <v>1140</v>
      </c>
      <c r="H298" t="s">
        <v>1141</v>
      </c>
      <c r="I298" s="13">
        <v>93609035587</v>
      </c>
      <c r="J298" s="14">
        <v>3456</v>
      </c>
      <c r="K298" s="14">
        <v>3456</v>
      </c>
      <c r="L298" s="10" t="s">
        <v>147</v>
      </c>
      <c r="M298" s="14">
        <v>0</v>
      </c>
      <c r="N298" s="15">
        <v>0</v>
      </c>
      <c r="O298" t="str">
        <f>IFERROR(VLOOKUP($I298,CHOOSE({1,2},'[1]DIRETORES NTE'!$H$5:$H$31,'[1]DIRETORES NTE'!$E$5:$E$31,),2,0),"-")</f>
        <v>-</v>
      </c>
    </row>
    <row r="299" spans="1:15" x14ac:dyDescent="0.25">
      <c r="A299" s="10">
        <v>297</v>
      </c>
      <c r="B299" s="11">
        <v>26</v>
      </c>
      <c r="C299" s="11" t="s">
        <v>95</v>
      </c>
      <c r="D299" s="11">
        <v>1101856</v>
      </c>
      <c r="E299" s="11">
        <v>29181470</v>
      </c>
      <c r="F299" s="12" t="s">
        <v>1142</v>
      </c>
      <c r="G299" s="11" t="s">
        <v>1143</v>
      </c>
      <c r="H299" t="s">
        <v>1144</v>
      </c>
      <c r="I299" s="13">
        <v>29629047500</v>
      </c>
      <c r="J299" s="14">
        <v>18010</v>
      </c>
      <c r="K299" s="14">
        <v>18010</v>
      </c>
      <c r="L299" s="10" t="s">
        <v>99</v>
      </c>
      <c r="M299" s="14">
        <v>0</v>
      </c>
      <c r="N299" s="15">
        <v>0</v>
      </c>
      <c r="O299" t="str">
        <f>IFERROR(VLOOKUP($I299,CHOOSE({1,2},'[1]DIRETORES NTE'!$H$5:$H$31,'[1]DIRETORES NTE'!$E$5:$E$31,),2,0),"-")</f>
        <v>-</v>
      </c>
    </row>
    <row r="300" spans="1:15" x14ac:dyDescent="0.25">
      <c r="A300" s="10">
        <v>298</v>
      </c>
      <c r="B300" s="11">
        <v>26</v>
      </c>
      <c r="C300" s="11" t="s">
        <v>95</v>
      </c>
      <c r="D300" s="11">
        <v>1104022</v>
      </c>
      <c r="E300" s="11">
        <v>29188431</v>
      </c>
      <c r="F300" s="12" t="s">
        <v>1145</v>
      </c>
      <c r="G300" s="11" t="s">
        <v>1146</v>
      </c>
      <c r="H300" t="s">
        <v>1147</v>
      </c>
      <c r="I300" s="13">
        <v>61556246587</v>
      </c>
      <c r="J300" s="14">
        <v>10185</v>
      </c>
      <c r="K300" s="14">
        <v>107.8</v>
      </c>
      <c r="L300" s="10" t="s">
        <v>99</v>
      </c>
      <c r="M300" s="14">
        <v>10077.200000000001</v>
      </c>
      <c r="N300" s="15">
        <v>0.98941580756013758</v>
      </c>
      <c r="O300" t="str">
        <f>IFERROR(VLOOKUP($I300,CHOOSE({1,2},'[1]DIRETORES NTE'!$H$5:$H$31,'[1]DIRETORES NTE'!$E$5:$E$31,),2,0),"-")</f>
        <v>-</v>
      </c>
    </row>
    <row r="301" spans="1:15" x14ac:dyDescent="0.25">
      <c r="A301" s="10">
        <v>299</v>
      </c>
      <c r="B301" s="11">
        <v>26</v>
      </c>
      <c r="C301" s="11" t="s">
        <v>95</v>
      </c>
      <c r="D301" s="11">
        <v>1176377</v>
      </c>
      <c r="E301" s="11">
        <v>29357861</v>
      </c>
      <c r="F301" s="12" t="s">
        <v>1148</v>
      </c>
      <c r="G301" s="11" t="s">
        <v>1149</v>
      </c>
      <c r="H301" t="s">
        <v>1150</v>
      </c>
      <c r="I301" s="13" t="s">
        <v>1151</v>
      </c>
      <c r="J301" s="14">
        <v>14088</v>
      </c>
      <c r="K301" s="14">
        <v>14088</v>
      </c>
      <c r="L301" s="10" t="s">
        <v>99</v>
      </c>
      <c r="M301" s="14">
        <v>0</v>
      </c>
      <c r="N301" s="15">
        <v>0</v>
      </c>
      <c r="O301" t="str">
        <f>IFERROR(VLOOKUP($I301,CHOOSE({1,2},'[1]DIRETORES NTE'!$H$5:$H$31,'[1]DIRETORES NTE'!$E$5:$E$31,),2,0),"-")</f>
        <v>-</v>
      </c>
    </row>
    <row r="302" spans="1:15" x14ac:dyDescent="0.25">
      <c r="A302" s="10">
        <v>300</v>
      </c>
      <c r="B302" s="11">
        <v>26</v>
      </c>
      <c r="C302" s="11" t="s">
        <v>95</v>
      </c>
      <c r="D302" s="11">
        <v>1146094</v>
      </c>
      <c r="E302" s="11">
        <v>29191343</v>
      </c>
      <c r="F302" s="12" t="s">
        <v>1152</v>
      </c>
      <c r="G302" s="11" t="s">
        <v>1153</v>
      </c>
      <c r="H302" t="s">
        <v>1154</v>
      </c>
      <c r="I302" s="13">
        <v>86003917504</v>
      </c>
      <c r="J302" s="14">
        <v>28693</v>
      </c>
      <c r="K302" s="14">
        <v>1162</v>
      </c>
      <c r="L302" s="10" t="s">
        <v>99</v>
      </c>
      <c r="M302" s="14">
        <v>27531</v>
      </c>
      <c r="N302" s="15">
        <v>0.9595023176384484</v>
      </c>
      <c r="O302" t="str">
        <f>IFERROR(VLOOKUP($I302,CHOOSE({1,2},'[1]DIRETORES NTE'!$H$5:$H$31,'[1]DIRETORES NTE'!$E$5:$E$31,),2,0),"-")</f>
        <v>-</v>
      </c>
    </row>
    <row r="303" spans="1:15" x14ac:dyDescent="0.25">
      <c r="A303" s="10">
        <v>301</v>
      </c>
      <c r="B303" s="11">
        <v>13</v>
      </c>
      <c r="C303" s="11" t="s">
        <v>1155</v>
      </c>
      <c r="D303" s="11">
        <v>1129432</v>
      </c>
      <c r="E303" s="11">
        <v>29254396</v>
      </c>
      <c r="F303" s="12" t="s">
        <v>1156</v>
      </c>
      <c r="G303" s="11" t="s">
        <v>1157</v>
      </c>
      <c r="H303" t="s">
        <v>1158</v>
      </c>
      <c r="I303" s="13">
        <v>99318768591</v>
      </c>
      <c r="J303" s="14">
        <v>4219</v>
      </c>
      <c r="K303" s="14">
        <v>4219</v>
      </c>
      <c r="L303" s="10" t="s">
        <v>33</v>
      </c>
      <c r="M303" s="14">
        <v>0</v>
      </c>
      <c r="N303" s="15">
        <v>0</v>
      </c>
      <c r="O303" t="str">
        <f>IFERROR(VLOOKUP($I303,CHOOSE({1,2},'[1]DIRETORES NTE'!$H$5:$H$31,'[1]DIRETORES NTE'!$E$5:$E$31,),2,0),"-")</f>
        <v>-</v>
      </c>
    </row>
    <row r="304" spans="1:15" x14ac:dyDescent="0.25">
      <c r="A304" s="10">
        <v>302</v>
      </c>
      <c r="B304" s="11" t="s">
        <v>237</v>
      </c>
      <c r="C304" s="11" t="s">
        <v>237</v>
      </c>
      <c r="D304" s="11" t="s">
        <v>237</v>
      </c>
      <c r="E304" s="11" t="s">
        <v>237</v>
      </c>
      <c r="F304" s="12" t="s">
        <v>237</v>
      </c>
      <c r="G304" s="11" t="s">
        <v>237</v>
      </c>
      <c r="H304" t="s">
        <v>1159</v>
      </c>
      <c r="I304" s="13">
        <v>42139805534</v>
      </c>
      <c r="J304" s="14">
        <v>0</v>
      </c>
      <c r="K304" s="14">
        <v>0</v>
      </c>
      <c r="L304" s="10" t="s">
        <v>117</v>
      </c>
      <c r="M304" s="14">
        <v>0</v>
      </c>
      <c r="N304" s="15" t="e">
        <v>#DIV/0!</v>
      </c>
      <c r="O304" t="str">
        <f>IFERROR(VLOOKUP($I304,CHOOSE({1,2},'[1]DIRETORES NTE'!$H$5:$H$31,'[1]DIRETORES NTE'!$E$5:$E$31,),2,0),"-")</f>
        <v>ELIZABETE GONCALVES DE SOUZA (DIRETOR DE NTE)</v>
      </c>
    </row>
    <row r="305" spans="1:15" x14ac:dyDescent="0.25">
      <c r="A305" s="10">
        <v>303</v>
      </c>
      <c r="B305" s="11">
        <v>12</v>
      </c>
      <c r="C305" s="11" t="s">
        <v>1160</v>
      </c>
      <c r="D305" s="11">
        <v>1165056</v>
      </c>
      <c r="E305" s="11">
        <v>29236606</v>
      </c>
      <c r="F305" s="12" t="s">
        <v>1161</v>
      </c>
      <c r="G305" s="11" t="s">
        <v>1162</v>
      </c>
      <c r="H305" t="s">
        <v>1163</v>
      </c>
      <c r="I305" s="13" t="s">
        <v>1164</v>
      </c>
      <c r="J305" s="14">
        <v>8177</v>
      </c>
      <c r="K305" s="14">
        <v>8177</v>
      </c>
      <c r="L305" s="10" t="s">
        <v>90</v>
      </c>
      <c r="M305" s="14">
        <v>0</v>
      </c>
      <c r="N305" s="15">
        <v>0</v>
      </c>
      <c r="O305" t="str">
        <f>IFERROR(VLOOKUP($I305,CHOOSE({1,2},'[1]DIRETORES NTE'!$H$5:$H$31,'[1]DIRETORES NTE'!$E$5:$E$31,),2,0),"-")</f>
        <v>-</v>
      </c>
    </row>
    <row r="306" spans="1:15" x14ac:dyDescent="0.25">
      <c r="A306" s="10">
        <v>304</v>
      </c>
      <c r="B306" s="11">
        <v>6</v>
      </c>
      <c r="C306" s="11" t="s">
        <v>1165</v>
      </c>
      <c r="D306" s="11">
        <v>1110251</v>
      </c>
      <c r="E306" s="11">
        <v>29287235</v>
      </c>
      <c r="F306" s="12" t="s">
        <v>1166</v>
      </c>
      <c r="G306" s="11" t="s">
        <v>1167</v>
      </c>
      <c r="H306" t="s">
        <v>1168</v>
      </c>
      <c r="I306" s="13">
        <v>93000197591</v>
      </c>
      <c r="J306" s="14">
        <v>11574</v>
      </c>
      <c r="K306" s="14">
        <v>11574</v>
      </c>
      <c r="L306" s="10" t="s">
        <v>49</v>
      </c>
      <c r="M306" s="14">
        <v>0</v>
      </c>
      <c r="N306" s="15">
        <v>0</v>
      </c>
      <c r="O306" t="str">
        <f>IFERROR(VLOOKUP($I306,CHOOSE({1,2},'[1]DIRETORES NTE'!$H$5:$H$31,'[1]DIRETORES NTE'!$E$5:$E$31,),2,0),"-")</f>
        <v>-</v>
      </c>
    </row>
    <row r="307" spans="1:15" x14ac:dyDescent="0.25">
      <c r="A307" s="10">
        <v>305</v>
      </c>
      <c r="B307" s="11">
        <v>5</v>
      </c>
      <c r="C307" s="11" t="s">
        <v>1169</v>
      </c>
      <c r="D307" s="11">
        <v>1176394</v>
      </c>
      <c r="E307" s="11">
        <v>29351502</v>
      </c>
      <c r="F307" s="12" t="s">
        <v>1170</v>
      </c>
      <c r="G307" s="11" t="s">
        <v>1171</v>
      </c>
      <c r="H307" t="s">
        <v>1172</v>
      </c>
      <c r="I307" s="13">
        <v>67349919549</v>
      </c>
      <c r="J307" s="14">
        <v>3975</v>
      </c>
      <c r="K307" s="14">
        <v>3975</v>
      </c>
      <c r="L307" s="10" t="s">
        <v>44</v>
      </c>
      <c r="M307" s="14">
        <v>0</v>
      </c>
      <c r="N307" s="15">
        <v>0</v>
      </c>
      <c r="O307" t="str">
        <f>IFERROR(VLOOKUP($I307,CHOOSE({1,2},'[1]DIRETORES NTE'!$H$5:$H$31,'[1]DIRETORES NTE'!$E$5:$E$31,),2,0),"-")</f>
        <v>-</v>
      </c>
    </row>
    <row r="308" spans="1:15" x14ac:dyDescent="0.25">
      <c r="A308" s="10">
        <v>306</v>
      </c>
      <c r="B308" s="11">
        <v>23</v>
      </c>
      <c r="C308" s="11" t="s">
        <v>1173</v>
      </c>
      <c r="D308" s="11">
        <v>1131798</v>
      </c>
      <c r="E308" s="11">
        <v>29016916</v>
      </c>
      <c r="F308" s="12" t="s">
        <v>1174</v>
      </c>
      <c r="G308" s="11" t="s">
        <v>1175</v>
      </c>
      <c r="H308" t="s">
        <v>1176</v>
      </c>
      <c r="I308" s="13" t="s">
        <v>1177</v>
      </c>
      <c r="J308" s="14">
        <v>8249</v>
      </c>
      <c r="K308" s="14">
        <v>8249</v>
      </c>
      <c r="L308" s="10" t="s">
        <v>373</v>
      </c>
      <c r="M308" s="14">
        <v>0</v>
      </c>
      <c r="N308" s="15">
        <v>0</v>
      </c>
      <c r="O308" t="str">
        <f>IFERROR(VLOOKUP($I308,CHOOSE({1,2},'[1]DIRETORES NTE'!$H$5:$H$31,'[1]DIRETORES NTE'!$E$5:$E$31,),2,0),"-")</f>
        <v>-</v>
      </c>
    </row>
    <row r="309" spans="1:15" x14ac:dyDescent="0.25">
      <c r="A309" s="10">
        <v>307</v>
      </c>
      <c r="B309" s="11">
        <v>23</v>
      </c>
      <c r="C309" s="11" t="s">
        <v>1173</v>
      </c>
      <c r="D309" s="11">
        <v>1131798</v>
      </c>
      <c r="E309" s="11">
        <v>29016916</v>
      </c>
      <c r="F309" s="12" t="s">
        <v>1174</v>
      </c>
      <c r="G309" s="11" t="s">
        <v>1175</v>
      </c>
      <c r="H309" t="s">
        <v>1176</v>
      </c>
      <c r="I309" s="13" t="s">
        <v>1177</v>
      </c>
      <c r="J309" s="14">
        <v>0</v>
      </c>
      <c r="K309" s="14">
        <v>0</v>
      </c>
      <c r="L309" s="10" t="s">
        <v>373</v>
      </c>
      <c r="M309" s="14">
        <v>0</v>
      </c>
      <c r="N309" s="15" t="e">
        <v>#DIV/0!</v>
      </c>
      <c r="O309" t="str">
        <f>IFERROR(VLOOKUP($I309,CHOOSE({1,2},'[1]DIRETORES NTE'!$H$5:$H$31,'[1]DIRETORES NTE'!$E$5:$E$31,),2,0),"-")</f>
        <v>-</v>
      </c>
    </row>
    <row r="310" spans="1:15" x14ac:dyDescent="0.25">
      <c r="A310" s="10">
        <v>308</v>
      </c>
      <c r="B310" s="11">
        <v>26</v>
      </c>
      <c r="C310" s="11" t="s">
        <v>95</v>
      </c>
      <c r="D310" s="11">
        <v>1104642</v>
      </c>
      <c r="E310" s="11">
        <v>29184916</v>
      </c>
      <c r="F310" s="12" t="s">
        <v>1178</v>
      </c>
      <c r="G310" s="11" t="s">
        <v>1179</v>
      </c>
      <c r="H310" t="s">
        <v>1180</v>
      </c>
      <c r="I310" s="13">
        <v>72688360582</v>
      </c>
      <c r="J310" s="14">
        <v>11936</v>
      </c>
      <c r="K310" s="14">
        <v>36</v>
      </c>
      <c r="L310" s="10" t="s">
        <v>99</v>
      </c>
      <c r="M310" s="14">
        <v>11900</v>
      </c>
      <c r="N310" s="15">
        <v>0.99698391420911525</v>
      </c>
      <c r="O310" t="str">
        <f>IFERROR(VLOOKUP($I310,CHOOSE({1,2},'[1]DIRETORES NTE'!$H$5:$H$31,'[1]DIRETORES NTE'!$E$5:$E$31,),2,0),"-")</f>
        <v>-</v>
      </c>
    </row>
    <row r="311" spans="1:15" x14ac:dyDescent="0.25">
      <c r="A311" s="10">
        <v>309</v>
      </c>
      <c r="B311" s="11">
        <v>27</v>
      </c>
      <c r="C311" s="11" t="s">
        <v>924</v>
      </c>
      <c r="D311" s="11">
        <v>1178043</v>
      </c>
      <c r="E311" s="11">
        <v>29431450</v>
      </c>
      <c r="F311" s="12" t="s">
        <v>1181</v>
      </c>
      <c r="G311" s="11" t="s">
        <v>1182</v>
      </c>
      <c r="H311" t="s">
        <v>1183</v>
      </c>
      <c r="I311" s="13">
        <v>44117590553</v>
      </c>
      <c r="J311" s="14">
        <v>9975</v>
      </c>
      <c r="K311" s="14">
        <v>9975</v>
      </c>
      <c r="L311" s="10" t="s">
        <v>720</v>
      </c>
      <c r="M311" s="14">
        <v>0</v>
      </c>
      <c r="N311" s="15">
        <v>0</v>
      </c>
      <c r="O311" t="str">
        <f>IFERROR(VLOOKUP($I311,CHOOSE({1,2},'[1]DIRETORES NTE'!$H$5:$H$31,'[1]DIRETORES NTE'!$E$5:$E$31,),2,0),"-")</f>
        <v>-</v>
      </c>
    </row>
    <row r="312" spans="1:15" x14ac:dyDescent="0.25">
      <c r="A312" s="10">
        <v>310</v>
      </c>
      <c r="B312" s="11">
        <v>17</v>
      </c>
      <c r="C312" s="11" t="s">
        <v>737</v>
      </c>
      <c r="D312" s="11">
        <v>1115326</v>
      </c>
      <c r="E312" s="11">
        <v>29133130</v>
      </c>
      <c r="F312" s="12" t="s">
        <v>1184</v>
      </c>
      <c r="G312" s="11" t="s">
        <v>1185</v>
      </c>
      <c r="H312" t="s">
        <v>1186</v>
      </c>
      <c r="I312" s="13">
        <v>25737015572</v>
      </c>
      <c r="J312" s="14">
        <v>15887</v>
      </c>
      <c r="K312" s="14">
        <v>15887</v>
      </c>
      <c r="L312" s="10" t="s">
        <v>455</v>
      </c>
      <c r="M312" s="14">
        <v>0</v>
      </c>
      <c r="N312" s="15">
        <v>0</v>
      </c>
      <c r="O312" t="str">
        <f>IFERROR(VLOOKUP($I312,CHOOSE({1,2},'[1]DIRETORES NTE'!$H$5:$H$31,'[1]DIRETORES NTE'!$E$5:$E$31,),2,0),"-")</f>
        <v>-</v>
      </c>
    </row>
    <row r="313" spans="1:15" x14ac:dyDescent="0.25">
      <c r="A313" s="10">
        <v>311</v>
      </c>
      <c r="B313" s="11">
        <v>3</v>
      </c>
      <c r="C313" s="11" t="s">
        <v>1187</v>
      </c>
      <c r="D313" s="11">
        <v>1179793</v>
      </c>
      <c r="E313" s="11">
        <v>44226</v>
      </c>
      <c r="F313" s="12" t="s">
        <v>1188</v>
      </c>
      <c r="G313" s="11" t="s">
        <v>1189</v>
      </c>
      <c r="H313" t="s">
        <v>1190</v>
      </c>
      <c r="I313" s="13">
        <v>61879282534</v>
      </c>
      <c r="J313" s="14">
        <v>4937</v>
      </c>
      <c r="K313" s="14">
        <v>4937</v>
      </c>
      <c r="L313" s="10" t="s">
        <v>117</v>
      </c>
      <c r="M313" s="14">
        <v>0</v>
      </c>
      <c r="N313" s="15">
        <v>0</v>
      </c>
      <c r="O313" t="str">
        <f>IFERROR(VLOOKUP($I313,CHOOSE({1,2},'[1]DIRETORES NTE'!$H$5:$H$31,'[1]DIRETORES NTE'!$E$5:$E$31,),2,0),"-")</f>
        <v>-</v>
      </c>
    </row>
    <row r="314" spans="1:15" x14ac:dyDescent="0.25">
      <c r="A314" s="10">
        <v>312</v>
      </c>
      <c r="B314" s="11">
        <v>11</v>
      </c>
      <c r="C314" s="11" t="s">
        <v>1191</v>
      </c>
      <c r="D314" s="11">
        <v>1129521</v>
      </c>
      <c r="E314" s="11">
        <v>29005752</v>
      </c>
      <c r="F314" s="12" t="s">
        <v>1192</v>
      </c>
      <c r="G314" s="11" t="s">
        <v>1193</v>
      </c>
      <c r="H314" t="s">
        <v>1194</v>
      </c>
      <c r="I314" s="13">
        <v>48306649591</v>
      </c>
      <c r="J314" s="14">
        <v>6199</v>
      </c>
      <c r="K314" s="14">
        <v>6199</v>
      </c>
      <c r="L314" s="10" t="s">
        <v>39</v>
      </c>
      <c r="M314" s="14">
        <v>0</v>
      </c>
      <c r="N314" s="15">
        <v>0</v>
      </c>
      <c r="O314" t="str">
        <f>IFERROR(VLOOKUP($I314,CHOOSE({1,2},'[1]DIRETORES NTE'!$H$5:$H$31,'[1]DIRETORES NTE'!$E$5:$E$31,),2,0),"-")</f>
        <v>-</v>
      </c>
    </row>
    <row r="315" spans="1:15" x14ac:dyDescent="0.25">
      <c r="A315" s="10">
        <v>313</v>
      </c>
      <c r="B315" s="11">
        <v>10</v>
      </c>
      <c r="C315" s="11" t="s">
        <v>1195</v>
      </c>
      <c r="D315" s="11">
        <v>1120907</v>
      </c>
      <c r="E315" s="11">
        <v>29032334</v>
      </c>
      <c r="F315" s="12" t="s">
        <v>1196</v>
      </c>
      <c r="G315" s="11" t="s">
        <v>1197</v>
      </c>
      <c r="H315" t="s">
        <v>1198</v>
      </c>
      <c r="I315" s="13">
        <v>47338555400</v>
      </c>
      <c r="J315" s="14">
        <v>13626</v>
      </c>
      <c r="K315" s="14">
        <v>13626</v>
      </c>
      <c r="L315" s="10" t="s">
        <v>21</v>
      </c>
      <c r="M315" s="14">
        <v>0</v>
      </c>
      <c r="N315" s="15">
        <v>0</v>
      </c>
      <c r="O315" t="str">
        <f>IFERROR(VLOOKUP($I315,CHOOSE({1,2},'[1]DIRETORES NTE'!$H$5:$H$31,'[1]DIRETORES NTE'!$E$5:$E$31,),2,0),"-")</f>
        <v>-</v>
      </c>
    </row>
    <row r="316" spans="1:15" x14ac:dyDescent="0.25">
      <c r="A316" s="10">
        <v>314</v>
      </c>
      <c r="B316" s="11">
        <v>24</v>
      </c>
      <c r="C316" s="11" t="s">
        <v>1199</v>
      </c>
      <c r="D316" s="11">
        <v>1113994</v>
      </c>
      <c r="E316" s="11">
        <v>29033187</v>
      </c>
      <c r="F316" s="12" t="s">
        <v>1200</v>
      </c>
      <c r="G316" s="11" t="s">
        <v>1201</v>
      </c>
      <c r="H316" t="s">
        <v>1202</v>
      </c>
      <c r="I316" s="13">
        <v>95130330587</v>
      </c>
      <c r="J316" s="14">
        <v>2223</v>
      </c>
      <c r="K316" s="14">
        <v>2223</v>
      </c>
      <c r="L316" s="10" t="s">
        <v>266</v>
      </c>
      <c r="M316" s="14">
        <v>0</v>
      </c>
      <c r="N316" s="15">
        <v>0</v>
      </c>
      <c r="O316" t="str">
        <f>IFERROR(VLOOKUP($I316,CHOOSE({1,2},'[1]DIRETORES NTE'!$H$5:$H$31,'[1]DIRETORES NTE'!$E$5:$E$31,),2,0),"-")</f>
        <v>-</v>
      </c>
    </row>
    <row r="317" spans="1:15" x14ac:dyDescent="0.25">
      <c r="A317" s="10">
        <v>315</v>
      </c>
      <c r="B317" s="11">
        <v>13</v>
      </c>
      <c r="C317" s="11" t="s">
        <v>239</v>
      </c>
      <c r="D317" s="11">
        <v>1176430</v>
      </c>
      <c r="E317" s="11">
        <v>29392365</v>
      </c>
      <c r="F317" s="12" t="s">
        <v>1203</v>
      </c>
      <c r="G317" s="11" t="s">
        <v>1204</v>
      </c>
      <c r="H317" t="s">
        <v>1205</v>
      </c>
      <c r="I317" s="13" t="s">
        <v>1206</v>
      </c>
      <c r="J317" s="14">
        <v>15504</v>
      </c>
      <c r="K317" s="14">
        <v>15504</v>
      </c>
      <c r="L317" s="10" t="s">
        <v>33</v>
      </c>
      <c r="M317" s="14">
        <v>0</v>
      </c>
      <c r="N317" s="15">
        <v>0</v>
      </c>
      <c r="O317" t="str">
        <f>IFERROR(VLOOKUP($I317,CHOOSE({1,2},'[1]DIRETORES NTE'!$H$5:$H$31,'[1]DIRETORES NTE'!$E$5:$E$31,),2,0),"-")</f>
        <v>-</v>
      </c>
    </row>
    <row r="318" spans="1:15" x14ac:dyDescent="0.25">
      <c r="A318" s="10">
        <v>316</v>
      </c>
      <c r="B318" s="11">
        <v>21</v>
      </c>
      <c r="C318" s="11" t="s">
        <v>1070</v>
      </c>
      <c r="D318" s="11">
        <v>1178265</v>
      </c>
      <c r="E318" s="11">
        <v>29981760</v>
      </c>
      <c r="F318" s="12" t="s">
        <v>1207</v>
      </c>
      <c r="G318" s="11" t="s">
        <v>1208</v>
      </c>
      <c r="H318" t="s">
        <v>1209</v>
      </c>
      <c r="I318" s="13" t="s">
        <v>1210</v>
      </c>
      <c r="J318" s="14">
        <v>1300</v>
      </c>
      <c r="K318" s="14">
        <v>1300</v>
      </c>
      <c r="L318" s="10" t="s">
        <v>63</v>
      </c>
      <c r="M318" s="14">
        <v>0</v>
      </c>
      <c r="N318" s="15">
        <v>0</v>
      </c>
      <c r="O318" t="str">
        <f>IFERROR(VLOOKUP($I318,CHOOSE({1,2},'[1]DIRETORES NTE'!$H$5:$H$31,'[1]DIRETORES NTE'!$E$5:$E$31,),2,0),"-")</f>
        <v>-</v>
      </c>
    </row>
    <row r="319" spans="1:15" x14ac:dyDescent="0.25">
      <c r="A319" s="10">
        <v>317</v>
      </c>
      <c r="B319" s="11">
        <v>22</v>
      </c>
      <c r="C319" s="11" t="s">
        <v>889</v>
      </c>
      <c r="D319" s="11">
        <v>1179277</v>
      </c>
      <c r="E319" s="11">
        <v>29458994</v>
      </c>
      <c r="F319" s="12" t="s">
        <v>1211</v>
      </c>
      <c r="G319" s="11" t="s">
        <v>1212</v>
      </c>
      <c r="H319" t="s">
        <v>1213</v>
      </c>
      <c r="I319" s="13">
        <v>88624056500</v>
      </c>
      <c r="J319" s="14">
        <v>3808</v>
      </c>
      <c r="K319" s="14">
        <v>3808</v>
      </c>
      <c r="L319" s="10" t="s">
        <v>200</v>
      </c>
      <c r="M319" s="14">
        <v>0</v>
      </c>
      <c r="N319" s="15">
        <v>0</v>
      </c>
      <c r="O319" t="str">
        <f>IFERROR(VLOOKUP($I319,CHOOSE({1,2},'[1]DIRETORES NTE'!$H$5:$H$31,'[1]DIRETORES NTE'!$E$5:$E$31,),2,0),"-")</f>
        <v>-</v>
      </c>
    </row>
    <row r="320" spans="1:15" x14ac:dyDescent="0.25">
      <c r="A320" s="10">
        <v>318</v>
      </c>
      <c r="B320" s="11">
        <v>26</v>
      </c>
      <c r="C320" s="11" t="s">
        <v>916</v>
      </c>
      <c r="D320" s="11">
        <v>1100159</v>
      </c>
      <c r="E320" s="11">
        <v>29201390</v>
      </c>
      <c r="F320" s="12" t="s">
        <v>1214</v>
      </c>
      <c r="G320" s="11" t="s">
        <v>1215</v>
      </c>
      <c r="H320" t="s">
        <v>1216</v>
      </c>
      <c r="I320" s="13" t="s">
        <v>1217</v>
      </c>
      <c r="J320" s="14">
        <v>11234</v>
      </c>
      <c r="K320" s="14">
        <v>10.4</v>
      </c>
      <c r="L320" s="10" t="s">
        <v>99</v>
      </c>
      <c r="M320" s="14">
        <v>11223.6</v>
      </c>
      <c r="N320" s="15">
        <v>0.99907423891757174</v>
      </c>
      <c r="O320" t="str">
        <f>IFERROR(VLOOKUP($I320,CHOOSE({1,2},'[1]DIRETORES NTE'!$H$5:$H$31,'[1]DIRETORES NTE'!$E$5:$E$31,),2,0),"-")</f>
        <v>-</v>
      </c>
    </row>
    <row r="321" spans="1:15" x14ac:dyDescent="0.25">
      <c r="A321" s="10">
        <v>319</v>
      </c>
      <c r="B321" s="11">
        <v>18</v>
      </c>
      <c r="C321" s="11" t="s">
        <v>1218</v>
      </c>
      <c r="D321" s="11">
        <v>1108524</v>
      </c>
      <c r="E321" s="11">
        <v>29155673</v>
      </c>
      <c r="F321" s="12" t="s">
        <v>1219</v>
      </c>
      <c r="G321" s="11" t="s">
        <v>1220</v>
      </c>
      <c r="H321" t="s">
        <v>1221</v>
      </c>
      <c r="I321" s="13">
        <v>94727163500</v>
      </c>
      <c r="J321" s="14">
        <v>12243</v>
      </c>
      <c r="K321" s="14">
        <v>12243</v>
      </c>
      <c r="L321" s="10" t="s">
        <v>68</v>
      </c>
      <c r="M321" s="14">
        <v>0</v>
      </c>
      <c r="N321" s="15">
        <v>0</v>
      </c>
      <c r="O321" t="str">
        <f>IFERROR(VLOOKUP($I321,CHOOSE({1,2},'[1]DIRETORES NTE'!$H$5:$H$31,'[1]DIRETORES NTE'!$E$5:$E$31,),2,0),"-")</f>
        <v>-</v>
      </c>
    </row>
    <row r="322" spans="1:15" x14ac:dyDescent="0.25">
      <c r="A322" s="10">
        <v>320</v>
      </c>
      <c r="B322" s="11">
        <v>14</v>
      </c>
      <c r="C322" s="11" t="s">
        <v>1222</v>
      </c>
      <c r="D322" s="11">
        <v>1178106</v>
      </c>
      <c r="E322" s="11">
        <v>29443113</v>
      </c>
      <c r="F322" s="12" t="s">
        <v>638</v>
      </c>
      <c r="G322" s="11" t="s">
        <v>1223</v>
      </c>
      <c r="H322" t="s">
        <v>1224</v>
      </c>
      <c r="I322" s="13">
        <v>66915970525</v>
      </c>
      <c r="J322" s="14">
        <v>8274</v>
      </c>
      <c r="K322" s="14">
        <v>8274</v>
      </c>
      <c r="L322" s="10" t="s">
        <v>147</v>
      </c>
      <c r="M322" s="14">
        <v>0</v>
      </c>
      <c r="N322" s="15">
        <v>0</v>
      </c>
      <c r="O322" t="str">
        <f>IFERROR(VLOOKUP($I322,CHOOSE({1,2},'[1]DIRETORES NTE'!$H$5:$H$31,'[1]DIRETORES NTE'!$E$5:$E$31,),2,0),"-")</f>
        <v>-</v>
      </c>
    </row>
    <row r="323" spans="1:15" x14ac:dyDescent="0.25">
      <c r="A323" s="10">
        <v>321</v>
      </c>
      <c r="B323" s="11">
        <v>22</v>
      </c>
      <c r="C323" s="11" t="s">
        <v>889</v>
      </c>
      <c r="D323" s="11">
        <v>1117698</v>
      </c>
      <c r="E323" s="11">
        <v>29228549</v>
      </c>
      <c r="F323" s="12" t="s">
        <v>1225</v>
      </c>
      <c r="G323" s="11" t="s">
        <v>1226</v>
      </c>
      <c r="H323" t="s">
        <v>1227</v>
      </c>
      <c r="I323" s="13" t="s">
        <v>1228</v>
      </c>
      <c r="J323" s="14">
        <v>20157</v>
      </c>
      <c r="K323" s="14">
        <v>20157</v>
      </c>
      <c r="L323" s="10" t="s">
        <v>200</v>
      </c>
      <c r="M323" s="14">
        <v>0</v>
      </c>
      <c r="N323" s="15">
        <v>0</v>
      </c>
      <c r="O323" t="str">
        <f>IFERROR(VLOOKUP($I323,CHOOSE({1,2},'[1]DIRETORES NTE'!$H$5:$H$31,'[1]DIRETORES NTE'!$E$5:$E$31,),2,0),"-")</f>
        <v>-</v>
      </c>
    </row>
    <row r="324" spans="1:15" x14ac:dyDescent="0.25">
      <c r="A324" s="10">
        <v>322</v>
      </c>
      <c r="B324" s="11">
        <v>2</v>
      </c>
      <c r="C324" s="11" t="s">
        <v>132</v>
      </c>
      <c r="D324" s="11">
        <v>1179704</v>
      </c>
      <c r="E324" s="11">
        <v>29481325</v>
      </c>
      <c r="F324" s="12" t="s">
        <v>1229</v>
      </c>
      <c r="G324" s="11" t="s">
        <v>1230</v>
      </c>
      <c r="H324" t="s">
        <v>1231</v>
      </c>
      <c r="I324" s="13">
        <v>71116680572</v>
      </c>
      <c r="J324" s="14">
        <v>9180</v>
      </c>
      <c r="K324" s="14">
        <v>9180</v>
      </c>
      <c r="L324" s="10" t="s">
        <v>105</v>
      </c>
      <c r="M324" s="14">
        <v>0</v>
      </c>
      <c r="N324" s="15">
        <v>0</v>
      </c>
      <c r="O324" t="str">
        <f>IFERROR(VLOOKUP($I324,CHOOSE({1,2},'[1]DIRETORES NTE'!$H$5:$H$31,'[1]DIRETORES NTE'!$E$5:$E$31,),2,0),"-")</f>
        <v>-</v>
      </c>
    </row>
    <row r="325" spans="1:15" x14ac:dyDescent="0.25">
      <c r="A325" s="10">
        <v>323</v>
      </c>
      <c r="B325" s="11">
        <v>11</v>
      </c>
      <c r="C325" s="11" t="s">
        <v>1232</v>
      </c>
      <c r="D325" s="11">
        <v>1179662</v>
      </c>
      <c r="E325" s="11">
        <v>29474914</v>
      </c>
      <c r="F325" s="12" t="s">
        <v>1233</v>
      </c>
      <c r="G325" s="11" t="s">
        <v>1234</v>
      </c>
      <c r="H325" t="s">
        <v>1235</v>
      </c>
      <c r="I325" s="13">
        <v>99149206591</v>
      </c>
      <c r="J325" s="14">
        <v>24793</v>
      </c>
      <c r="K325" s="14">
        <v>24793</v>
      </c>
      <c r="L325" s="10" t="s">
        <v>39</v>
      </c>
      <c r="M325" s="14">
        <v>0</v>
      </c>
      <c r="N325" s="15">
        <v>0</v>
      </c>
      <c r="O325" t="str">
        <f>IFERROR(VLOOKUP($I325,CHOOSE({1,2},'[1]DIRETORES NTE'!$H$5:$H$31,'[1]DIRETORES NTE'!$E$5:$E$31,),2,0),"-")</f>
        <v>-</v>
      </c>
    </row>
    <row r="326" spans="1:15" x14ac:dyDescent="0.25">
      <c r="A326" s="10">
        <v>324</v>
      </c>
      <c r="B326" s="11">
        <v>27</v>
      </c>
      <c r="C326" s="11" t="s">
        <v>1236</v>
      </c>
      <c r="D326" s="11">
        <v>1146523</v>
      </c>
      <c r="E326" s="11">
        <v>29309638</v>
      </c>
      <c r="F326" s="12" t="s">
        <v>1237</v>
      </c>
      <c r="G326" s="11" t="s">
        <v>1238</v>
      </c>
      <c r="H326" t="s">
        <v>1239</v>
      </c>
      <c r="I326" s="13" t="s">
        <v>1240</v>
      </c>
      <c r="J326" s="14">
        <v>7035</v>
      </c>
      <c r="K326" s="14">
        <v>7035</v>
      </c>
      <c r="L326" s="10" t="s">
        <v>720</v>
      </c>
      <c r="M326" s="14">
        <v>0</v>
      </c>
      <c r="N326" s="15">
        <v>0</v>
      </c>
      <c r="O326" t="str">
        <f>IFERROR(VLOOKUP($I326,CHOOSE({1,2},'[1]DIRETORES NTE'!$H$5:$H$31,'[1]DIRETORES NTE'!$E$5:$E$31,),2,0),"-")</f>
        <v>-</v>
      </c>
    </row>
    <row r="327" spans="1:15" x14ac:dyDescent="0.25">
      <c r="A327" s="10">
        <v>325</v>
      </c>
      <c r="B327" s="11">
        <v>27</v>
      </c>
      <c r="C327" s="11" t="s">
        <v>1236</v>
      </c>
      <c r="D327" s="11">
        <v>1146523</v>
      </c>
      <c r="E327" s="11">
        <v>29309638</v>
      </c>
      <c r="F327" s="12" t="s">
        <v>1237</v>
      </c>
      <c r="G327" s="11" t="s">
        <v>1238</v>
      </c>
      <c r="H327" t="s">
        <v>1239</v>
      </c>
      <c r="I327" s="13" t="s">
        <v>1240</v>
      </c>
      <c r="J327" s="14">
        <v>0</v>
      </c>
      <c r="K327" s="14">
        <v>0</v>
      </c>
      <c r="L327" s="10" t="s">
        <v>720</v>
      </c>
      <c r="M327" s="14">
        <v>0</v>
      </c>
      <c r="N327" s="15" t="e">
        <v>#DIV/0!</v>
      </c>
      <c r="O327" t="str">
        <f>IFERROR(VLOOKUP($I327,CHOOSE({1,2},'[1]DIRETORES NTE'!$H$5:$H$31,'[1]DIRETORES NTE'!$E$5:$E$31,),2,0),"-")</f>
        <v>-</v>
      </c>
    </row>
    <row r="328" spans="1:15" x14ac:dyDescent="0.25">
      <c r="A328" s="10">
        <v>326</v>
      </c>
      <c r="B328" s="11">
        <v>26</v>
      </c>
      <c r="C328" s="11" t="s">
        <v>1241</v>
      </c>
      <c r="D328" s="11">
        <v>1176915</v>
      </c>
      <c r="E328" s="11">
        <v>29410835</v>
      </c>
      <c r="F328" s="12" t="s">
        <v>65</v>
      </c>
      <c r="G328" s="11" t="s">
        <v>1242</v>
      </c>
      <c r="H328" t="s">
        <v>1243</v>
      </c>
      <c r="I328" s="13">
        <v>67905129500</v>
      </c>
      <c r="J328" s="14">
        <v>7160</v>
      </c>
      <c r="K328" s="14">
        <v>7160</v>
      </c>
      <c r="L328" s="10" t="s">
        <v>99</v>
      </c>
      <c r="M328" s="14">
        <v>0</v>
      </c>
      <c r="N328" s="15">
        <v>0</v>
      </c>
      <c r="O328" t="str">
        <f>IFERROR(VLOOKUP($I328,CHOOSE({1,2},'[1]DIRETORES NTE'!$H$5:$H$31,'[1]DIRETORES NTE'!$E$5:$E$31,),2,0),"-")</f>
        <v>-</v>
      </c>
    </row>
    <row r="329" spans="1:15" x14ac:dyDescent="0.25">
      <c r="A329" s="10">
        <v>327</v>
      </c>
      <c r="B329" s="11">
        <v>7</v>
      </c>
      <c r="C329" s="11" t="s">
        <v>1244</v>
      </c>
      <c r="D329" s="11">
        <v>1178109</v>
      </c>
      <c r="E329" s="11">
        <v>29446651</v>
      </c>
      <c r="F329" s="12" t="s">
        <v>1245</v>
      </c>
      <c r="G329" s="11" t="s">
        <v>1246</v>
      </c>
      <c r="H329" t="s">
        <v>1247</v>
      </c>
      <c r="I329" s="13" t="s">
        <v>1248</v>
      </c>
      <c r="J329" s="14">
        <v>23884</v>
      </c>
      <c r="K329" s="14">
        <v>23884</v>
      </c>
      <c r="L329" s="10" t="s">
        <v>153</v>
      </c>
      <c r="M329" s="14">
        <v>0</v>
      </c>
      <c r="N329" s="15">
        <v>0</v>
      </c>
      <c r="O329" t="str">
        <f>IFERROR(VLOOKUP($I329,CHOOSE({1,2},'[1]DIRETORES NTE'!$H$5:$H$31,'[1]DIRETORES NTE'!$E$5:$E$31,),2,0),"-")</f>
        <v>-</v>
      </c>
    </row>
    <row r="330" spans="1:15" x14ac:dyDescent="0.25">
      <c r="A330" s="10">
        <v>328</v>
      </c>
      <c r="B330" s="11">
        <v>8</v>
      </c>
      <c r="C330" s="11" t="s">
        <v>1249</v>
      </c>
      <c r="D330" s="11">
        <v>1119380</v>
      </c>
      <c r="E330" s="11">
        <v>29284104</v>
      </c>
      <c r="F330" s="12" t="s">
        <v>1250</v>
      </c>
      <c r="G330" s="11" t="s">
        <v>1251</v>
      </c>
      <c r="H330" t="s">
        <v>1252</v>
      </c>
      <c r="I330" s="13">
        <v>22724923553</v>
      </c>
      <c r="J330" s="14">
        <v>8837</v>
      </c>
      <c r="K330" s="14">
        <v>8837</v>
      </c>
      <c r="L330" s="10" t="s">
        <v>285</v>
      </c>
      <c r="M330" s="14">
        <v>0</v>
      </c>
      <c r="N330" s="15">
        <v>0</v>
      </c>
      <c r="O330" t="str">
        <f>IFERROR(VLOOKUP($I330,CHOOSE({1,2},'[1]DIRETORES NTE'!$H$5:$H$31,'[1]DIRETORES NTE'!$E$5:$E$31,),2,0),"-")</f>
        <v>-</v>
      </c>
    </row>
    <row r="331" spans="1:15" x14ac:dyDescent="0.25">
      <c r="A331" s="10">
        <v>329</v>
      </c>
      <c r="B331" s="11">
        <v>20</v>
      </c>
      <c r="C331" s="11" t="s">
        <v>1253</v>
      </c>
      <c r="D331" s="11">
        <v>1141815</v>
      </c>
      <c r="E331" s="11">
        <v>29261481</v>
      </c>
      <c r="F331" s="12" t="s">
        <v>1254</v>
      </c>
      <c r="G331" s="11" t="s">
        <v>1255</v>
      </c>
      <c r="H331" t="s">
        <v>1256</v>
      </c>
      <c r="I331" s="13" t="s">
        <v>1257</v>
      </c>
      <c r="J331" s="14">
        <v>4203</v>
      </c>
      <c r="K331" s="14">
        <v>4203</v>
      </c>
      <c r="L331" s="10" t="s">
        <v>27</v>
      </c>
      <c r="M331" s="14">
        <v>0</v>
      </c>
      <c r="N331" s="15">
        <v>0</v>
      </c>
      <c r="O331" t="str">
        <f>IFERROR(VLOOKUP($I331,CHOOSE({1,2},'[1]DIRETORES NTE'!$H$5:$H$31,'[1]DIRETORES NTE'!$E$5:$E$31,),2,0),"-")</f>
        <v>-</v>
      </c>
    </row>
    <row r="332" spans="1:15" x14ac:dyDescent="0.25">
      <c r="A332" s="10">
        <v>330</v>
      </c>
      <c r="B332" s="11">
        <v>26</v>
      </c>
      <c r="C332" s="11" t="s">
        <v>95</v>
      </c>
      <c r="D332" s="11">
        <v>1176765</v>
      </c>
      <c r="E332" s="11">
        <v>29404240</v>
      </c>
      <c r="F332" s="12" t="s">
        <v>1258</v>
      </c>
      <c r="G332" s="11" t="s">
        <v>1259</v>
      </c>
      <c r="H332" t="s">
        <v>1260</v>
      </c>
      <c r="I332" s="13">
        <v>14738520563</v>
      </c>
      <c r="J332" s="14">
        <v>7020</v>
      </c>
      <c r="K332" s="14">
        <v>0.23</v>
      </c>
      <c r="L332" s="10" t="s">
        <v>99</v>
      </c>
      <c r="M332" s="14">
        <v>7019.77</v>
      </c>
      <c r="N332" s="15">
        <v>0.99996723646723651</v>
      </c>
      <c r="O332" t="str">
        <f>IFERROR(VLOOKUP($I332,CHOOSE({1,2},'[1]DIRETORES NTE'!$H$5:$H$31,'[1]DIRETORES NTE'!$E$5:$E$31,),2,0),"-")</f>
        <v>-</v>
      </c>
    </row>
    <row r="333" spans="1:15" x14ac:dyDescent="0.25">
      <c r="A333" s="10">
        <v>331</v>
      </c>
      <c r="B333" s="11">
        <v>26</v>
      </c>
      <c r="C333" s="11" t="s">
        <v>95</v>
      </c>
      <c r="D333" s="11">
        <v>1103506</v>
      </c>
      <c r="E333" s="11">
        <v>29187346</v>
      </c>
      <c r="F333" s="12" t="s">
        <v>1261</v>
      </c>
      <c r="G333" s="11" t="s">
        <v>1262</v>
      </c>
      <c r="H333" t="s">
        <v>1263</v>
      </c>
      <c r="I333" s="13">
        <v>76983293568</v>
      </c>
      <c r="J333" s="14">
        <v>6893</v>
      </c>
      <c r="K333" s="14">
        <v>6893</v>
      </c>
      <c r="L333" s="10" t="s">
        <v>99</v>
      </c>
      <c r="M333" s="14">
        <v>0</v>
      </c>
      <c r="N333" s="15">
        <v>0</v>
      </c>
      <c r="O333" t="str">
        <f>IFERROR(VLOOKUP($I333,CHOOSE({1,2},'[1]DIRETORES NTE'!$H$5:$H$31,'[1]DIRETORES NTE'!$E$5:$E$31,),2,0),"-")</f>
        <v>-</v>
      </c>
    </row>
    <row r="334" spans="1:15" x14ac:dyDescent="0.25">
      <c r="A334" s="10">
        <v>332</v>
      </c>
      <c r="B334" s="11">
        <v>26</v>
      </c>
      <c r="C334" s="11" t="s">
        <v>916</v>
      </c>
      <c r="D334" s="11">
        <v>1103000</v>
      </c>
      <c r="E334" s="11">
        <v>29201063</v>
      </c>
      <c r="F334" s="12" t="s">
        <v>1264</v>
      </c>
      <c r="G334" s="11" t="s">
        <v>1265</v>
      </c>
      <c r="H334" t="s">
        <v>1266</v>
      </c>
      <c r="I334" s="13">
        <v>91048036553</v>
      </c>
      <c r="J334" s="14">
        <v>13715</v>
      </c>
      <c r="K334" s="14">
        <v>13715</v>
      </c>
      <c r="L334" s="10" t="s">
        <v>99</v>
      </c>
      <c r="M334" s="14">
        <v>0</v>
      </c>
      <c r="N334" s="15">
        <v>0</v>
      </c>
      <c r="O334" t="str">
        <f>IFERROR(VLOOKUP($I334,CHOOSE({1,2},'[1]DIRETORES NTE'!$H$5:$H$31,'[1]DIRETORES NTE'!$E$5:$E$31,),2,0),"-")</f>
        <v>-</v>
      </c>
    </row>
    <row r="335" spans="1:15" x14ac:dyDescent="0.25">
      <c r="A335" s="10">
        <v>333</v>
      </c>
      <c r="B335" s="11">
        <v>26</v>
      </c>
      <c r="C335" s="11" t="s">
        <v>1241</v>
      </c>
      <c r="D335" s="11">
        <v>1135190</v>
      </c>
      <c r="E335" s="11">
        <v>29160774</v>
      </c>
      <c r="F335" s="12" t="s">
        <v>1267</v>
      </c>
      <c r="G335" s="11" t="s">
        <v>1268</v>
      </c>
      <c r="H335" t="s">
        <v>1269</v>
      </c>
      <c r="I335" s="13">
        <v>64956792549</v>
      </c>
      <c r="J335" s="14">
        <v>11338</v>
      </c>
      <c r="K335" s="14">
        <v>1320</v>
      </c>
      <c r="L335" s="10" t="s">
        <v>99</v>
      </c>
      <c r="M335" s="14">
        <v>10018</v>
      </c>
      <c r="N335" s="15">
        <v>0.88357735050273412</v>
      </c>
      <c r="O335" t="str">
        <f>IFERROR(VLOOKUP($I335,CHOOSE({1,2},'[1]DIRETORES NTE'!$H$5:$H$31,'[1]DIRETORES NTE'!$E$5:$E$31,),2,0),"-")</f>
        <v>-</v>
      </c>
    </row>
    <row r="336" spans="1:15" x14ac:dyDescent="0.25">
      <c r="A336" s="10">
        <v>334</v>
      </c>
      <c r="B336" s="11">
        <v>10</v>
      </c>
      <c r="C336" s="11" t="s">
        <v>1195</v>
      </c>
      <c r="D336" s="11">
        <v>1120508</v>
      </c>
      <c r="E336" s="11">
        <v>29032300</v>
      </c>
      <c r="F336" s="12" t="s">
        <v>1270</v>
      </c>
      <c r="G336" s="11" t="s">
        <v>1271</v>
      </c>
      <c r="H336" t="s">
        <v>1272</v>
      </c>
      <c r="I336" s="13">
        <v>56434987587</v>
      </c>
      <c r="J336" s="14">
        <v>5560</v>
      </c>
      <c r="K336" s="14">
        <v>5560</v>
      </c>
      <c r="L336" s="10" t="s">
        <v>21</v>
      </c>
      <c r="M336" s="14">
        <v>0</v>
      </c>
      <c r="N336" s="15">
        <v>0</v>
      </c>
      <c r="O336" t="str">
        <f>IFERROR(VLOOKUP($I336,CHOOSE({1,2},'[1]DIRETORES NTE'!$H$5:$H$31,'[1]DIRETORES NTE'!$E$5:$E$31,),2,0),"-")</f>
        <v>-</v>
      </c>
    </row>
    <row r="337" spans="1:15" x14ac:dyDescent="0.25">
      <c r="A337" s="10">
        <v>335</v>
      </c>
      <c r="B337" s="11" t="s">
        <v>237</v>
      </c>
      <c r="C337" s="11" t="s">
        <v>237</v>
      </c>
      <c r="D337" s="11" t="s">
        <v>237</v>
      </c>
      <c r="E337" s="11" t="s">
        <v>237</v>
      </c>
      <c r="F337" s="12" t="s">
        <v>237</v>
      </c>
      <c r="G337" s="11" t="s">
        <v>237</v>
      </c>
      <c r="H337" t="s">
        <v>1273</v>
      </c>
      <c r="I337" s="13" t="s">
        <v>1274</v>
      </c>
      <c r="J337" s="14">
        <v>0</v>
      </c>
      <c r="K337" s="14">
        <v>0</v>
      </c>
      <c r="L337" s="10" t="s">
        <v>720</v>
      </c>
      <c r="M337" s="14">
        <v>0</v>
      </c>
      <c r="N337" s="15" t="e">
        <v>#DIV/0!</v>
      </c>
      <c r="O337" t="str">
        <f>IFERROR(VLOOKUP($I337,CHOOSE({1,2},'[1]DIRETORES NTE'!$H$5:$H$31,'[1]DIRETORES NTE'!$E$5:$E$31,),2,0),"-")</f>
        <v>EVELIN LOURENA MOURA (DIRETOR DE NTE)</v>
      </c>
    </row>
    <row r="338" spans="1:15" x14ac:dyDescent="0.25">
      <c r="A338" s="10">
        <v>336</v>
      </c>
      <c r="B338" s="11">
        <v>26</v>
      </c>
      <c r="C338" s="11" t="s">
        <v>95</v>
      </c>
      <c r="D338" s="11">
        <v>1176205</v>
      </c>
      <c r="E338" s="11">
        <v>29359597</v>
      </c>
      <c r="F338" s="12" t="s">
        <v>1275</v>
      </c>
      <c r="G338" s="11" t="s">
        <v>1276</v>
      </c>
      <c r="H338" t="s">
        <v>1277</v>
      </c>
      <c r="I338" s="13">
        <v>67819320559</v>
      </c>
      <c r="J338" s="14">
        <v>9754</v>
      </c>
      <c r="K338" s="14">
        <v>1766</v>
      </c>
      <c r="L338" s="10" t="s">
        <v>99</v>
      </c>
      <c r="M338" s="14">
        <v>7988</v>
      </c>
      <c r="N338" s="15">
        <v>0.81894607340578229</v>
      </c>
      <c r="O338" t="str">
        <f>IFERROR(VLOOKUP($I338,CHOOSE({1,2},'[1]DIRETORES NTE'!$H$5:$H$31,'[1]DIRETORES NTE'!$E$5:$E$31,),2,0),"-")</f>
        <v>-</v>
      </c>
    </row>
    <row r="339" spans="1:15" x14ac:dyDescent="0.25">
      <c r="A339" s="10">
        <v>337</v>
      </c>
      <c r="B339" s="11">
        <v>13</v>
      </c>
      <c r="C339" s="11" t="s">
        <v>1278</v>
      </c>
      <c r="D339" s="11">
        <v>1128371</v>
      </c>
      <c r="E339" s="11">
        <v>29240638</v>
      </c>
      <c r="F339" s="12" t="s">
        <v>1279</v>
      </c>
      <c r="G339" s="11" t="s">
        <v>1280</v>
      </c>
      <c r="H339" t="s">
        <v>1281</v>
      </c>
      <c r="I339" s="13">
        <v>49999893520</v>
      </c>
      <c r="J339" s="14">
        <v>21847</v>
      </c>
      <c r="K339" s="14">
        <v>21847</v>
      </c>
      <c r="L339" s="10" t="s">
        <v>33</v>
      </c>
      <c r="M339" s="14">
        <v>0</v>
      </c>
      <c r="N339" s="15">
        <v>0</v>
      </c>
      <c r="O339" t="str">
        <f>IFERROR(VLOOKUP($I339,CHOOSE({1,2},'[1]DIRETORES NTE'!$H$5:$H$31,'[1]DIRETORES NTE'!$E$5:$E$31,),2,0),"-")</f>
        <v>-</v>
      </c>
    </row>
    <row r="340" spans="1:15" x14ac:dyDescent="0.25">
      <c r="A340" s="10">
        <v>338</v>
      </c>
      <c r="B340" s="11">
        <v>1</v>
      </c>
      <c r="C340" s="11" t="s">
        <v>1282</v>
      </c>
      <c r="D340" s="11">
        <v>1178146</v>
      </c>
      <c r="E340" s="11">
        <v>29445400</v>
      </c>
      <c r="F340" s="12" t="s">
        <v>1283</v>
      </c>
      <c r="G340" s="11" t="s">
        <v>1284</v>
      </c>
      <c r="H340" t="s">
        <v>1285</v>
      </c>
      <c r="I340" s="13" t="s">
        <v>1286</v>
      </c>
      <c r="J340" s="14">
        <v>6453</v>
      </c>
      <c r="K340" s="14">
        <v>6453</v>
      </c>
      <c r="L340" s="10" t="s">
        <v>356</v>
      </c>
      <c r="M340" s="14">
        <v>0</v>
      </c>
      <c r="N340" s="15">
        <v>0</v>
      </c>
      <c r="O340" t="str">
        <f>IFERROR(VLOOKUP($I340,CHOOSE({1,2},'[1]DIRETORES NTE'!$H$5:$H$31,'[1]DIRETORES NTE'!$E$5:$E$31,),2,0),"-")</f>
        <v>-</v>
      </c>
    </row>
    <row r="341" spans="1:15" x14ac:dyDescent="0.25">
      <c r="A341" s="10">
        <v>339</v>
      </c>
      <c r="B341" s="11">
        <v>6</v>
      </c>
      <c r="C341" s="11" t="s">
        <v>1287</v>
      </c>
      <c r="D341" s="11">
        <v>1158270</v>
      </c>
      <c r="E341" s="11">
        <v>29289270</v>
      </c>
      <c r="F341" s="12" t="s">
        <v>1288</v>
      </c>
      <c r="G341" s="11" t="s">
        <v>1289</v>
      </c>
      <c r="H341" t="s">
        <v>1290</v>
      </c>
      <c r="I341" s="13">
        <v>99484676553</v>
      </c>
      <c r="J341" s="14">
        <v>6718</v>
      </c>
      <c r="K341" s="14">
        <v>6718</v>
      </c>
      <c r="L341" s="10" t="s">
        <v>49</v>
      </c>
      <c r="M341" s="14">
        <v>0</v>
      </c>
      <c r="N341" s="15">
        <v>0</v>
      </c>
      <c r="O341" t="str">
        <f>IFERROR(VLOOKUP($I341,CHOOSE({1,2},'[1]DIRETORES NTE'!$H$5:$H$31,'[1]DIRETORES NTE'!$E$5:$E$31,),2,0),"-")</f>
        <v>-</v>
      </c>
    </row>
    <row r="342" spans="1:15" x14ac:dyDescent="0.25">
      <c r="A342" s="10">
        <v>340</v>
      </c>
      <c r="B342" s="11">
        <v>22</v>
      </c>
      <c r="C342" s="11" t="s">
        <v>1291</v>
      </c>
      <c r="D342" s="11">
        <v>1118147</v>
      </c>
      <c r="E342" s="11">
        <v>29273790</v>
      </c>
      <c r="F342" s="12" t="s">
        <v>1292</v>
      </c>
      <c r="G342" s="11" t="s">
        <v>1293</v>
      </c>
      <c r="H342" t="s">
        <v>1294</v>
      </c>
      <c r="I342" s="13">
        <v>95519807515</v>
      </c>
      <c r="J342" s="14">
        <v>10255</v>
      </c>
      <c r="K342" s="14">
        <v>10255</v>
      </c>
      <c r="L342" s="10" t="s">
        <v>200</v>
      </c>
      <c r="M342" s="14">
        <v>0</v>
      </c>
      <c r="N342" s="15">
        <v>0</v>
      </c>
      <c r="O342" t="str">
        <f>IFERROR(VLOOKUP($I342,CHOOSE({1,2},'[1]DIRETORES NTE'!$H$5:$H$31,'[1]DIRETORES NTE'!$E$5:$E$31,),2,0),"-")</f>
        <v>-</v>
      </c>
    </row>
    <row r="343" spans="1:15" x14ac:dyDescent="0.25">
      <c r="A343" s="10">
        <v>341</v>
      </c>
      <c r="B343" s="11">
        <v>13</v>
      </c>
      <c r="C343" s="11" t="s">
        <v>1295</v>
      </c>
      <c r="D343" s="11">
        <v>1124635</v>
      </c>
      <c r="E343" s="11">
        <v>29261660</v>
      </c>
      <c r="F343" s="12" t="s">
        <v>1296</v>
      </c>
      <c r="G343" s="11" t="s">
        <v>1297</v>
      </c>
      <c r="H343" t="s">
        <v>1298</v>
      </c>
      <c r="I343" s="13" t="s">
        <v>1299</v>
      </c>
      <c r="J343" s="14">
        <v>8374</v>
      </c>
      <c r="K343" s="14">
        <v>8374</v>
      </c>
      <c r="L343" s="10" t="s">
        <v>33</v>
      </c>
      <c r="M343" s="14">
        <v>0</v>
      </c>
      <c r="N343" s="15">
        <v>0</v>
      </c>
      <c r="O343" t="str">
        <f>IFERROR(VLOOKUP($I343,CHOOSE({1,2},'[1]DIRETORES NTE'!$H$5:$H$31,'[1]DIRETORES NTE'!$E$5:$E$31,),2,0),"-")</f>
        <v>-</v>
      </c>
    </row>
    <row r="344" spans="1:15" x14ac:dyDescent="0.25">
      <c r="A344" s="10">
        <v>342</v>
      </c>
      <c r="B344" s="11">
        <v>20</v>
      </c>
      <c r="C344" s="11" t="s">
        <v>50</v>
      </c>
      <c r="D344" s="11">
        <v>1179246</v>
      </c>
      <c r="E344" s="11">
        <v>29457491</v>
      </c>
      <c r="F344" s="12" t="s">
        <v>1300</v>
      </c>
      <c r="G344" s="11" t="s">
        <v>1301</v>
      </c>
      <c r="H344" t="s">
        <v>1302</v>
      </c>
      <c r="I344" s="13">
        <v>31424750873</v>
      </c>
      <c r="J344" s="14">
        <v>4735</v>
      </c>
      <c r="K344" s="14">
        <v>4735</v>
      </c>
      <c r="L344" s="10" t="s">
        <v>27</v>
      </c>
      <c r="M344" s="14">
        <v>0</v>
      </c>
      <c r="N344" s="15">
        <v>0</v>
      </c>
      <c r="O344" t="str">
        <f>IFERROR(VLOOKUP($I344,CHOOSE({1,2},'[1]DIRETORES NTE'!$H$5:$H$31,'[1]DIRETORES NTE'!$E$5:$E$31,),2,0),"-")</f>
        <v>-</v>
      </c>
    </row>
    <row r="345" spans="1:15" x14ac:dyDescent="0.25">
      <c r="A345" s="10">
        <v>343</v>
      </c>
      <c r="B345" s="11">
        <v>19</v>
      </c>
      <c r="C345" s="11" t="s">
        <v>331</v>
      </c>
      <c r="D345" s="11">
        <v>1178163</v>
      </c>
      <c r="E345" s="11">
        <v>29380375</v>
      </c>
      <c r="F345" s="12" t="s">
        <v>1303</v>
      </c>
      <c r="G345" s="11" t="s">
        <v>1304</v>
      </c>
      <c r="H345" t="s">
        <v>1305</v>
      </c>
      <c r="I345" s="13">
        <v>98607839500</v>
      </c>
      <c r="J345" s="14">
        <v>2503</v>
      </c>
      <c r="K345" s="14">
        <v>0.8</v>
      </c>
      <c r="L345" s="10" t="s">
        <v>336</v>
      </c>
      <c r="M345" s="14">
        <v>2502.1999999999998</v>
      </c>
      <c r="N345" s="15">
        <v>0.99968038353975219</v>
      </c>
      <c r="O345" t="str">
        <f>IFERROR(VLOOKUP($I345,CHOOSE({1,2},'[1]DIRETORES NTE'!$H$5:$H$31,'[1]DIRETORES NTE'!$E$5:$E$31,),2,0),"-")</f>
        <v>-</v>
      </c>
    </row>
    <row r="346" spans="1:15" x14ac:dyDescent="0.25">
      <c r="A346" s="10">
        <v>344</v>
      </c>
      <c r="B346" s="11">
        <v>22</v>
      </c>
      <c r="C346" s="11" t="s">
        <v>889</v>
      </c>
      <c r="D346" s="11">
        <v>1117850</v>
      </c>
      <c r="E346" s="11">
        <v>29229421</v>
      </c>
      <c r="F346" s="12" t="s">
        <v>1306</v>
      </c>
      <c r="G346" s="11" t="s">
        <v>1307</v>
      </c>
      <c r="H346" t="s">
        <v>1308</v>
      </c>
      <c r="I346" s="13">
        <v>52303012520</v>
      </c>
      <c r="J346" s="14">
        <v>11478</v>
      </c>
      <c r="K346" s="14">
        <v>11478</v>
      </c>
      <c r="L346" s="10" t="s">
        <v>200</v>
      </c>
      <c r="M346" s="14">
        <v>0</v>
      </c>
      <c r="N346" s="15">
        <v>0</v>
      </c>
      <c r="O346" t="str">
        <f>IFERROR(VLOOKUP($I346,CHOOSE({1,2},'[1]DIRETORES NTE'!$H$5:$H$31,'[1]DIRETORES NTE'!$E$5:$E$31,),2,0),"-")</f>
        <v>-</v>
      </c>
    </row>
    <row r="347" spans="1:15" x14ac:dyDescent="0.25">
      <c r="A347" s="10">
        <v>345</v>
      </c>
      <c r="B347" s="11" t="s">
        <v>237</v>
      </c>
      <c r="C347" s="11" t="s">
        <v>237</v>
      </c>
      <c r="D347" s="11" t="s">
        <v>237</v>
      </c>
      <c r="E347" s="11" t="s">
        <v>237</v>
      </c>
      <c r="F347" s="12" t="s">
        <v>237</v>
      </c>
      <c r="G347" s="11" t="s">
        <v>237</v>
      </c>
      <c r="H347" t="s">
        <v>1309</v>
      </c>
      <c r="I347" s="13">
        <v>81425821553</v>
      </c>
      <c r="J347" s="14">
        <v>0</v>
      </c>
      <c r="K347" s="14">
        <v>0</v>
      </c>
      <c r="L347" s="10" t="s">
        <v>356</v>
      </c>
      <c r="M347" s="14">
        <v>0</v>
      </c>
      <c r="N347" s="15" t="e">
        <v>#DIV/0!</v>
      </c>
      <c r="O347" t="str">
        <f>IFERROR(VLOOKUP($I347,CHOOSE({1,2},'[1]DIRETORES NTE'!$H$5:$H$31,'[1]DIRETORES NTE'!$E$5:$E$31,),2,0),"-")</f>
        <v>FABRIZIA PIRES DE OLIVEIRA (DIRETOR DE NTE)</v>
      </c>
    </row>
    <row r="348" spans="1:15" x14ac:dyDescent="0.25">
      <c r="A348" s="10">
        <v>346</v>
      </c>
      <c r="B348" s="11">
        <v>5</v>
      </c>
      <c r="C348" s="11" t="s">
        <v>1310</v>
      </c>
      <c r="D348" s="11">
        <v>1176103</v>
      </c>
      <c r="E348" s="11">
        <v>29299802</v>
      </c>
      <c r="F348" s="12" t="s">
        <v>1311</v>
      </c>
      <c r="G348" s="11" t="s">
        <v>1312</v>
      </c>
      <c r="H348" t="s">
        <v>1313</v>
      </c>
      <c r="I348" s="13">
        <v>58321624553</v>
      </c>
      <c r="J348" s="14">
        <v>1290</v>
      </c>
      <c r="K348" s="14">
        <v>1290</v>
      </c>
      <c r="L348" s="10" t="s">
        <v>44</v>
      </c>
      <c r="M348" s="14">
        <v>0</v>
      </c>
      <c r="N348" s="15">
        <v>0</v>
      </c>
      <c r="O348" t="str">
        <f>IFERROR(VLOOKUP($I348,CHOOSE({1,2},'[1]DIRETORES NTE'!$H$5:$H$31,'[1]DIRETORES NTE'!$E$5:$E$31,),2,0),"-")</f>
        <v>-</v>
      </c>
    </row>
    <row r="349" spans="1:15" x14ac:dyDescent="0.25">
      <c r="A349" s="10">
        <v>347</v>
      </c>
      <c r="B349" s="11">
        <v>24</v>
      </c>
      <c r="C349" s="11" t="s">
        <v>261</v>
      </c>
      <c r="D349" s="11">
        <v>1113927</v>
      </c>
      <c r="E349" s="11">
        <v>29033047</v>
      </c>
      <c r="F349" s="12" t="s">
        <v>1314</v>
      </c>
      <c r="G349" s="11" t="s">
        <v>1315</v>
      </c>
      <c r="H349" t="s">
        <v>1316</v>
      </c>
      <c r="I349" s="13" t="s">
        <v>1317</v>
      </c>
      <c r="J349" s="14">
        <v>3067</v>
      </c>
      <c r="K349" s="14">
        <v>3067</v>
      </c>
      <c r="L349" s="10" t="s">
        <v>266</v>
      </c>
      <c r="M349" s="14">
        <v>0</v>
      </c>
      <c r="N349" s="15">
        <v>0</v>
      </c>
      <c r="O349" t="str">
        <f>IFERROR(VLOOKUP($I349,CHOOSE({1,2},'[1]DIRETORES NTE'!$H$5:$H$31,'[1]DIRETORES NTE'!$E$5:$E$31,),2,0),"-")</f>
        <v>-</v>
      </c>
    </row>
    <row r="350" spans="1:15" x14ac:dyDescent="0.25">
      <c r="A350" s="10">
        <v>348</v>
      </c>
      <c r="B350" s="11">
        <v>13</v>
      </c>
      <c r="C350" s="11" t="s">
        <v>1318</v>
      </c>
      <c r="D350" s="11">
        <v>1178031</v>
      </c>
      <c r="E350" s="11">
        <v>29424348</v>
      </c>
      <c r="F350" s="12" t="s">
        <v>1319</v>
      </c>
      <c r="G350" s="11" t="s">
        <v>1320</v>
      </c>
      <c r="H350" t="s">
        <v>1321</v>
      </c>
      <c r="I350" s="13">
        <v>75248107504</v>
      </c>
      <c r="J350" s="14">
        <v>9855</v>
      </c>
      <c r="K350" s="14">
        <v>9855</v>
      </c>
      <c r="L350" s="10" t="s">
        <v>33</v>
      </c>
      <c r="M350" s="14">
        <v>0</v>
      </c>
      <c r="N350" s="15">
        <v>0</v>
      </c>
      <c r="O350" t="str">
        <f>IFERROR(VLOOKUP($I350,CHOOSE({1,2},'[1]DIRETORES NTE'!$H$5:$H$31,'[1]DIRETORES NTE'!$E$5:$E$31,),2,0),"-")</f>
        <v>-</v>
      </c>
    </row>
    <row r="351" spans="1:15" x14ac:dyDescent="0.25">
      <c r="A351" s="10">
        <v>349</v>
      </c>
      <c r="B351" s="11">
        <v>10</v>
      </c>
      <c r="C351" s="11" t="s">
        <v>1322</v>
      </c>
      <c r="D351" s="11">
        <v>1161654</v>
      </c>
      <c r="E351" s="11">
        <v>29024129</v>
      </c>
      <c r="F351" s="12" t="s">
        <v>1323</v>
      </c>
      <c r="G351" s="11" t="s">
        <v>1324</v>
      </c>
      <c r="H351" t="s">
        <v>1325</v>
      </c>
      <c r="I351" s="13" t="s">
        <v>1326</v>
      </c>
      <c r="J351" s="14">
        <v>3403</v>
      </c>
      <c r="K351" s="14">
        <v>3403</v>
      </c>
      <c r="L351" s="10" t="s">
        <v>21</v>
      </c>
      <c r="M351" s="14">
        <v>0</v>
      </c>
      <c r="N351" s="15">
        <v>0</v>
      </c>
      <c r="O351" t="str">
        <f>IFERROR(VLOOKUP($I351,CHOOSE({1,2},'[1]DIRETORES NTE'!$H$5:$H$31,'[1]DIRETORES NTE'!$E$5:$E$31,),2,0),"-")</f>
        <v>-</v>
      </c>
    </row>
    <row r="352" spans="1:15" x14ac:dyDescent="0.25">
      <c r="A352" s="10">
        <v>350</v>
      </c>
      <c r="B352" s="11">
        <v>26</v>
      </c>
      <c r="C352" s="11" t="s">
        <v>95</v>
      </c>
      <c r="D352" s="11">
        <v>1103751</v>
      </c>
      <c r="E352" s="11">
        <v>29182280</v>
      </c>
      <c r="F352" s="12" t="s">
        <v>1327</v>
      </c>
      <c r="G352" s="11" t="s">
        <v>1328</v>
      </c>
      <c r="H352" t="s">
        <v>1329</v>
      </c>
      <c r="I352" s="13">
        <v>78579295572</v>
      </c>
      <c r="J352" s="14">
        <v>3560</v>
      </c>
      <c r="K352" s="14">
        <v>3560</v>
      </c>
      <c r="L352" s="10" t="s">
        <v>99</v>
      </c>
      <c r="M352" s="14">
        <v>0</v>
      </c>
      <c r="N352" s="15">
        <v>0</v>
      </c>
      <c r="O352" t="str">
        <f>IFERROR(VLOOKUP($I352,CHOOSE({1,2},'[1]DIRETORES NTE'!$H$5:$H$31,'[1]DIRETORES NTE'!$E$5:$E$31,),2,0),"-")</f>
        <v>-</v>
      </c>
    </row>
    <row r="353" spans="1:15" x14ac:dyDescent="0.25">
      <c r="A353" s="10">
        <v>351</v>
      </c>
      <c r="B353" s="11">
        <v>26</v>
      </c>
      <c r="C353" s="11" t="s">
        <v>95</v>
      </c>
      <c r="D353" s="11">
        <v>1176760</v>
      </c>
      <c r="E353" s="11">
        <v>29404304</v>
      </c>
      <c r="F353" s="12" t="s">
        <v>1330</v>
      </c>
      <c r="G353" s="11" t="s">
        <v>1331</v>
      </c>
      <c r="H353" t="s">
        <v>1332</v>
      </c>
      <c r="I353" s="13">
        <v>80654142572</v>
      </c>
      <c r="J353" s="14">
        <v>39868</v>
      </c>
      <c r="K353" s="14">
        <v>39868</v>
      </c>
      <c r="L353" s="10" t="s">
        <v>99</v>
      </c>
      <c r="M353" s="14">
        <v>0</v>
      </c>
      <c r="N353" s="15">
        <v>0</v>
      </c>
      <c r="O353" t="str">
        <f>IFERROR(VLOOKUP($I353,CHOOSE({1,2},'[1]DIRETORES NTE'!$H$5:$H$31,'[1]DIRETORES NTE'!$E$5:$E$31,),2,0),"-")</f>
        <v>-</v>
      </c>
    </row>
    <row r="354" spans="1:15" x14ac:dyDescent="0.25">
      <c r="A354" s="10">
        <v>352</v>
      </c>
      <c r="B354" s="11">
        <v>7</v>
      </c>
      <c r="C354" s="11" t="s">
        <v>1333</v>
      </c>
      <c r="D354" s="11">
        <v>1178036</v>
      </c>
      <c r="E354" s="11">
        <v>29425719</v>
      </c>
      <c r="F354" s="12" t="s">
        <v>1334</v>
      </c>
      <c r="G354" s="11" t="s">
        <v>1335</v>
      </c>
      <c r="H354" t="s">
        <v>1336</v>
      </c>
      <c r="I354" s="13" t="s">
        <v>1337</v>
      </c>
      <c r="J354" s="14">
        <v>4712</v>
      </c>
      <c r="K354" s="14">
        <v>4712</v>
      </c>
      <c r="L354" s="10" t="s">
        <v>153</v>
      </c>
      <c r="M354" s="14">
        <v>0</v>
      </c>
      <c r="N354" s="15">
        <v>0</v>
      </c>
      <c r="O354" t="str">
        <f>IFERROR(VLOOKUP($I354,CHOOSE({1,2},'[1]DIRETORES NTE'!$H$5:$H$31,'[1]DIRETORES NTE'!$E$5:$E$31,),2,0),"-")</f>
        <v>-</v>
      </c>
    </row>
    <row r="355" spans="1:15" x14ac:dyDescent="0.25">
      <c r="A355" s="10">
        <v>353</v>
      </c>
      <c r="B355" s="11">
        <v>26</v>
      </c>
      <c r="C355" s="11" t="s">
        <v>95</v>
      </c>
      <c r="D355" s="11">
        <v>1178138</v>
      </c>
      <c r="E355" s="11">
        <v>29438934</v>
      </c>
      <c r="F355" s="12" t="s">
        <v>1338</v>
      </c>
      <c r="G355" s="11" t="s">
        <v>1339</v>
      </c>
      <c r="H355" t="s">
        <v>1340</v>
      </c>
      <c r="I355" s="13">
        <v>48959898520</v>
      </c>
      <c r="J355" s="14">
        <v>15184</v>
      </c>
      <c r="K355" s="14">
        <v>15184</v>
      </c>
      <c r="L355" s="10" t="s">
        <v>99</v>
      </c>
      <c r="M355" s="14">
        <v>0</v>
      </c>
      <c r="N355" s="15">
        <v>0</v>
      </c>
      <c r="O355" t="str">
        <f>IFERROR(VLOOKUP($I355,CHOOSE({1,2},'[1]DIRETORES NTE'!$H$5:$H$31,'[1]DIRETORES NTE'!$E$5:$E$31,),2,0),"-")</f>
        <v>-</v>
      </c>
    </row>
    <row r="356" spans="1:15" x14ac:dyDescent="0.25">
      <c r="A356" s="10">
        <v>354</v>
      </c>
      <c r="B356" s="11">
        <v>26</v>
      </c>
      <c r="C356" s="11" t="s">
        <v>95</v>
      </c>
      <c r="D356" s="11">
        <v>1104588</v>
      </c>
      <c r="E356" s="11">
        <v>29191840</v>
      </c>
      <c r="F356" s="12" t="s">
        <v>1341</v>
      </c>
      <c r="G356" s="11" t="s">
        <v>1342</v>
      </c>
      <c r="H356" t="s">
        <v>1343</v>
      </c>
      <c r="I356" s="13">
        <v>41668219549</v>
      </c>
      <c r="J356" s="14">
        <v>18949</v>
      </c>
      <c r="K356" s="14">
        <v>18949</v>
      </c>
      <c r="L356" s="10" t="s">
        <v>99</v>
      </c>
      <c r="M356" s="14">
        <v>0</v>
      </c>
      <c r="N356" s="15">
        <v>0</v>
      </c>
      <c r="O356" t="str">
        <f>IFERROR(VLOOKUP($I356,CHOOSE({1,2},'[1]DIRETORES NTE'!$H$5:$H$31,'[1]DIRETORES NTE'!$E$5:$E$31,),2,0),"-")</f>
        <v>-</v>
      </c>
    </row>
    <row r="357" spans="1:15" x14ac:dyDescent="0.25">
      <c r="A357" s="10">
        <v>355</v>
      </c>
      <c r="B357" s="11">
        <v>19</v>
      </c>
      <c r="C357" s="11" t="s">
        <v>331</v>
      </c>
      <c r="D357" s="11">
        <v>1106491</v>
      </c>
      <c r="E357" s="11">
        <v>29093554</v>
      </c>
      <c r="F357" s="12" t="s">
        <v>1344</v>
      </c>
      <c r="G357" s="11" t="s">
        <v>1345</v>
      </c>
      <c r="H357" t="s">
        <v>1346</v>
      </c>
      <c r="I357" s="13">
        <v>89166205549</v>
      </c>
      <c r="J357" s="14">
        <v>15454</v>
      </c>
      <c r="K357" s="14">
        <v>15454</v>
      </c>
      <c r="L357" s="10" t="s">
        <v>336</v>
      </c>
      <c r="M357" s="14">
        <v>0</v>
      </c>
      <c r="N357" s="15">
        <v>0</v>
      </c>
      <c r="O357" t="str">
        <f>IFERROR(VLOOKUP($I357,CHOOSE({1,2},'[1]DIRETORES NTE'!$H$5:$H$31,'[1]DIRETORES NTE'!$E$5:$E$31,),2,0),"-")</f>
        <v>-</v>
      </c>
    </row>
    <row r="358" spans="1:15" x14ac:dyDescent="0.25">
      <c r="A358" s="10">
        <v>356</v>
      </c>
      <c r="B358" s="11">
        <v>19</v>
      </c>
      <c r="C358" s="11" t="s">
        <v>490</v>
      </c>
      <c r="D358" s="11">
        <v>1107455</v>
      </c>
      <c r="E358" s="11">
        <v>29108900</v>
      </c>
      <c r="F358" s="12" t="s">
        <v>1347</v>
      </c>
      <c r="G358" s="11" t="s">
        <v>1348</v>
      </c>
      <c r="H358" t="s">
        <v>1349</v>
      </c>
      <c r="I358" s="13">
        <v>61355941504</v>
      </c>
      <c r="J358" s="14">
        <v>14958</v>
      </c>
      <c r="K358" s="14">
        <v>14958</v>
      </c>
      <c r="L358" s="10" t="s">
        <v>336</v>
      </c>
      <c r="M358" s="14">
        <v>0</v>
      </c>
      <c r="N358" s="15">
        <v>0</v>
      </c>
      <c r="O358" t="str">
        <f>IFERROR(VLOOKUP($I358,CHOOSE({1,2},'[1]DIRETORES NTE'!$H$5:$H$31,'[1]DIRETORES NTE'!$E$5:$E$31,),2,0),"-")</f>
        <v>-</v>
      </c>
    </row>
    <row r="359" spans="1:15" x14ac:dyDescent="0.25">
      <c r="A359" s="10">
        <v>357</v>
      </c>
      <c r="B359" s="11">
        <v>18</v>
      </c>
      <c r="C359" s="11" t="s">
        <v>1350</v>
      </c>
      <c r="D359" s="11">
        <v>1133936</v>
      </c>
      <c r="E359" s="11">
        <v>29159318</v>
      </c>
      <c r="F359" s="12" t="s">
        <v>1351</v>
      </c>
      <c r="G359" s="11" t="s">
        <v>1352</v>
      </c>
      <c r="H359" t="s">
        <v>1353</v>
      </c>
      <c r="I359" s="13">
        <v>81340290510</v>
      </c>
      <c r="J359" s="14">
        <v>7726</v>
      </c>
      <c r="K359" s="14">
        <v>7726</v>
      </c>
      <c r="L359" s="10" t="s">
        <v>68</v>
      </c>
      <c r="M359" s="14">
        <v>0</v>
      </c>
      <c r="N359" s="15">
        <v>0</v>
      </c>
      <c r="O359" t="str">
        <f>IFERROR(VLOOKUP($I359,CHOOSE({1,2},'[1]DIRETORES NTE'!$H$5:$H$31,'[1]DIRETORES NTE'!$E$5:$E$31,),2,0),"-")</f>
        <v>-</v>
      </c>
    </row>
    <row r="360" spans="1:15" x14ac:dyDescent="0.25">
      <c r="A360" s="10">
        <v>358</v>
      </c>
      <c r="B360" s="11" t="s">
        <v>237</v>
      </c>
      <c r="C360" s="11" t="s">
        <v>237</v>
      </c>
      <c r="D360" s="11" t="s">
        <v>237</v>
      </c>
      <c r="E360" s="11" t="s">
        <v>237</v>
      </c>
      <c r="F360" s="12" t="s">
        <v>237</v>
      </c>
      <c r="G360" s="11" t="s">
        <v>237</v>
      </c>
      <c r="H360" t="s">
        <v>1354</v>
      </c>
      <c r="I360" s="13">
        <v>19087578504</v>
      </c>
      <c r="J360" s="14">
        <v>0</v>
      </c>
      <c r="K360" s="14">
        <v>0</v>
      </c>
      <c r="L360" s="10" t="s">
        <v>336</v>
      </c>
      <c r="M360" s="14">
        <v>0</v>
      </c>
      <c r="N360" s="15" t="e">
        <v>#DIV/0!</v>
      </c>
      <c r="O360" t="str">
        <f>IFERROR(VLOOKUP($I360,CHOOSE({1,2},'[1]DIRETORES NTE'!$H$5:$H$31,'[1]DIRETORES NTE'!$E$5:$E$31,),2,0),"-")</f>
        <v>-</v>
      </c>
    </row>
    <row r="361" spans="1:15" x14ac:dyDescent="0.25">
      <c r="A361" s="10">
        <v>359</v>
      </c>
      <c r="B361" s="11" t="s">
        <v>237</v>
      </c>
      <c r="C361" s="11" t="s">
        <v>237</v>
      </c>
      <c r="D361" s="11" t="s">
        <v>237</v>
      </c>
      <c r="E361" s="11" t="s">
        <v>237</v>
      </c>
      <c r="F361" s="12" t="s">
        <v>237</v>
      </c>
      <c r="G361" s="11" t="s">
        <v>237</v>
      </c>
      <c r="H361" t="s">
        <v>1355</v>
      </c>
      <c r="I361" s="13">
        <v>56986432534</v>
      </c>
      <c r="J361" s="14">
        <v>0</v>
      </c>
      <c r="K361" s="14">
        <v>0</v>
      </c>
      <c r="L361" s="10" t="s">
        <v>90</v>
      </c>
      <c r="M361" s="14">
        <v>0</v>
      </c>
      <c r="N361" s="15" t="e">
        <v>#DIV/0!</v>
      </c>
      <c r="O361" t="str">
        <f>IFERROR(VLOOKUP($I361,CHOOSE({1,2},'[1]DIRETORES NTE'!$H$5:$H$31,'[1]DIRETORES NTE'!$E$5:$E$31,),2,0),"-")</f>
        <v>FLORDENICE REGO PEREIRA OLIVEIRA COSTA (DIRETOR DE NTE)</v>
      </c>
    </row>
    <row r="362" spans="1:15" x14ac:dyDescent="0.25">
      <c r="A362" s="10">
        <v>360</v>
      </c>
      <c r="B362" s="11">
        <v>20</v>
      </c>
      <c r="C362" s="11" t="s">
        <v>50</v>
      </c>
      <c r="D362" s="11">
        <v>1179822</v>
      </c>
      <c r="E362" s="11">
        <v>44414</v>
      </c>
      <c r="F362" s="12" t="s">
        <v>1356</v>
      </c>
      <c r="G362" s="11" t="s">
        <v>1357</v>
      </c>
      <c r="H362" t="s">
        <v>1358</v>
      </c>
      <c r="I362" s="13" t="s">
        <v>1359</v>
      </c>
      <c r="J362" s="14">
        <v>8667</v>
      </c>
      <c r="K362" s="14">
        <v>8667</v>
      </c>
      <c r="L362" s="10" t="s">
        <v>27</v>
      </c>
      <c r="M362" s="14">
        <v>0</v>
      </c>
      <c r="N362" s="15">
        <v>0</v>
      </c>
      <c r="O362" t="str">
        <f>IFERROR(VLOOKUP($I362,CHOOSE({1,2},'[1]DIRETORES NTE'!$H$5:$H$31,'[1]DIRETORES NTE'!$E$5:$E$31,),2,0),"-")</f>
        <v>-</v>
      </c>
    </row>
    <row r="363" spans="1:15" x14ac:dyDescent="0.25">
      <c r="A363" s="10">
        <v>361</v>
      </c>
      <c r="B363" s="11">
        <v>13</v>
      </c>
      <c r="C363" s="11" t="s">
        <v>624</v>
      </c>
      <c r="D363" s="11">
        <v>1176710</v>
      </c>
      <c r="E363" s="11">
        <v>29410134</v>
      </c>
      <c r="F363" s="12" t="s">
        <v>1360</v>
      </c>
      <c r="G363" s="11" t="s">
        <v>1361</v>
      </c>
      <c r="H363" t="s">
        <v>1362</v>
      </c>
      <c r="I363" s="13">
        <v>83163077587</v>
      </c>
      <c r="J363" s="14">
        <v>1823</v>
      </c>
      <c r="K363" s="14">
        <v>299.69</v>
      </c>
      <c r="L363" s="10" t="s">
        <v>33</v>
      </c>
      <c r="M363" s="14">
        <v>1523.31</v>
      </c>
      <c r="N363" s="15">
        <v>0.83560614371914421</v>
      </c>
      <c r="O363" t="str">
        <f>IFERROR(VLOOKUP($I363,CHOOSE({1,2},'[1]DIRETORES NTE'!$H$5:$H$31,'[1]DIRETORES NTE'!$E$5:$E$31,),2,0),"-")</f>
        <v>-</v>
      </c>
    </row>
    <row r="364" spans="1:15" x14ac:dyDescent="0.25">
      <c r="A364" s="10">
        <v>362</v>
      </c>
      <c r="B364" s="11">
        <v>10</v>
      </c>
      <c r="C364" s="11" t="s">
        <v>16</v>
      </c>
      <c r="D364" s="11">
        <v>1176930</v>
      </c>
      <c r="E364" s="11">
        <v>29408628</v>
      </c>
      <c r="F364" s="12" t="s">
        <v>1363</v>
      </c>
      <c r="G364" s="11" t="s">
        <v>1364</v>
      </c>
      <c r="H364" t="s">
        <v>1365</v>
      </c>
      <c r="I364" s="13" t="s">
        <v>1366</v>
      </c>
      <c r="J364" s="14">
        <v>10466</v>
      </c>
      <c r="K364" s="14">
        <v>10466</v>
      </c>
      <c r="L364" s="10" t="s">
        <v>21</v>
      </c>
      <c r="M364" s="14">
        <v>0</v>
      </c>
      <c r="N364" s="15">
        <v>0</v>
      </c>
      <c r="O364" t="str">
        <f>IFERROR(VLOOKUP($I364,CHOOSE({1,2},'[1]DIRETORES NTE'!$H$5:$H$31,'[1]DIRETORES NTE'!$E$5:$E$31,),2,0),"-")</f>
        <v>-</v>
      </c>
    </row>
    <row r="365" spans="1:15" x14ac:dyDescent="0.25">
      <c r="A365" s="10">
        <v>363</v>
      </c>
      <c r="B365" s="11">
        <v>18</v>
      </c>
      <c r="C365" s="11" t="s">
        <v>327</v>
      </c>
      <c r="D365" s="11">
        <v>1178078</v>
      </c>
      <c r="E365" s="11">
        <v>29430305</v>
      </c>
      <c r="F365" s="12" t="s">
        <v>1367</v>
      </c>
      <c r="G365" s="11" t="s">
        <v>1368</v>
      </c>
      <c r="H365" t="s">
        <v>1369</v>
      </c>
      <c r="I365" s="13">
        <v>59918454504</v>
      </c>
      <c r="J365" s="14">
        <v>24897</v>
      </c>
      <c r="K365" s="14">
        <v>24897</v>
      </c>
      <c r="L365" s="10" t="s">
        <v>68</v>
      </c>
      <c r="M365" s="14">
        <v>0</v>
      </c>
      <c r="N365" s="15">
        <v>0</v>
      </c>
      <c r="O365" t="str">
        <f>IFERROR(VLOOKUP($I365,CHOOSE({1,2},'[1]DIRETORES NTE'!$H$5:$H$31,'[1]DIRETORES NTE'!$E$5:$E$31,),2,0),"-")</f>
        <v>-</v>
      </c>
    </row>
    <row r="366" spans="1:15" x14ac:dyDescent="0.25">
      <c r="A366" s="10">
        <v>364</v>
      </c>
      <c r="B366" s="11">
        <v>26</v>
      </c>
      <c r="C366" s="11" t="s">
        <v>446</v>
      </c>
      <c r="D366" s="11">
        <v>1134134</v>
      </c>
      <c r="E366" s="11">
        <v>29159539</v>
      </c>
      <c r="F366" s="12" t="s">
        <v>1370</v>
      </c>
      <c r="G366" s="11" t="s">
        <v>1371</v>
      </c>
      <c r="H366" t="s">
        <v>1372</v>
      </c>
      <c r="I366" s="13">
        <v>78860091500</v>
      </c>
      <c r="J366" s="14">
        <v>20242</v>
      </c>
      <c r="K366" s="14">
        <v>20242</v>
      </c>
      <c r="L366" s="10" t="s">
        <v>99</v>
      </c>
      <c r="M366" s="14">
        <v>0</v>
      </c>
      <c r="N366" s="15">
        <v>0</v>
      </c>
      <c r="O366" t="str">
        <f>IFERROR(VLOOKUP($I366,CHOOSE({1,2},'[1]DIRETORES NTE'!$H$5:$H$31,'[1]DIRETORES NTE'!$E$5:$E$31,),2,0),"-")</f>
        <v>-</v>
      </c>
    </row>
    <row r="367" spans="1:15" x14ac:dyDescent="0.25">
      <c r="A367" s="10">
        <v>365</v>
      </c>
      <c r="B367" s="11">
        <v>7</v>
      </c>
      <c r="C367" s="11" t="s">
        <v>660</v>
      </c>
      <c r="D367" s="11">
        <v>1178090</v>
      </c>
      <c r="E367" s="11">
        <v>29433746</v>
      </c>
      <c r="F367" s="12" t="s">
        <v>855</v>
      </c>
      <c r="G367" s="11" t="s">
        <v>1373</v>
      </c>
      <c r="H367" t="s">
        <v>1374</v>
      </c>
      <c r="I367" s="13" t="s">
        <v>1375</v>
      </c>
      <c r="J367" s="14">
        <v>10714</v>
      </c>
      <c r="K367" s="14">
        <v>10714</v>
      </c>
      <c r="L367" s="10" t="s">
        <v>153</v>
      </c>
      <c r="M367" s="14">
        <v>0</v>
      </c>
      <c r="N367" s="15">
        <v>0</v>
      </c>
      <c r="O367" t="str">
        <f>IFERROR(VLOOKUP($I367,CHOOSE({1,2},'[1]DIRETORES NTE'!$H$5:$H$31,'[1]DIRETORES NTE'!$E$5:$E$31,),2,0),"-")</f>
        <v>-</v>
      </c>
    </row>
    <row r="368" spans="1:15" x14ac:dyDescent="0.25">
      <c r="A368" s="10">
        <v>366</v>
      </c>
      <c r="B368" s="11">
        <v>11</v>
      </c>
      <c r="C368" s="11" t="s">
        <v>1376</v>
      </c>
      <c r="D368" s="11">
        <v>1130929</v>
      </c>
      <c r="E368" s="11">
        <v>29009197</v>
      </c>
      <c r="F368" s="12" t="s">
        <v>1377</v>
      </c>
      <c r="G368" s="11" t="s">
        <v>1378</v>
      </c>
      <c r="H368" t="s">
        <v>1379</v>
      </c>
      <c r="I368" s="13" t="s">
        <v>1380</v>
      </c>
      <c r="J368" s="14">
        <v>24926</v>
      </c>
      <c r="K368" s="14">
        <v>24926</v>
      </c>
      <c r="L368" s="10" t="s">
        <v>39</v>
      </c>
      <c r="M368" s="14">
        <v>0</v>
      </c>
      <c r="N368" s="15">
        <v>0</v>
      </c>
      <c r="O368" t="str">
        <f>IFERROR(VLOOKUP($I368,CHOOSE({1,2},'[1]DIRETORES NTE'!$H$5:$H$31,'[1]DIRETORES NTE'!$E$5:$E$31,),2,0),"-")</f>
        <v>-</v>
      </c>
    </row>
    <row r="369" spans="1:15" x14ac:dyDescent="0.25">
      <c r="A369" s="10">
        <v>367</v>
      </c>
      <c r="B369" s="11">
        <v>18</v>
      </c>
      <c r="C369" s="11" t="s">
        <v>1381</v>
      </c>
      <c r="D369" s="11">
        <v>1178259</v>
      </c>
      <c r="E369" s="11">
        <v>29848873</v>
      </c>
      <c r="F369" s="12" t="s">
        <v>1382</v>
      </c>
      <c r="G369" s="11" t="s">
        <v>1383</v>
      </c>
      <c r="H369" t="s">
        <v>1384</v>
      </c>
      <c r="I369" s="13" t="s">
        <v>1385</v>
      </c>
      <c r="J369" s="14">
        <v>5323</v>
      </c>
      <c r="K369" s="14">
        <v>5323</v>
      </c>
      <c r="L369" s="10" t="s">
        <v>68</v>
      </c>
      <c r="M369" s="14">
        <v>0</v>
      </c>
      <c r="N369" s="15">
        <v>0</v>
      </c>
      <c r="O369" t="str">
        <f>IFERROR(VLOOKUP($I369,CHOOSE({1,2},'[1]DIRETORES NTE'!$H$5:$H$31,'[1]DIRETORES NTE'!$E$5:$E$31,),2,0),"-")</f>
        <v>-</v>
      </c>
    </row>
    <row r="370" spans="1:15" x14ac:dyDescent="0.25">
      <c r="A370" s="10">
        <v>368</v>
      </c>
      <c r="B370" s="11">
        <v>7</v>
      </c>
      <c r="C370" s="11" t="s">
        <v>1333</v>
      </c>
      <c r="D370" s="11">
        <v>1113579</v>
      </c>
      <c r="E370" s="11">
        <v>29628610</v>
      </c>
      <c r="F370" s="12" t="s">
        <v>1386</v>
      </c>
      <c r="G370" s="11" t="s">
        <v>1387</v>
      </c>
      <c r="H370" t="s">
        <v>1388</v>
      </c>
      <c r="I370" s="13" t="s">
        <v>1389</v>
      </c>
      <c r="J370" s="14">
        <v>4720</v>
      </c>
      <c r="K370" s="14">
        <v>4720</v>
      </c>
      <c r="L370" s="10" t="s">
        <v>153</v>
      </c>
      <c r="M370" s="14">
        <v>0</v>
      </c>
      <c r="N370" s="15">
        <v>0</v>
      </c>
      <c r="O370" t="str">
        <f>IFERROR(VLOOKUP($I370,CHOOSE({1,2},'[1]DIRETORES NTE'!$H$5:$H$31,'[1]DIRETORES NTE'!$E$5:$E$31,),2,0),"-")</f>
        <v>-</v>
      </c>
    </row>
    <row r="371" spans="1:15" x14ac:dyDescent="0.25">
      <c r="A371" s="10">
        <v>369</v>
      </c>
      <c r="B371" s="11">
        <v>4</v>
      </c>
      <c r="C371" s="11" t="s">
        <v>1390</v>
      </c>
      <c r="D371" s="11">
        <v>1115520</v>
      </c>
      <c r="E371" s="11">
        <v>29147409</v>
      </c>
      <c r="F371" s="12" t="s">
        <v>1391</v>
      </c>
      <c r="G371" s="11" t="s">
        <v>1392</v>
      </c>
      <c r="H371" t="s">
        <v>1393</v>
      </c>
      <c r="I371" s="13">
        <v>63310287572</v>
      </c>
      <c r="J371" s="14">
        <v>8015</v>
      </c>
      <c r="K371" s="14">
        <v>8015</v>
      </c>
      <c r="L371" s="10" t="s">
        <v>58</v>
      </c>
      <c r="M371" s="14">
        <v>0</v>
      </c>
      <c r="N371" s="15">
        <v>0</v>
      </c>
      <c r="O371" t="str">
        <f>IFERROR(VLOOKUP($I371,CHOOSE({1,2},'[1]DIRETORES NTE'!$H$5:$H$31,'[1]DIRETORES NTE'!$E$5:$E$31,),2,0),"-")</f>
        <v>-</v>
      </c>
    </row>
    <row r="372" spans="1:15" x14ac:dyDescent="0.25">
      <c r="A372" s="10">
        <v>370</v>
      </c>
      <c r="B372" s="11">
        <v>10</v>
      </c>
      <c r="C372" s="11" t="s">
        <v>1394</v>
      </c>
      <c r="D372" s="11">
        <v>1161271</v>
      </c>
      <c r="E372" s="11">
        <v>29125537</v>
      </c>
      <c r="F372" s="12" t="s">
        <v>1395</v>
      </c>
      <c r="G372" s="11" t="s">
        <v>1396</v>
      </c>
      <c r="H372" t="s">
        <v>1397</v>
      </c>
      <c r="I372" s="13">
        <v>89668197534</v>
      </c>
      <c r="J372" s="14">
        <v>1427</v>
      </c>
      <c r="K372" s="14">
        <v>1427</v>
      </c>
      <c r="L372" s="10" t="s">
        <v>21</v>
      </c>
      <c r="M372" s="14">
        <v>0</v>
      </c>
      <c r="N372" s="15">
        <v>0</v>
      </c>
      <c r="O372" t="str">
        <f>IFERROR(VLOOKUP($I372,CHOOSE({1,2},'[1]DIRETORES NTE'!$H$5:$H$31,'[1]DIRETORES NTE'!$E$5:$E$31,),2,0),"-")</f>
        <v>-</v>
      </c>
    </row>
    <row r="373" spans="1:15" x14ac:dyDescent="0.25">
      <c r="A373" s="10">
        <v>371</v>
      </c>
      <c r="B373" s="11">
        <v>4</v>
      </c>
      <c r="C373" s="11" t="s">
        <v>1398</v>
      </c>
      <c r="D373" s="11">
        <v>1116691</v>
      </c>
      <c r="E373" s="11">
        <v>29146631</v>
      </c>
      <c r="F373" s="12" t="s">
        <v>1399</v>
      </c>
      <c r="G373" s="11" t="s">
        <v>1400</v>
      </c>
      <c r="H373" t="s">
        <v>1401</v>
      </c>
      <c r="I373" s="13" t="s">
        <v>1402</v>
      </c>
      <c r="J373" s="14">
        <v>3004</v>
      </c>
      <c r="K373" s="14">
        <v>3004</v>
      </c>
      <c r="L373" s="10" t="s">
        <v>58</v>
      </c>
      <c r="M373" s="14">
        <v>0</v>
      </c>
      <c r="N373" s="15">
        <v>0</v>
      </c>
      <c r="O373" t="str">
        <f>IFERROR(VLOOKUP($I373,CHOOSE({1,2},'[1]DIRETORES NTE'!$H$5:$H$31,'[1]DIRETORES NTE'!$E$5:$E$31,),2,0),"-")</f>
        <v>-</v>
      </c>
    </row>
    <row r="374" spans="1:15" x14ac:dyDescent="0.25">
      <c r="A374" s="10">
        <v>372</v>
      </c>
      <c r="B374" s="11">
        <v>22</v>
      </c>
      <c r="C374" s="11" t="s">
        <v>1403</v>
      </c>
      <c r="D374" s="11">
        <v>1178377</v>
      </c>
      <c r="E374" s="11">
        <v>29848792</v>
      </c>
      <c r="F374" s="12" t="s">
        <v>1404</v>
      </c>
      <c r="G374" s="11" t="s">
        <v>1405</v>
      </c>
      <c r="H374" t="s">
        <v>1406</v>
      </c>
      <c r="I374" s="13">
        <v>80575447591</v>
      </c>
      <c r="J374" s="14">
        <v>3115</v>
      </c>
      <c r="K374" s="14">
        <v>3115</v>
      </c>
      <c r="L374" s="10" t="s">
        <v>200</v>
      </c>
      <c r="M374" s="14">
        <v>0</v>
      </c>
      <c r="N374" s="15">
        <v>0</v>
      </c>
      <c r="O374" t="str">
        <f>IFERROR(VLOOKUP($I374,CHOOSE({1,2},'[1]DIRETORES NTE'!$H$5:$H$31,'[1]DIRETORES NTE'!$E$5:$E$31,),2,0),"-")</f>
        <v>-</v>
      </c>
    </row>
    <row r="375" spans="1:15" x14ac:dyDescent="0.25">
      <c r="A375" s="10">
        <v>373</v>
      </c>
      <c r="B375" s="11">
        <v>18</v>
      </c>
      <c r="C375" s="11" t="s">
        <v>64</v>
      </c>
      <c r="D375" s="11">
        <v>1178440</v>
      </c>
      <c r="E375" s="11">
        <v>29999812</v>
      </c>
      <c r="F375" s="12" t="s">
        <v>1407</v>
      </c>
      <c r="G375" s="11" t="s">
        <v>1408</v>
      </c>
      <c r="H375" t="s">
        <v>1409</v>
      </c>
      <c r="I375" s="13">
        <v>45620571572</v>
      </c>
      <c r="J375" s="14">
        <v>2657</v>
      </c>
      <c r="K375" s="14">
        <v>2657</v>
      </c>
      <c r="L375" s="10" t="s">
        <v>68</v>
      </c>
      <c r="M375" s="14">
        <v>0</v>
      </c>
      <c r="N375" s="15">
        <v>0</v>
      </c>
      <c r="O375" t="str">
        <f>IFERROR(VLOOKUP($I375,CHOOSE({1,2},'[1]DIRETORES NTE'!$H$5:$H$31,'[1]DIRETORES NTE'!$E$5:$E$31,),2,0),"-")</f>
        <v>-</v>
      </c>
    </row>
    <row r="376" spans="1:15" x14ac:dyDescent="0.25">
      <c r="A376" s="10">
        <v>374</v>
      </c>
      <c r="B376" s="11">
        <v>26</v>
      </c>
      <c r="C376" s="11" t="s">
        <v>95</v>
      </c>
      <c r="D376" s="11">
        <v>1102941</v>
      </c>
      <c r="E376" s="11">
        <v>29196434</v>
      </c>
      <c r="F376" s="12" t="s">
        <v>1410</v>
      </c>
      <c r="G376" s="11" t="s">
        <v>1411</v>
      </c>
      <c r="H376" t="s">
        <v>1412</v>
      </c>
      <c r="I376" s="13">
        <v>81846894549</v>
      </c>
      <c r="J376" s="14">
        <v>16895</v>
      </c>
      <c r="K376" s="14">
        <v>10613.66</v>
      </c>
      <c r="L376" s="10" t="s">
        <v>99</v>
      </c>
      <c r="M376" s="14">
        <v>6281.34</v>
      </c>
      <c r="N376" s="15">
        <v>0.37178691920686596</v>
      </c>
      <c r="O376" t="str">
        <f>IFERROR(VLOOKUP($I376,CHOOSE({1,2},'[1]DIRETORES NTE'!$H$5:$H$31,'[1]DIRETORES NTE'!$E$5:$E$31,),2,0),"-")</f>
        <v>-</v>
      </c>
    </row>
    <row r="377" spans="1:15" x14ac:dyDescent="0.25">
      <c r="A377" s="10">
        <v>375</v>
      </c>
      <c r="B377" s="11">
        <v>10</v>
      </c>
      <c r="C377" s="11" t="s">
        <v>16</v>
      </c>
      <c r="D377" s="11">
        <v>1120664</v>
      </c>
      <c r="E377" s="11">
        <v>29024536</v>
      </c>
      <c r="F377" s="12" t="s">
        <v>1413</v>
      </c>
      <c r="G377" s="11" t="s">
        <v>1414</v>
      </c>
      <c r="H377" t="s">
        <v>1415</v>
      </c>
      <c r="I377" s="13" t="s">
        <v>1416</v>
      </c>
      <c r="J377" s="14">
        <v>37248</v>
      </c>
      <c r="K377" s="14">
        <v>37248</v>
      </c>
      <c r="L377" s="10" t="s">
        <v>21</v>
      </c>
      <c r="M377" s="14">
        <v>0</v>
      </c>
      <c r="N377" s="15">
        <v>0</v>
      </c>
      <c r="O377" t="str">
        <f>IFERROR(VLOOKUP($I377,CHOOSE({1,2},'[1]DIRETORES NTE'!$H$5:$H$31,'[1]DIRETORES NTE'!$E$5:$E$31,),2,0),"-")</f>
        <v>-</v>
      </c>
    </row>
    <row r="378" spans="1:15" x14ac:dyDescent="0.25">
      <c r="A378" s="10">
        <v>376</v>
      </c>
      <c r="B378" s="11">
        <v>4</v>
      </c>
      <c r="C378" s="11" t="s">
        <v>1417</v>
      </c>
      <c r="D378" s="11">
        <v>1178125</v>
      </c>
      <c r="E378" s="11">
        <v>29437164</v>
      </c>
      <c r="F378" s="12" t="s">
        <v>1418</v>
      </c>
      <c r="G378" s="11" t="s">
        <v>1419</v>
      </c>
      <c r="H378" t="s">
        <v>1420</v>
      </c>
      <c r="I378" s="13" t="s">
        <v>1421</v>
      </c>
      <c r="J378" s="14">
        <v>3096</v>
      </c>
      <c r="K378" s="14">
        <v>3096</v>
      </c>
      <c r="L378" s="10" t="s">
        <v>58</v>
      </c>
      <c r="M378" s="14">
        <v>0</v>
      </c>
      <c r="N378" s="15">
        <v>0</v>
      </c>
      <c r="O378" t="str">
        <f>IFERROR(VLOOKUP($I378,CHOOSE({1,2},'[1]DIRETORES NTE'!$H$5:$H$31,'[1]DIRETORES NTE'!$E$5:$E$31,),2,0),"-")</f>
        <v>-</v>
      </c>
    </row>
    <row r="379" spans="1:15" x14ac:dyDescent="0.25">
      <c r="A379" s="10">
        <v>377</v>
      </c>
      <c r="B379" s="11">
        <v>11</v>
      </c>
      <c r="C379" s="11" t="s">
        <v>188</v>
      </c>
      <c r="D379" s="11">
        <v>1129696</v>
      </c>
      <c r="E379" s="11">
        <v>29001064</v>
      </c>
      <c r="F379" s="12" t="s">
        <v>1422</v>
      </c>
      <c r="G379" s="11" t="s">
        <v>1423</v>
      </c>
      <c r="H379" t="s">
        <v>1424</v>
      </c>
      <c r="I379" s="13" t="s">
        <v>1425</v>
      </c>
      <c r="J379" s="14">
        <v>5450</v>
      </c>
      <c r="K379" s="14">
        <v>5450</v>
      </c>
      <c r="L379" s="10" t="s">
        <v>39</v>
      </c>
      <c r="M379" s="14">
        <v>0</v>
      </c>
      <c r="N379" s="15">
        <v>0</v>
      </c>
      <c r="O379" t="str">
        <f>IFERROR(VLOOKUP($I379,CHOOSE({1,2},'[1]DIRETORES NTE'!$H$5:$H$31,'[1]DIRETORES NTE'!$E$5:$E$31,),2,0),"-")</f>
        <v>-</v>
      </c>
    </row>
    <row r="380" spans="1:15" x14ac:dyDescent="0.25">
      <c r="A380" s="10">
        <v>378</v>
      </c>
      <c r="B380" s="11">
        <v>26</v>
      </c>
      <c r="C380" s="11" t="s">
        <v>95</v>
      </c>
      <c r="D380" s="11">
        <v>1101791</v>
      </c>
      <c r="E380" s="11">
        <v>29191637</v>
      </c>
      <c r="F380" s="12" t="s">
        <v>1426</v>
      </c>
      <c r="G380" s="11" t="s">
        <v>1427</v>
      </c>
      <c r="H380" t="s">
        <v>1428</v>
      </c>
      <c r="I380" s="13">
        <v>36217840553</v>
      </c>
      <c r="J380" s="14">
        <v>7673</v>
      </c>
      <c r="K380" s="14">
        <v>0</v>
      </c>
      <c r="L380" s="10" t="s">
        <v>99</v>
      </c>
      <c r="M380" s="14">
        <v>7673</v>
      </c>
      <c r="N380" s="15">
        <v>1</v>
      </c>
      <c r="O380" t="str">
        <f>IFERROR(VLOOKUP($I380,CHOOSE({1,2},'[1]DIRETORES NTE'!$H$5:$H$31,'[1]DIRETORES NTE'!$E$5:$E$31,),2,0),"-")</f>
        <v>-</v>
      </c>
    </row>
    <row r="381" spans="1:15" x14ac:dyDescent="0.25">
      <c r="A381" s="10">
        <v>379</v>
      </c>
      <c r="B381" s="11">
        <v>5</v>
      </c>
      <c r="C381" s="11" t="s">
        <v>40</v>
      </c>
      <c r="D381" s="11">
        <v>1179628</v>
      </c>
      <c r="E381" s="11">
        <v>29473101</v>
      </c>
      <c r="F381" s="12" t="s">
        <v>1429</v>
      </c>
      <c r="G381" s="11" t="s">
        <v>1430</v>
      </c>
      <c r="H381" t="s">
        <v>1431</v>
      </c>
      <c r="I381" s="13">
        <v>38180189520</v>
      </c>
      <c r="J381" s="14">
        <v>9706</v>
      </c>
      <c r="K381" s="14">
        <v>9706</v>
      </c>
      <c r="L381" s="10" t="s">
        <v>44</v>
      </c>
      <c r="M381" s="14">
        <v>0</v>
      </c>
      <c r="N381" s="15">
        <v>0</v>
      </c>
      <c r="O381" t="str">
        <f>IFERROR(VLOOKUP($I381,CHOOSE({1,2},'[1]DIRETORES NTE'!$H$5:$H$31,'[1]DIRETORES NTE'!$E$5:$E$31,),2,0),"-")</f>
        <v>-</v>
      </c>
    </row>
    <row r="382" spans="1:15" x14ac:dyDescent="0.25">
      <c r="A382" s="10">
        <v>380</v>
      </c>
      <c r="B382" s="11">
        <v>14</v>
      </c>
      <c r="C382" s="11" t="s">
        <v>884</v>
      </c>
      <c r="D382" s="11">
        <v>1176429</v>
      </c>
      <c r="E382" s="11">
        <v>29393949</v>
      </c>
      <c r="F382" s="12" t="s">
        <v>649</v>
      </c>
      <c r="G382" s="11" t="s">
        <v>1432</v>
      </c>
      <c r="H382" t="s">
        <v>1433</v>
      </c>
      <c r="I382" s="13">
        <v>45587019500</v>
      </c>
      <c r="J382" s="14">
        <v>32645</v>
      </c>
      <c r="K382" s="14">
        <v>32645</v>
      </c>
      <c r="L382" s="10" t="s">
        <v>147</v>
      </c>
      <c r="M382" s="14">
        <v>0</v>
      </c>
      <c r="N382" s="15">
        <v>0</v>
      </c>
      <c r="O382" t="str">
        <f>IFERROR(VLOOKUP($I382,CHOOSE({1,2},'[1]DIRETORES NTE'!$H$5:$H$31,'[1]DIRETORES NTE'!$E$5:$E$31,),2,0),"-")</f>
        <v>-</v>
      </c>
    </row>
    <row r="383" spans="1:15" x14ac:dyDescent="0.25">
      <c r="A383" s="10">
        <v>381</v>
      </c>
      <c r="B383" s="11">
        <v>18</v>
      </c>
      <c r="C383" s="11" t="s">
        <v>548</v>
      </c>
      <c r="D383" s="11">
        <v>1108729</v>
      </c>
      <c r="E383" s="11">
        <v>29158850</v>
      </c>
      <c r="F383" s="12" t="s">
        <v>1434</v>
      </c>
      <c r="G383" s="11" t="s">
        <v>1435</v>
      </c>
      <c r="H383" t="s">
        <v>1436</v>
      </c>
      <c r="I383" s="13">
        <v>83465138520</v>
      </c>
      <c r="J383" s="14">
        <v>3746</v>
      </c>
      <c r="K383" s="14">
        <v>3746</v>
      </c>
      <c r="L383" s="10" t="s">
        <v>68</v>
      </c>
      <c r="M383" s="14">
        <v>0</v>
      </c>
      <c r="N383" s="15">
        <v>0</v>
      </c>
      <c r="O383" t="str">
        <f>IFERROR(VLOOKUP($I383,CHOOSE({1,2},'[1]DIRETORES NTE'!$H$5:$H$31,'[1]DIRETORES NTE'!$E$5:$E$31,),2,0),"-")</f>
        <v>-</v>
      </c>
    </row>
    <row r="384" spans="1:15" x14ac:dyDescent="0.25">
      <c r="A384" s="10">
        <v>382</v>
      </c>
      <c r="B384" s="11">
        <v>10</v>
      </c>
      <c r="C384" s="11" t="s">
        <v>16</v>
      </c>
      <c r="D384" s="11">
        <v>1178255</v>
      </c>
      <c r="E384" s="11">
        <v>29467004</v>
      </c>
      <c r="F384" s="12" t="s">
        <v>1437</v>
      </c>
      <c r="G384" s="11" t="s">
        <v>1438</v>
      </c>
      <c r="H384" t="s">
        <v>1439</v>
      </c>
      <c r="I384" s="13">
        <v>62168274568</v>
      </c>
      <c r="J384" s="14">
        <v>16865</v>
      </c>
      <c r="K384" s="14">
        <v>16865</v>
      </c>
      <c r="L384" s="10" t="s">
        <v>21</v>
      </c>
      <c r="M384" s="14">
        <v>0</v>
      </c>
      <c r="N384" s="15">
        <v>0</v>
      </c>
      <c r="O384" t="str">
        <f>IFERROR(VLOOKUP($I384,CHOOSE({1,2},'[1]DIRETORES NTE'!$H$5:$H$31,'[1]DIRETORES NTE'!$E$5:$E$31,),2,0),"-")</f>
        <v>-</v>
      </c>
    </row>
    <row r="385" spans="1:15" x14ac:dyDescent="0.25">
      <c r="A385" s="10">
        <v>383</v>
      </c>
      <c r="B385" s="11">
        <v>17</v>
      </c>
      <c r="C385" s="11" t="s">
        <v>1440</v>
      </c>
      <c r="D385" s="11">
        <v>1178118</v>
      </c>
      <c r="E385" s="11">
        <v>29434530</v>
      </c>
      <c r="F385" s="12" t="s">
        <v>1441</v>
      </c>
      <c r="G385" s="11" t="s">
        <v>1442</v>
      </c>
      <c r="H385" t="s">
        <v>1443</v>
      </c>
      <c r="I385" s="13">
        <v>82420939549</v>
      </c>
      <c r="J385" s="14">
        <v>13229</v>
      </c>
      <c r="K385" s="14">
        <v>13229</v>
      </c>
      <c r="L385" s="10" t="s">
        <v>455</v>
      </c>
      <c r="M385" s="14">
        <v>0</v>
      </c>
      <c r="N385" s="15">
        <v>0</v>
      </c>
      <c r="O385" t="str">
        <f>IFERROR(VLOOKUP($I385,CHOOSE({1,2},'[1]DIRETORES NTE'!$H$5:$H$31,'[1]DIRETORES NTE'!$E$5:$E$31,),2,0),"-")</f>
        <v>-</v>
      </c>
    </row>
    <row r="386" spans="1:15" x14ac:dyDescent="0.25">
      <c r="A386" s="10">
        <v>384</v>
      </c>
      <c r="B386" s="11">
        <v>15</v>
      </c>
      <c r="C386" s="11" t="s">
        <v>695</v>
      </c>
      <c r="D386" s="11">
        <v>1107323</v>
      </c>
      <c r="E386" s="11">
        <v>29101484</v>
      </c>
      <c r="F386" s="12" t="s">
        <v>1444</v>
      </c>
      <c r="G386" s="11" t="s">
        <v>1445</v>
      </c>
      <c r="H386" t="s">
        <v>1446</v>
      </c>
      <c r="I386" s="13">
        <v>45848831572</v>
      </c>
      <c r="J386" s="14">
        <v>13555</v>
      </c>
      <c r="K386" s="14">
        <v>13555</v>
      </c>
      <c r="L386" s="10" t="s">
        <v>280</v>
      </c>
      <c r="M386" s="14">
        <v>0</v>
      </c>
      <c r="N386" s="15">
        <v>0</v>
      </c>
      <c r="O386" t="str">
        <f>IFERROR(VLOOKUP($I386,CHOOSE({1,2},'[1]DIRETORES NTE'!$H$5:$H$31,'[1]DIRETORES NTE'!$E$5:$E$31,),2,0),"-")</f>
        <v>-</v>
      </c>
    </row>
    <row r="387" spans="1:15" x14ac:dyDescent="0.25">
      <c r="A387" s="10">
        <v>385</v>
      </c>
      <c r="B387" s="11">
        <v>9</v>
      </c>
      <c r="C387" s="11" t="s">
        <v>1447</v>
      </c>
      <c r="D387" s="11">
        <v>1178269</v>
      </c>
      <c r="E387" s="11">
        <v>29447690</v>
      </c>
      <c r="F387" s="12" t="s">
        <v>1448</v>
      </c>
      <c r="G387" s="11" t="s">
        <v>1449</v>
      </c>
      <c r="H387" t="s">
        <v>1450</v>
      </c>
      <c r="I387" s="13">
        <v>89740777520</v>
      </c>
      <c r="J387" s="14">
        <v>15031</v>
      </c>
      <c r="K387" s="14">
        <v>14552.8</v>
      </c>
      <c r="L387" s="10" t="s">
        <v>167</v>
      </c>
      <c r="M387" s="14">
        <v>478.20000000000073</v>
      </c>
      <c r="N387" s="15">
        <v>3.1814250548865726E-2</v>
      </c>
      <c r="O387" t="str">
        <f>IFERROR(VLOOKUP($I387,CHOOSE({1,2},'[1]DIRETORES NTE'!$H$5:$H$31,'[1]DIRETORES NTE'!$E$5:$E$31,),2,0),"-")</f>
        <v>-</v>
      </c>
    </row>
    <row r="388" spans="1:15" x14ac:dyDescent="0.25">
      <c r="A388" s="10">
        <v>386</v>
      </c>
      <c r="B388" s="11">
        <v>16</v>
      </c>
      <c r="C388" s="11" t="s">
        <v>869</v>
      </c>
      <c r="D388" s="11">
        <v>1176100</v>
      </c>
      <c r="E388" s="11">
        <v>29344247</v>
      </c>
      <c r="F388" s="12" t="s">
        <v>1451</v>
      </c>
      <c r="G388" s="11" t="s">
        <v>1452</v>
      </c>
      <c r="H388" t="s">
        <v>1453</v>
      </c>
      <c r="I388" s="13" t="s">
        <v>1454</v>
      </c>
      <c r="J388" s="14">
        <v>15403</v>
      </c>
      <c r="K388" s="14">
        <v>15403</v>
      </c>
      <c r="L388" s="10" t="s">
        <v>74</v>
      </c>
      <c r="M388" s="14">
        <v>0</v>
      </c>
      <c r="N388" s="15">
        <v>0</v>
      </c>
      <c r="O388" t="str">
        <f>IFERROR(VLOOKUP($I388,CHOOSE({1,2},'[1]DIRETORES NTE'!$H$5:$H$31,'[1]DIRETORES NTE'!$E$5:$E$31,),2,0),"-")</f>
        <v>-</v>
      </c>
    </row>
    <row r="389" spans="1:15" x14ac:dyDescent="0.25">
      <c r="A389" s="10">
        <v>387</v>
      </c>
      <c r="B389" s="11">
        <v>3</v>
      </c>
      <c r="C389" s="11" t="s">
        <v>1455</v>
      </c>
      <c r="D389" s="11">
        <v>1123876</v>
      </c>
      <c r="E389" s="11">
        <v>29221943</v>
      </c>
      <c r="F389" s="12" t="s">
        <v>1456</v>
      </c>
      <c r="G389" s="11" t="s">
        <v>1457</v>
      </c>
      <c r="H389" t="s">
        <v>1458</v>
      </c>
      <c r="I389" s="13">
        <v>99608405572</v>
      </c>
      <c r="J389" s="14">
        <v>9316</v>
      </c>
      <c r="K389" s="14">
        <v>9316</v>
      </c>
      <c r="L389" s="10" t="s">
        <v>117</v>
      </c>
      <c r="M389" s="14">
        <v>0</v>
      </c>
      <c r="N389" s="15">
        <v>0</v>
      </c>
      <c r="O389" t="str">
        <f>IFERROR(VLOOKUP($I389,CHOOSE({1,2},'[1]DIRETORES NTE'!$H$5:$H$31,'[1]DIRETORES NTE'!$E$5:$E$31,),2,0),"-")</f>
        <v>-</v>
      </c>
    </row>
    <row r="390" spans="1:15" x14ac:dyDescent="0.25">
      <c r="A390" s="10">
        <v>388</v>
      </c>
      <c r="B390" s="11">
        <v>21</v>
      </c>
      <c r="C390" s="11" t="s">
        <v>136</v>
      </c>
      <c r="D390" s="11">
        <v>1178153</v>
      </c>
      <c r="E390" s="11">
        <v>29444896</v>
      </c>
      <c r="F390" s="12" t="s">
        <v>1459</v>
      </c>
      <c r="G390" s="11" t="s">
        <v>1460</v>
      </c>
      <c r="H390" t="s">
        <v>1461</v>
      </c>
      <c r="I390" s="13">
        <v>95137858587</v>
      </c>
      <c r="J390" s="14">
        <v>6349</v>
      </c>
      <c r="K390" s="14">
        <v>49</v>
      </c>
      <c r="L390" s="10" t="s">
        <v>63</v>
      </c>
      <c r="M390" s="14">
        <v>6300</v>
      </c>
      <c r="N390" s="15">
        <v>0.99228224917309815</v>
      </c>
      <c r="O390" t="str">
        <f>IFERROR(VLOOKUP($I390,CHOOSE({1,2},'[1]DIRETORES NTE'!$H$5:$H$31,'[1]DIRETORES NTE'!$E$5:$E$31,),2,0),"-")</f>
        <v>-</v>
      </c>
    </row>
    <row r="391" spans="1:15" x14ac:dyDescent="0.25">
      <c r="A391" s="10">
        <v>389</v>
      </c>
      <c r="B391" s="11">
        <v>21</v>
      </c>
      <c r="C391" s="11" t="s">
        <v>136</v>
      </c>
      <c r="D391" s="11">
        <v>1178153</v>
      </c>
      <c r="E391" s="11">
        <v>29444896</v>
      </c>
      <c r="F391" s="12" t="s">
        <v>1459</v>
      </c>
      <c r="G391" s="11" t="s">
        <v>1460</v>
      </c>
      <c r="H391" t="s">
        <v>1461</v>
      </c>
      <c r="I391" s="13">
        <v>95137858587</v>
      </c>
      <c r="J391" s="14">
        <v>0</v>
      </c>
      <c r="K391" s="14">
        <v>0</v>
      </c>
      <c r="L391" s="10" t="s">
        <v>63</v>
      </c>
      <c r="M391" s="14">
        <v>0</v>
      </c>
      <c r="N391" s="15" t="e">
        <v>#DIV/0!</v>
      </c>
      <c r="O391" t="str">
        <f>IFERROR(VLOOKUP($I391,CHOOSE({1,2},'[1]DIRETORES NTE'!$H$5:$H$31,'[1]DIRETORES NTE'!$E$5:$E$31,),2,0),"-")</f>
        <v>-</v>
      </c>
    </row>
    <row r="392" spans="1:15" x14ac:dyDescent="0.25">
      <c r="A392" s="10">
        <v>390</v>
      </c>
      <c r="B392" s="11">
        <v>14</v>
      </c>
      <c r="C392" s="11" t="s">
        <v>497</v>
      </c>
      <c r="D392" s="11">
        <v>1123183</v>
      </c>
      <c r="E392" s="11">
        <v>29081815</v>
      </c>
      <c r="F392" s="12" t="s">
        <v>1462</v>
      </c>
      <c r="G392" s="11" t="s">
        <v>1463</v>
      </c>
      <c r="H392" t="s">
        <v>1464</v>
      </c>
      <c r="I392" s="13">
        <v>12876240572</v>
      </c>
      <c r="J392" s="14">
        <v>1140</v>
      </c>
      <c r="K392" s="14">
        <v>1140</v>
      </c>
      <c r="L392" s="10" t="s">
        <v>147</v>
      </c>
      <c r="M392" s="14">
        <v>0</v>
      </c>
      <c r="N392" s="15">
        <v>0</v>
      </c>
      <c r="O392" t="str">
        <f>IFERROR(VLOOKUP($I392,CHOOSE({1,2},'[1]DIRETORES NTE'!$H$5:$H$31,'[1]DIRETORES NTE'!$E$5:$E$31,),2,0),"-")</f>
        <v>-</v>
      </c>
    </row>
    <row r="393" spans="1:15" x14ac:dyDescent="0.25">
      <c r="A393" s="10">
        <v>391</v>
      </c>
      <c r="B393" s="11">
        <v>6</v>
      </c>
      <c r="C393" s="11" t="s">
        <v>1465</v>
      </c>
      <c r="D393" s="11">
        <v>1110049</v>
      </c>
      <c r="E393" s="11">
        <v>29285801</v>
      </c>
      <c r="F393" s="12" t="s">
        <v>1466</v>
      </c>
      <c r="G393" s="11" t="s">
        <v>1467</v>
      </c>
      <c r="H393" t="s">
        <v>1468</v>
      </c>
      <c r="I393" s="13">
        <v>55954855587</v>
      </c>
      <c r="J393" s="14">
        <v>18810</v>
      </c>
      <c r="K393" s="14">
        <v>18810</v>
      </c>
      <c r="L393" s="10" t="s">
        <v>49</v>
      </c>
      <c r="M393" s="14">
        <v>0</v>
      </c>
      <c r="N393" s="15">
        <v>0</v>
      </c>
      <c r="O393" t="str">
        <f>IFERROR(VLOOKUP($I393,CHOOSE({1,2},'[1]DIRETORES NTE'!$H$5:$H$31,'[1]DIRETORES NTE'!$E$5:$E$31,),2,0),"-")</f>
        <v>-</v>
      </c>
    </row>
    <row r="394" spans="1:15" x14ac:dyDescent="0.25">
      <c r="A394" s="10">
        <v>392</v>
      </c>
      <c r="B394" s="11">
        <v>9</v>
      </c>
      <c r="C394" s="11" t="s">
        <v>1469</v>
      </c>
      <c r="D394" s="11">
        <v>1117566</v>
      </c>
      <c r="E394" s="11">
        <v>29226147</v>
      </c>
      <c r="F394" s="12" t="s">
        <v>1470</v>
      </c>
      <c r="G394" s="11" t="s">
        <v>1471</v>
      </c>
      <c r="H394" t="s">
        <v>1472</v>
      </c>
      <c r="I394" s="13">
        <v>79262244568</v>
      </c>
      <c r="J394" s="14">
        <v>6695</v>
      </c>
      <c r="K394" s="14">
        <v>1606.61</v>
      </c>
      <c r="L394" s="10" t="s">
        <v>167</v>
      </c>
      <c r="M394" s="14">
        <v>5088.3900000000003</v>
      </c>
      <c r="N394" s="15">
        <v>0.7600283793876027</v>
      </c>
      <c r="O394" t="str">
        <f>IFERROR(VLOOKUP($I394,CHOOSE({1,2},'[1]DIRETORES NTE'!$H$5:$H$31,'[1]DIRETORES NTE'!$E$5:$E$31,),2,0),"-")</f>
        <v>-</v>
      </c>
    </row>
    <row r="395" spans="1:15" x14ac:dyDescent="0.25">
      <c r="A395" s="10">
        <v>393</v>
      </c>
      <c r="B395" s="11">
        <v>2</v>
      </c>
      <c r="C395" s="11" t="s">
        <v>1473</v>
      </c>
      <c r="D395" s="11">
        <v>1178100</v>
      </c>
      <c r="E395" s="11">
        <v>29431670</v>
      </c>
      <c r="F395" s="12" t="s">
        <v>1474</v>
      </c>
      <c r="G395" s="11" t="s">
        <v>1475</v>
      </c>
      <c r="H395" t="s">
        <v>1476</v>
      </c>
      <c r="I395" s="13">
        <v>70916004520</v>
      </c>
      <c r="J395" s="14">
        <v>8698</v>
      </c>
      <c r="K395" s="14">
        <v>8698</v>
      </c>
      <c r="L395" s="10" t="s">
        <v>105</v>
      </c>
      <c r="M395" s="14">
        <v>0</v>
      </c>
      <c r="N395" s="15">
        <v>0</v>
      </c>
      <c r="O395" t="str">
        <f>IFERROR(VLOOKUP($I395,CHOOSE({1,2},'[1]DIRETORES NTE'!$H$5:$H$31,'[1]DIRETORES NTE'!$E$5:$E$31,),2,0),"-")</f>
        <v>-</v>
      </c>
    </row>
    <row r="396" spans="1:15" x14ac:dyDescent="0.25">
      <c r="A396" s="10">
        <v>394</v>
      </c>
      <c r="B396" s="11">
        <v>3</v>
      </c>
      <c r="C396" s="11" t="s">
        <v>1477</v>
      </c>
      <c r="D396" s="11">
        <v>1167997</v>
      </c>
      <c r="E396" s="11">
        <v>29219841</v>
      </c>
      <c r="F396" s="12" t="s">
        <v>1478</v>
      </c>
      <c r="G396" s="11" t="s">
        <v>1479</v>
      </c>
      <c r="H396" t="s">
        <v>1480</v>
      </c>
      <c r="I396" s="13">
        <v>23733292553</v>
      </c>
      <c r="J396" s="14">
        <v>3856</v>
      </c>
      <c r="K396" s="14">
        <v>3856</v>
      </c>
      <c r="L396" s="10" t="s">
        <v>117</v>
      </c>
      <c r="M396" s="14">
        <v>0</v>
      </c>
      <c r="N396" s="15">
        <v>0</v>
      </c>
      <c r="O396" t="str">
        <f>IFERROR(VLOOKUP($I396,CHOOSE({1,2},'[1]DIRETORES NTE'!$H$5:$H$31,'[1]DIRETORES NTE'!$E$5:$E$31,),2,0),"-")</f>
        <v>-</v>
      </c>
    </row>
    <row r="397" spans="1:15" x14ac:dyDescent="0.25">
      <c r="A397" s="10">
        <v>395</v>
      </c>
      <c r="B397" s="11">
        <v>25</v>
      </c>
      <c r="C397" s="11" t="s">
        <v>385</v>
      </c>
      <c r="D397" s="11">
        <v>1179286</v>
      </c>
      <c r="E397" s="11">
        <v>29461529</v>
      </c>
      <c r="F397" s="12" t="s">
        <v>1481</v>
      </c>
      <c r="G397" s="11" t="s">
        <v>1482</v>
      </c>
      <c r="H397" t="s">
        <v>1483</v>
      </c>
      <c r="I397" s="13">
        <v>42575095549</v>
      </c>
      <c r="J397" s="14">
        <v>3090</v>
      </c>
      <c r="K397" s="14">
        <v>612.4</v>
      </c>
      <c r="L397" s="10" t="s">
        <v>80</v>
      </c>
      <c r="M397" s="14">
        <v>2477.6</v>
      </c>
      <c r="N397" s="15">
        <v>0.80181229773462781</v>
      </c>
      <c r="O397" t="str">
        <f>IFERROR(VLOOKUP($I397,CHOOSE({1,2},'[1]DIRETORES NTE'!$H$5:$H$31,'[1]DIRETORES NTE'!$E$5:$E$31,),2,0),"-")</f>
        <v>-</v>
      </c>
    </row>
    <row r="398" spans="1:15" x14ac:dyDescent="0.25">
      <c r="A398" s="10">
        <v>396</v>
      </c>
      <c r="B398" s="11">
        <v>26</v>
      </c>
      <c r="C398" s="11" t="s">
        <v>95</v>
      </c>
      <c r="D398" s="11">
        <v>1179805</v>
      </c>
      <c r="E398" s="11">
        <v>44332</v>
      </c>
      <c r="F398" s="12" t="s">
        <v>1484</v>
      </c>
      <c r="G398" s="11" t="s">
        <v>1485</v>
      </c>
      <c r="H398" t="s">
        <v>1486</v>
      </c>
      <c r="I398" s="13" t="s">
        <v>1487</v>
      </c>
      <c r="J398" s="14">
        <v>10</v>
      </c>
      <c r="K398" s="14">
        <v>10</v>
      </c>
      <c r="L398" s="10" t="s">
        <v>99</v>
      </c>
      <c r="M398" s="14">
        <v>0</v>
      </c>
      <c r="N398" s="15">
        <v>0</v>
      </c>
      <c r="O398" t="str">
        <f>IFERROR(VLOOKUP($I398,CHOOSE({1,2},'[1]DIRETORES NTE'!$H$5:$H$31,'[1]DIRETORES NTE'!$E$5:$E$31,),2,0),"-")</f>
        <v>-</v>
      </c>
    </row>
    <row r="399" spans="1:15" x14ac:dyDescent="0.25">
      <c r="A399" s="10">
        <v>397</v>
      </c>
      <c r="B399" s="11">
        <v>2</v>
      </c>
      <c r="C399" s="11" t="s">
        <v>1488</v>
      </c>
      <c r="D399" s="11">
        <v>1178432</v>
      </c>
      <c r="E399" s="11">
        <v>29345936</v>
      </c>
      <c r="F399" s="12" t="s">
        <v>1489</v>
      </c>
      <c r="G399" s="11" t="s">
        <v>1490</v>
      </c>
      <c r="H399" t="s">
        <v>1491</v>
      </c>
      <c r="I399" s="13" t="s">
        <v>1492</v>
      </c>
      <c r="J399" s="14">
        <v>2986</v>
      </c>
      <c r="K399" s="14">
        <v>2986</v>
      </c>
      <c r="L399" s="10" t="s">
        <v>105</v>
      </c>
      <c r="M399" s="14">
        <v>0</v>
      </c>
      <c r="N399" s="15">
        <v>0</v>
      </c>
      <c r="O399" t="str">
        <f>IFERROR(VLOOKUP($I399,CHOOSE({1,2},'[1]DIRETORES NTE'!$H$5:$H$31,'[1]DIRETORES NTE'!$E$5:$E$31,),2,0),"-")</f>
        <v>-</v>
      </c>
    </row>
    <row r="400" spans="1:15" x14ac:dyDescent="0.25">
      <c r="A400" s="10">
        <v>398</v>
      </c>
      <c r="B400" s="11">
        <v>26</v>
      </c>
      <c r="C400" s="11" t="s">
        <v>95</v>
      </c>
      <c r="D400" s="11">
        <v>1135998</v>
      </c>
      <c r="E400" s="11">
        <v>29191173</v>
      </c>
      <c r="F400" s="12" t="s">
        <v>1493</v>
      </c>
      <c r="G400" s="11" t="s">
        <v>1494</v>
      </c>
      <c r="H400" t="s">
        <v>1495</v>
      </c>
      <c r="I400" s="13">
        <v>58695265587</v>
      </c>
      <c r="J400" s="14">
        <v>6533</v>
      </c>
      <c r="K400" s="14">
        <v>1.1000000000000001</v>
      </c>
      <c r="L400" s="10" t="s">
        <v>99</v>
      </c>
      <c r="M400" s="14">
        <v>6531.9</v>
      </c>
      <c r="N400" s="15">
        <v>0.99983162406245207</v>
      </c>
      <c r="O400" t="str">
        <f>IFERROR(VLOOKUP($I400,CHOOSE({1,2},'[1]DIRETORES NTE'!$H$5:$H$31,'[1]DIRETORES NTE'!$E$5:$E$31,),2,0),"-")</f>
        <v>-</v>
      </c>
    </row>
    <row r="401" spans="1:15" x14ac:dyDescent="0.25">
      <c r="A401" s="10">
        <v>399</v>
      </c>
      <c r="B401" s="11">
        <v>9</v>
      </c>
      <c r="C401" s="11" t="s">
        <v>1496</v>
      </c>
      <c r="D401" s="11">
        <v>1110308</v>
      </c>
      <c r="E401" s="11">
        <v>29229839</v>
      </c>
      <c r="F401" s="12" t="s">
        <v>1497</v>
      </c>
      <c r="G401" s="11" t="s">
        <v>1498</v>
      </c>
      <c r="H401" t="s">
        <v>1499</v>
      </c>
      <c r="I401" s="13" t="s">
        <v>1500</v>
      </c>
      <c r="J401" s="14">
        <v>15627</v>
      </c>
      <c r="K401" s="14">
        <v>9019.94</v>
      </c>
      <c r="L401" s="10" t="s">
        <v>167</v>
      </c>
      <c r="M401" s="14">
        <v>6607.0599999999995</v>
      </c>
      <c r="N401" s="15">
        <v>0.42279772189159787</v>
      </c>
      <c r="O401" t="str">
        <f>IFERROR(VLOOKUP($I401,CHOOSE({1,2},'[1]DIRETORES NTE'!$H$5:$H$31,'[1]DIRETORES NTE'!$E$5:$E$31,),2,0),"-")</f>
        <v>-</v>
      </c>
    </row>
    <row r="402" spans="1:15" x14ac:dyDescent="0.25">
      <c r="A402" s="10">
        <v>400</v>
      </c>
      <c r="B402" s="11">
        <v>17</v>
      </c>
      <c r="C402" s="11" t="s">
        <v>1501</v>
      </c>
      <c r="D402" s="11">
        <v>1178322</v>
      </c>
      <c r="E402" s="11">
        <v>29850843</v>
      </c>
      <c r="F402" s="12" t="s">
        <v>1502</v>
      </c>
      <c r="G402" s="11" t="s">
        <v>1503</v>
      </c>
      <c r="H402" t="s">
        <v>1504</v>
      </c>
      <c r="I402" s="13">
        <v>53525582587</v>
      </c>
      <c r="J402" s="14">
        <v>0</v>
      </c>
      <c r="K402" s="14">
        <v>0</v>
      </c>
      <c r="L402" s="10" t="s">
        <v>455</v>
      </c>
      <c r="M402" s="14">
        <v>0</v>
      </c>
      <c r="N402" s="15" t="e">
        <v>#DIV/0!</v>
      </c>
      <c r="O402" t="str">
        <f>IFERROR(VLOOKUP($I402,CHOOSE({1,2},'[1]DIRETORES NTE'!$H$5:$H$31,'[1]DIRETORES NTE'!$E$5:$E$31,),2,0),"-")</f>
        <v>-</v>
      </c>
    </row>
    <row r="403" spans="1:15" x14ac:dyDescent="0.25">
      <c r="A403" s="10">
        <v>401</v>
      </c>
      <c r="B403" s="11">
        <v>17</v>
      </c>
      <c r="C403" s="11" t="s">
        <v>1501</v>
      </c>
      <c r="D403" s="11">
        <v>1178322</v>
      </c>
      <c r="E403" s="11">
        <v>29850843</v>
      </c>
      <c r="F403" s="12" t="s">
        <v>1502</v>
      </c>
      <c r="G403" s="11" t="s">
        <v>1503</v>
      </c>
      <c r="H403" t="s">
        <v>1504</v>
      </c>
      <c r="I403" s="13">
        <v>53525582587</v>
      </c>
      <c r="J403" s="14">
        <v>19627</v>
      </c>
      <c r="K403" s="14">
        <v>19627</v>
      </c>
      <c r="L403" s="10" t="s">
        <v>455</v>
      </c>
      <c r="M403" s="14">
        <v>0</v>
      </c>
      <c r="N403" s="15">
        <v>0</v>
      </c>
      <c r="O403" t="str">
        <f>IFERROR(VLOOKUP($I403,CHOOSE({1,2},'[1]DIRETORES NTE'!$H$5:$H$31,'[1]DIRETORES NTE'!$E$5:$E$31,),2,0),"-")</f>
        <v>-</v>
      </c>
    </row>
    <row r="404" spans="1:15" x14ac:dyDescent="0.25">
      <c r="A404" s="10">
        <v>402</v>
      </c>
      <c r="B404" s="11">
        <v>17</v>
      </c>
      <c r="C404" s="11" t="s">
        <v>1505</v>
      </c>
      <c r="D404" s="11">
        <v>1166133</v>
      </c>
      <c r="E404" s="11">
        <v>29131383</v>
      </c>
      <c r="F404" s="12" t="s">
        <v>1506</v>
      </c>
      <c r="G404" s="11" t="s">
        <v>1507</v>
      </c>
      <c r="H404" t="s">
        <v>1508</v>
      </c>
      <c r="I404" s="13" t="s">
        <v>1509</v>
      </c>
      <c r="J404" s="14">
        <v>11217</v>
      </c>
      <c r="K404" s="14">
        <v>11217</v>
      </c>
      <c r="L404" s="10" t="s">
        <v>455</v>
      </c>
      <c r="M404" s="14">
        <v>0</v>
      </c>
      <c r="N404" s="15">
        <v>0</v>
      </c>
      <c r="O404" t="str">
        <f>IFERROR(VLOOKUP($I404,CHOOSE({1,2},'[1]DIRETORES NTE'!$H$5:$H$31,'[1]DIRETORES NTE'!$E$5:$E$31,),2,0),"-")</f>
        <v>-</v>
      </c>
    </row>
    <row r="405" spans="1:15" x14ac:dyDescent="0.25">
      <c r="A405" s="10">
        <v>403</v>
      </c>
      <c r="B405" s="11">
        <v>5</v>
      </c>
      <c r="C405" s="11" t="s">
        <v>40</v>
      </c>
      <c r="D405" s="11">
        <v>1169221</v>
      </c>
      <c r="E405" s="11">
        <v>29301882</v>
      </c>
      <c r="F405" s="12" t="s">
        <v>1510</v>
      </c>
      <c r="G405" s="11" t="s">
        <v>1511</v>
      </c>
      <c r="H405" t="s">
        <v>1512</v>
      </c>
      <c r="I405" s="13">
        <v>58009604534</v>
      </c>
      <c r="J405" s="14">
        <v>14590</v>
      </c>
      <c r="K405" s="14">
        <v>14590</v>
      </c>
      <c r="L405" s="10" t="s">
        <v>44</v>
      </c>
      <c r="M405" s="14">
        <v>0</v>
      </c>
      <c r="N405" s="15">
        <v>0</v>
      </c>
      <c r="O405" t="str">
        <f>IFERROR(VLOOKUP($I405,CHOOSE({1,2},'[1]DIRETORES NTE'!$H$5:$H$31,'[1]DIRETORES NTE'!$E$5:$E$31,),2,0),"-")</f>
        <v>-</v>
      </c>
    </row>
    <row r="406" spans="1:15" x14ac:dyDescent="0.25">
      <c r="A406" s="10">
        <v>404</v>
      </c>
      <c r="B406" s="11">
        <v>27</v>
      </c>
      <c r="C406" s="11" t="s">
        <v>924</v>
      </c>
      <c r="D406" s="11">
        <v>1146434</v>
      </c>
      <c r="E406" s="11">
        <v>29326320</v>
      </c>
      <c r="F406" s="12" t="s">
        <v>1513</v>
      </c>
      <c r="G406" s="11" t="s">
        <v>1514</v>
      </c>
      <c r="H406" t="s">
        <v>1515</v>
      </c>
      <c r="I406" s="13" t="s">
        <v>1516</v>
      </c>
      <c r="J406" s="14">
        <v>12320</v>
      </c>
      <c r="K406" s="14">
        <v>12320</v>
      </c>
      <c r="L406" s="10" t="s">
        <v>720</v>
      </c>
      <c r="M406" s="14">
        <v>0</v>
      </c>
      <c r="N406" s="15">
        <v>0</v>
      </c>
      <c r="O406" t="str">
        <f>IFERROR(VLOOKUP($I406,CHOOSE({1,2},'[1]DIRETORES NTE'!$H$5:$H$31,'[1]DIRETORES NTE'!$E$5:$E$31,),2,0),"-")</f>
        <v>-</v>
      </c>
    </row>
    <row r="407" spans="1:15" x14ac:dyDescent="0.25">
      <c r="A407" s="10">
        <v>405</v>
      </c>
      <c r="B407" s="11">
        <v>26</v>
      </c>
      <c r="C407" s="11" t="s">
        <v>712</v>
      </c>
      <c r="D407" s="11">
        <v>1178420</v>
      </c>
      <c r="E407" s="11">
        <v>29397863</v>
      </c>
      <c r="F407" s="12" t="s">
        <v>1517</v>
      </c>
      <c r="G407" s="11" t="s">
        <v>1518</v>
      </c>
      <c r="H407" t="s">
        <v>1519</v>
      </c>
      <c r="I407" s="13">
        <v>33456240520</v>
      </c>
      <c r="J407" s="14">
        <v>12237</v>
      </c>
      <c r="K407" s="14">
        <v>12237</v>
      </c>
      <c r="L407" s="10" t="s">
        <v>99</v>
      </c>
      <c r="M407" s="14">
        <v>0</v>
      </c>
      <c r="N407" s="15">
        <v>0</v>
      </c>
      <c r="O407" t="str">
        <f>IFERROR(VLOOKUP($I407,CHOOSE({1,2},'[1]DIRETORES NTE'!$H$5:$H$31,'[1]DIRETORES NTE'!$E$5:$E$31,),2,0),"-")</f>
        <v>-</v>
      </c>
    </row>
    <row r="408" spans="1:15" x14ac:dyDescent="0.25">
      <c r="A408" s="10">
        <v>406</v>
      </c>
      <c r="B408" s="11" t="s">
        <v>237</v>
      </c>
      <c r="C408" s="11" t="s">
        <v>237</v>
      </c>
      <c r="D408" s="11" t="s">
        <v>237</v>
      </c>
      <c r="E408" s="11" t="s">
        <v>237</v>
      </c>
      <c r="F408" s="12" t="s">
        <v>237</v>
      </c>
      <c r="G408" s="11" t="s">
        <v>237</v>
      </c>
      <c r="H408" t="s">
        <v>1520</v>
      </c>
      <c r="I408" s="13">
        <v>49545248572</v>
      </c>
      <c r="J408" s="14">
        <v>0</v>
      </c>
      <c r="K408" s="14">
        <v>0</v>
      </c>
      <c r="L408" s="10" t="s">
        <v>80</v>
      </c>
      <c r="M408" s="14">
        <v>0</v>
      </c>
      <c r="N408" s="15" t="e">
        <v>#DIV/0!</v>
      </c>
      <c r="O408" t="str">
        <f>IFERROR(VLOOKUP($I408,CHOOSE({1,2},'[1]DIRETORES NTE'!$H$5:$H$31,'[1]DIRETORES NTE'!$E$5:$E$31,),2,0),"-")</f>
        <v>HELDER LUIZ AMORIM BARBOSA (DIRETOR DE NTE)</v>
      </c>
    </row>
    <row r="409" spans="1:15" x14ac:dyDescent="0.25">
      <c r="A409" s="10">
        <v>407</v>
      </c>
      <c r="B409" s="11">
        <v>11</v>
      </c>
      <c r="C409" s="11" t="s">
        <v>1001</v>
      </c>
      <c r="D409" s="11">
        <v>1130856</v>
      </c>
      <c r="E409" s="11">
        <v>29343003</v>
      </c>
      <c r="F409" s="12" t="s">
        <v>1521</v>
      </c>
      <c r="G409" s="11" t="s">
        <v>1522</v>
      </c>
      <c r="H409" t="s">
        <v>1523</v>
      </c>
      <c r="I409" s="13">
        <v>41100441549</v>
      </c>
      <c r="J409" s="14">
        <v>6860</v>
      </c>
      <c r="K409" s="14">
        <v>6860</v>
      </c>
      <c r="L409" s="10" t="s">
        <v>39</v>
      </c>
      <c r="M409" s="14">
        <v>0</v>
      </c>
      <c r="N409" s="15">
        <v>0</v>
      </c>
      <c r="O409" t="str">
        <f>IFERROR(VLOOKUP($I409,CHOOSE({1,2},'[1]DIRETORES NTE'!$H$5:$H$31,'[1]DIRETORES NTE'!$E$5:$E$31,),2,0),"-")</f>
        <v>-</v>
      </c>
    </row>
    <row r="410" spans="1:15" x14ac:dyDescent="0.25">
      <c r="A410" s="10">
        <v>408</v>
      </c>
      <c r="B410" s="11">
        <v>6</v>
      </c>
      <c r="C410" s="11" t="s">
        <v>45</v>
      </c>
      <c r="D410" s="11">
        <v>1111045</v>
      </c>
      <c r="E410" s="11">
        <v>29290791</v>
      </c>
      <c r="F410" s="12" t="s">
        <v>1524</v>
      </c>
      <c r="G410" s="11" t="s">
        <v>1525</v>
      </c>
      <c r="H410" t="s">
        <v>1526</v>
      </c>
      <c r="I410" s="13" t="s">
        <v>1527</v>
      </c>
      <c r="J410" s="14">
        <v>12650</v>
      </c>
      <c r="K410" s="14">
        <v>7861.45</v>
      </c>
      <c r="L410" s="10" t="s">
        <v>49</v>
      </c>
      <c r="M410" s="14">
        <v>4788.55</v>
      </c>
      <c r="N410" s="15">
        <v>0.37854150197628461</v>
      </c>
      <c r="O410" t="str">
        <f>IFERROR(VLOOKUP($I410,CHOOSE({1,2},'[1]DIRETORES NTE'!$H$5:$H$31,'[1]DIRETORES NTE'!$E$5:$E$31,),2,0),"-")</f>
        <v>-</v>
      </c>
    </row>
    <row r="411" spans="1:15" x14ac:dyDescent="0.25">
      <c r="A411" s="10">
        <v>409</v>
      </c>
      <c r="B411" s="11">
        <v>21</v>
      </c>
      <c r="C411" s="11" t="s">
        <v>1528</v>
      </c>
      <c r="D411" s="11">
        <v>1178053</v>
      </c>
      <c r="E411" s="11">
        <v>29432529</v>
      </c>
      <c r="F411" s="12" t="s">
        <v>1529</v>
      </c>
      <c r="G411" s="11" t="s">
        <v>1530</v>
      </c>
      <c r="H411" t="s">
        <v>1531</v>
      </c>
      <c r="I411" s="13" t="s">
        <v>1532</v>
      </c>
      <c r="J411" s="14">
        <v>11526</v>
      </c>
      <c r="K411" s="14">
        <v>11526</v>
      </c>
      <c r="L411" s="10" t="s">
        <v>63</v>
      </c>
      <c r="M411" s="14">
        <v>0</v>
      </c>
      <c r="N411" s="15">
        <v>0</v>
      </c>
      <c r="O411" t="str">
        <f>IFERROR(VLOOKUP($I411,CHOOSE({1,2},'[1]DIRETORES NTE'!$H$5:$H$31,'[1]DIRETORES NTE'!$E$5:$E$31,),2,0),"-")</f>
        <v>-</v>
      </c>
    </row>
    <row r="412" spans="1:15" x14ac:dyDescent="0.25">
      <c r="A412" s="10">
        <v>410</v>
      </c>
      <c r="B412" s="11">
        <v>16</v>
      </c>
      <c r="C412" s="11" t="s">
        <v>1533</v>
      </c>
      <c r="D412" s="11">
        <v>1179811</v>
      </c>
      <c r="E412" s="11">
        <v>44328</v>
      </c>
      <c r="F412" s="12" t="s">
        <v>1534</v>
      </c>
      <c r="G412" s="11" t="s">
        <v>1535</v>
      </c>
      <c r="H412" t="s">
        <v>1536</v>
      </c>
      <c r="I412" s="13" t="s">
        <v>1537</v>
      </c>
      <c r="J412" s="14">
        <v>2702</v>
      </c>
      <c r="K412" s="14">
        <v>2702</v>
      </c>
      <c r="L412" s="10" t="s">
        <v>74</v>
      </c>
      <c r="M412" s="14">
        <v>0</v>
      </c>
      <c r="N412" s="15">
        <v>0</v>
      </c>
      <c r="O412" t="str">
        <f>IFERROR(VLOOKUP($I412,CHOOSE({1,2},'[1]DIRETORES NTE'!$H$5:$H$31,'[1]DIRETORES NTE'!$E$5:$E$31,),2,0),"-")</f>
        <v>-</v>
      </c>
    </row>
    <row r="413" spans="1:15" x14ac:dyDescent="0.25">
      <c r="A413" s="10">
        <v>411</v>
      </c>
      <c r="B413" s="11">
        <v>20</v>
      </c>
      <c r="C413" s="11" t="s">
        <v>1538</v>
      </c>
      <c r="D413" s="11">
        <v>1124929</v>
      </c>
      <c r="E413" s="11">
        <v>29285291</v>
      </c>
      <c r="F413" s="12" t="s">
        <v>1539</v>
      </c>
      <c r="G413" s="11" t="s">
        <v>1540</v>
      </c>
      <c r="H413" t="s">
        <v>1541</v>
      </c>
      <c r="I413" s="13" t="s">
        <v>1542</v>
      </c>
      <c r="J413" s="14">
        <v>5603</v>
      </c>
      <c r="K413" s="14">
        <v>5603</v>
      </c>
      <c r="L413" s="10" t="s">
        <v>27</v>
      </c>
      <c r="M413" s="14">
        <v>0</v>
      </c>
      <c r="N413" s="15">
        <v>0</v>
      </c>
      <c r="O413" t="str">
        <f>IFERROR(VLOOKUP($I413,CHOOSE({1,2},'[1]DIRETORES NTE'!$H$5:$H$31,'[1]DIRETORES NTE'!$E$5:$E$31,),2,0),"-")</f>
        <v>-</v>
      </c>
    </row>
    <row r="414" spans="1:15" x14ac:dyDescent="0.25">
      <c r="A414" s="10">
        <v>412</v>
      </c>
      <c r="B414" s="11">
        <v>26</v>
      </c>
      <c r="C414" s="11" t="s">
        <v>95</v>
      </c>
      <c r="D414" s="11">
        <v>1102917</v>
      </c>
      <c r="E414" s="11">
        <v>29186552</v>
      </c>
      <c r="F414" s="12" t="s">
        <v>1543</v>
      </c>
      <c r="G414" s="11" t="s">
        <v>1544</v>
      </c>
      <c r="H414" t="s">
        <v>1545</v>
      </c>
      <c r="I414" s="13">
        <v>86754700530</v>
      </c>
      <c r="J414" s="14">
        <v>8039</v>
      </c>
      <c r="K414" s="14">
        <v>8039</v>
      </c>
      <c r="L414" s="10" t="s">
        <v>99</v>
      </c>
      <c r="M414" s="14">
        <v>0</v>
      </c>
      <c r="N414" s="15">
        <v>0</v>
      </c>
      <c r="O414" t="str">
        <f>IFERROR(VLOOKUP($I414,CHOOSE({1,2},'[1]DIRETORES NTE'!$H$5:$H$31,'[1]DIRETORES NTE'!$E$5:$E$31,),2,0),"-")</f>
        <v>-</v>
      </c>
    </row>
    <row r="415" spans="1:15" x14ac:dyDescent="0.25">
      <c r="A415" s="10">
        <v>413</v>
      </c>
      <c r="B415" s="11">
        <v>21</v>
      </c>
      <c r="C415" s="11" t="s">
        <v>1546</v>
      </c>
      <c r="D415" s="11">
        <v>1134657</v>
      </c>
      <c r="E415" s="11">
        <v>29172870</v>
      </c>
      <c r="F415" s="12" t="s">
        <v>930</v>
      </c>
      <c r="G415" s="11" t="s">
        <v>1547</v>
      </c>
      <c r="H415" t="s">
        <v>1548</v>
      </c>
      <c r="I415" s="13">
        <v>95779590591</v>
      </c>
      <c r="J415" s="14">
        <v>7715</v>
      </c>
      <c r="K415" s="14">
        <v>284.7</v>
      </c>
      <c r="L415" s="10" t="s">
        <v>63</v>
      </c>
      <c r="M415" s="14">
        <v>7430.3</v>
      </c>
      <c r="N415" s="15">
        <v>0.9630978613091381</v>
      </c>
      <c r="O415" t="str">
        <f>IFERROR(VLOOKUP($I415,CHOOSE({1,2},'[1]DIRETORES NTE'!$H$5:$H$31,'[1]DIRETORES NTE'!$E$5:$E$31,),2,0),"-")</f>
        <v>-</v>
      </c>
    </row>
    <row r="416" spans="1:15" x14ac:dyDescent="0.25">
      <c r="A416" s="10">
        <v>414</v>
      </c>
      <c r="B416" s="11">
        <v>1</v>
      </c>
      <c r="C416" s="11" t="s">
        <v>708</v>
      </c>
      <c r="D416" s="11">
        <v>1179655</v>
      </c>
      <c r="E416" s="11">
        <v>29473365</v>
      </c>
      <c r="F416" s="12" t="s">
        <v>1549</v>
      </c>
      <c r="G416" s="11" t="s">
        <v>1550</v>
      </c>
      <c r="H416" t="s">
        <v>1551</v>
      </c>
      <c r="I416" s="13" t="s">
        <v>1552</v>
      </c>
      <c r="J416" s="14">
        <v>3124</v>
      </c>
      <c r="K416" s="14">
        <v>3124</v>
      </c>
      <c r="L416" s="10" t="s">
        <v>356</v>
      </c>
      <c r="M416" s="14">
        <v>0</v>
      </c>
      <c r="N416" s="15">
        <v>0</v>
      </c>
      <c r="O416" t="str">
        <f>IFERROR(VLOOKUP($I416,CHOOSE({1,2},'[1]DIRETORES NTE'!$H$5:$H$31,'[1]DIRETORES NTE'!$E$5:$E$31,),2,0),"-")</f>
        <v>-</v>
      </c>
    </row>
    <row r="417" spans="1:15" x14ac:dyDescent="0.25">
      <c r="A417" s="10">
        <v>415</v>
      </c>
      <c r="B417" s="11">
        <v>8</v>
      </c>
      <c r="C417" s="11" t="s">
        <v>1553</v>
      </c>
      <c r="D417" s="11">
        <v>1118791</v>
      </c>
      <c r="E417" s="11">
        <v>29282055</v>
      </c>
      <c r="F417" s="12" t="s">
        <v>1554</v>
      </c>
      <c r="G417" s="11" t="s">
        <v>1555</v>
      </c>
      <c r="H417" t="s">
        <v>1556</v>
      </c>
      <c r="I417" s="13">
        <v>36225398520</v>
      </c>
      <c r="J417" s="14">
        <v>14971</v>
      </c>
      <c r="K417" s="14">
        <v>14971</v>
      </c>
      <c r="L417" s="10" t="s">
        <v>285</v>
      </c>
      <c r="M417" s="14">
        <v>0</v>
      </c>
      <c r="N417" s="15">
        <v>0</v>
      </c>
      <c r="O417" t="str">
        <f>IFERROR(VLOOKUP($I417,CHOOSE({1,2},'[1]DIRETORES NTE'!$H$5:$H$31,'[1]DIRETORES NTE'!$E$5:$E$31,),2,0),"-")</f>
        <v>-</v>
      </c>
    </row>
    <row r="418" spans="1:15" x14ac:dyDescent="0.25">
      <c r="A418" s="10">
        <v>416</v>
      </c>
      <c r="B418" s="11">
        <v>5</v>
      </c>
      <c r="C418" s="11" t="s">
        <v>1557</v>
      </c>
      <c r="D418" s="11">
        <v>1159790</v>
      </c>
      <c r="E418" s="11">
        <v>29316260</v>
      </c>
      <c r="F418" s="12" t="s">
        <v>1558</v>
      </c>
      <c r="G418" s="11" t="s">
        <v>1559</v>
      </c>
      <c r="H418" t="s">
        <v>1560</v>
      </c>
      <c r="I418" s="13">
        <v>40815838549</v>
      </c>
      <c r="J418" s="14">
        <v>8599</v>
      </c>
      <c r="K418" s="14">
        <v>8599</v>
      </c>
      <c r="L418" s="10" t="s">
        <v>44</v>
      </c>
      <c r="M418" s="14">
        <v>0</v>
      </c>
      <c r="N418" s="15">
        <v>0</v>
      </c>
      <c r="O418" t="str">
        <f>IFERROR(VLOOKUP($I418,CHOOSE({1,2},'[1]DIRETORES NTE'!$H$5:$H$31,'[1]DIRETORES NTE'!$E$5:$E$31,),2,0),"-")</f>
        <v>-</v>
      </c>
    </row>
    <row r="419" spans="1:15" x14ac:dyDescent="0.25">
      <c r="A419" s="10">
        <v>417</v>
      </c>
      <c r="B419" s="11">
        <v>26</v>
      </c>
      <c r="C419" s="11" t="s">
        <v>95</v>
      </c>
      <c r="D419" s="11">
        <v>1100817</v>
      </c>
      <c r="E419" s="11">
        <v>29192617</v>
      </c>
      <c r="F419" s="12" t="s">
        <v>1561</v>
      </c>
      <c r="G419" s="11" t="s">
        <v>1562</v>
      </c>
      <c r="H419" t="s">
        <v>1563</v>
      </c>
      <c r="I419" s="13" t="s">
        <v>1564</v>
      </c>
      <c r="J419" s="14">
        <v>10048</v>
      </c>
      <c r="K419" s="14">
        <v>4005.1</v>
      </c>
      <c r="L419" s="10" t="s">
        <v>99</v>
      </c>
      <c r="M419" s="14">
        <v>6042.9</v>
      </c>
      <c r="N419" s="15">
        <v>0.60140326433121016</v>
      </c>
      <c r="O419" t="str">
        <f>IFERROR(VLOOKUP($I419,CHOOSE({1,2},'[1]DIRETORES NTE'!$H$5:$H$31,'[1]DIRETORES NTE'!$E$5:$E$31,),2,0),"-")</f>
        <v>-</v>
      </c>
    </row>
    <row r="420" spans="1:15" x14ac:dyDescent="0.25">
      <c r="A420" s="10">
        <v>418</v>
      </c>
      <c r="B420" s="11">
        <v>26</v>
      </c>
      <c r="C420" s="11" t="s">
        <v>95</v>
      </c>
      <c r="D420" s="11">
        <v>1178323</v>
      </c>
      <c r="E420" s="11">
        <v>29882729</v>
      </c>
      <c r="F420" s="12" t="s">
        <v>1565</v>
      </c>
      <c r="G420" s="11" t="s">
        <v>1566</v>
      </c>
      <c r="H420" t="s">
        <v>1567</v>
      </c>
      <c r="I420" s="13">
        <v>31419461591</v>
      </c>
      <c r="J420" s="14">
        <v>10710</v>
      </c>
      <c r="K420" s="14">
        <v>10710</v>
      </c>
      <c r="L420" s="10" t="s">
        <v>99</v>
      </c>
      <c r="M420" s="14">
        <v>0</v>
      </c>
      <c r="N420" s="15">
        <v>0</v>
      </c>
      <c r="O420" t="str">
        <f>IFERROR(VLOOKUP($I420,CHOOSE({1,2},'[1]DIRETORES NTE'!$H$5:$H$31,'[1]DIRETORES NTE'!$E$5:$E$31,),2,0),"-")</f>
        <v>-</v>
      </c>
    </row>
    <row r="421" spans="1:15" x14ac:dyDescent="0.25">
      <c r="A421" s="10">
        <v>419</v>
      </c>
      <c r="B421" s="11">
        <v>2</v>
      </c>
      <c r="C421" s="11" t="s">
        <v>1568</v>
      </c>
      <c r="D421" s="11">
        <v>1178009</v>
      </c>
      <c r="E421" s="11">
        <v>29425395</v>
      </c>
      <c r="F421" s="12" t="s">
        <v>1569</v>
      </c>
      <c r="G421" s="11" t="s">
        <v>1570</v>
      </c>
      <c r="H421" t="s">
        <v>1571</v>
      </c>
      <c r="I421" s="13">
        <v>92715540604</v>
      </c>
      <c r="J421" s="14">
        <v>21214</v>
      </c>
      <c r="K421" s="14">
        <v>21214</v>
      </c>
      <c r="L421" s="10" t="s">
        <v>105</v>
      </c>
      <c r="M421" s="14">
        <v>0</v>
      </c>
      <c r="N421" s="15">
        <v>0</v>
      </c>
      <c r="O421" t="str">
        <f>IFERROR(VLOOKUP($I421,CHOOSE({1,2},'[1]DIRETORES NTE'!$H$5:$H$31,'[1]DIRETORES NTE'!$E$5:$E$31,),2,0),"-")</f>
        <v>-</v>
      </c>
    </row>
    <row r="422" spans="1:15" x14ac:dyDescent="0.25">
      <c r="A422" s="10">
        <v>420</v>
      </c>
      <c r="B422" s="11">
        <v>19</v>
      </c>
      <c r="C422" s="11" t="s">
        <v>331</v>
      </c>
      <c r="D422" s="11">
        <v>1106718</v>
      </c>
      <c r="E422" s="11">
        <v>29097703</v>
      </c>
      <c r="F422" s="12" t="s">
        <v>1572</v>
      </c>
      <c r="G422" s="11" t="s">
        <v>1573</v>
      </c>
      <c r="H422" t="s">
        <v>1574</v>
      </c>
      <c r="I422" s="13">
        <v>90843118504</v>
      </c>
      <c r="J422" s="14">
        <v>12144</v>
      </c>
      <c r="K422" s="14">
        <v>12144</v>
      </c>
      <c r="L422" s="10" t="s">
        <v>336</v>
      </c>
      <c r="M422" s="14">
        <v>0</v>
      </c>
      <c r="N422" s="15">
        <v>0</v>
      </c>
      <c r="O422" t="str">
        <f>IFERROR(VLOOKUP($I422,CHOOSE({1,2},'[1]DIRETORES NTE'!$H$5:$H$31,'[1]DIRETORES NTE'!$E$5:$E$31,),2,0),"-")</f>
        <v>-</v>
      </c>
    </row>
    <row r="423" spans="1:15" x14ac:dyDescent="0.25">
      <c r="A423" s="10">
        <v>421</v>
      </c>
      <c r="B423" s="11">
        <v>1</v>
      </c>
      <c r="C423" s="11" t="s">
        <v>1575</v>
      </c>
      <c r="D423" s="11">
        <v>1127154</v>
      </c>
      <c r="E423" s="11">
        <v>29066395</v>
      </c>
      <c r="F423" s="12" t="s">
        <v>1576</v>
      </c>
      <c r="G423" s="11" t="s">
        <v>1577</v>
      </c>
      <c r="H423" t="s">
        <v>1578</v>
      </c>
      <c r="I423" s="13" t="s">
        <v>1579</v>
      </c>
      <c r="J423" s="14">
        <v>14876</v>
      </c>
      <c r="K423" s="14">
        <v>14876</v>
      </c>
      <c r="L423" s="10" t="s">
        <v>356</v>
      </c>
      <c r="M423" s="14">
        <v>0</v>
      </c>
      <c r="N423" s="15">
        <v>0</v>
      </c>
      <c r="O423" t="str">
        <f>IFERROR(VLOOKUP($I423,CHOOSE({1,2},'[1]DIRETORES NTE'!$H$5:$H$31,'[1]DIRETORES NTE'!$E$5:$E$31,),2,0),"-")</f>
        <v>-</v>
      </c>
    </row>
    <row r="424" spans="1:15" x14ac:dyDescent="0.25">
      <c r="A424" s="10">
        <v>422</v>
      </c>
      <c r="B424" s="11">
        <v>22</v>
      </c>
      <c r="C424" s="11" t="s">
        <v>1580</v>
      </c>
      <c r="D424" s="11">
        <v>1178051</v>
      </c>
      <c r="E424" s="11">
        <v>29425417</v>
      </c>
      <c r="F424" s="12" t="s">
        <v>1581</v>
      </c>
      <c r="G424" s="11" t="s">
        <v>1582</v>
      </c>
      <c r="H424" t="s">
        <v>1583</v>
      </c>
      <c r="I424" s="13">
        <v>73531316591</v>
      </c>
      <c r="J424" s="14">
        <v>4237</v>
      </c>
      <c r="K424" s="14">
        <v>4237</v>
      </c>
      <c r="L424" s="10" t="s">
        <v>200</v>
      </c>
      <c r="M424" s="14">
        <v>0</v>
      </c>
      <c r="N424" s="15">
        <v>0</v>
      </c>
      <c r="O424" t="str">
        <f>IFERROR(VLOOKUP($I424,CHOOSE({1,2},'[1]DIRETORES NTE'!$H$5:$H$31,'[1]DIRETORES NTE'!$E$5:$E$31,),2,0),"-")</f>
        <v>-</v>
      </c>
    </row>
    <row r="425" spans="1:15" x14ac:dyDescent="0.25">
      <c r="A425" s="10">
        <v>423</v>
      </c>
      <c r="B425" s="11">
        <v>3</v>
      </c>
      <c r="C425" s="11" t="s">
        <v>1584</v>
      </c>
      <c r="D425" s="11">
        <v>1176466</v>
      </c>
      <c r="E425" s="11">
        <v>29385253</v>
      </c>
      <c r="F425" s="12" t="s">
        <v>1585</v>
      </c>
      <c r="G425" s="11" t="s">
        <v>1586</v>
      </c>
      <c r="H425" t="s">
        <v>1587</v>
      </c>
      <c r="I425" s="13">
        <v>49291670510</v>
      </c>
      <c r="J425" s="14">
        <v>22418</v>
      </c>
      <c r="K425" s="14">
        <v>2539.9</v>
      </c>
      <c r="L425" s="10" t="s">
        <v>117</v>
      </c>
      <c r="M425" s="14">
        <v>19878.099999999999</v>
      </c>
      <c r="N425" s="15">
        <v>0.8867026496565259</v>
      </c>
      <c r="O425" t="str">
        <f>IFERROR(VLOOKUP($I425,CHOOSE({1,2},'[1]DIRETORES NTE'!$H$5:$H$31,'[1]DIRETORES NTE'!$E$5:$E$31,),2,0),"-")</f>
        <v>-</v>
      </c>
    </row>
    <row r="426" spans="1:15" x14ac:dyDescent="0.25">
      <c r="A426" s="10">
        <v>424</v>
      </c>
      <c r="B426" s="11">
        <v>15</v>
      </c>
      <c r="C426" s="11" t="s">
        <v>1005</v>
      </c>
      <c r="D426" s="11">
        <v>1138172</v>
      </c>
      <c r="E426" s="11">
        <v>29142709</v>
      </c>
      <c r="F426" s="12" t="s">
        <v>1588</v>
      </c>
      <c r="G426" s="11" t="s">
        <v>1589</v>
      </c>
      <c r="H426" t="s">
        <v>1590</v>
      </c>
      <c r="I426" s="13">
        <v>98196901534</v>
      </c>
      <c r="J426" s="14">
        <v>7274</v>
      </c>
      <c r="K426" s="14">
        <v>7274</v>
      </c>
      <c r="L426" s="10" t="s">
        <v>280</v>
      </c>
      <c r="M426" s="14">
        <v>0</v>
      </c>
      <c r="N426" s="15">
        <v>0</v>
      </c>
      <c r="O426" t="str">
        <f>IFERROR(VLOOKUP($I426,CHOOSE({1,2},'[1]DIRETORES NTE'!$H$5:$H$31,'[1]DIRETORES NTE'!$E$5:$E$31,),2,0),"-")</f>
        <v>-</v>
      </c>
    </row>
    <row r="427" spans="1:15" x14ac:dyDescent="0.25">
      <c r="A427" s="10">
        <v>425</v>
      </c>
      <c r="B427" s="11">
        <v>13</v>
      </c>
      <c r="C427" s="11" t="s">
        <v>777</v>
      </c>
      <c r="D427" s="11">
        <v>1128606</v>
      </c>
      <c r="E427" s="11">
        <v>29243947</v>
      </c>
      <c r="F427" s="12" t="s">
        <v>244</v>
      </c>
      <c r="G427" s="11" t="s">
        <v>1591</v>
      </c>
      <c r="H427" t="s">
        <v>1592</v>
      </c>
      <c r="I427" s="13">
        <v>65511360520</v>
      </c>
      <c r="J427" s="14">
        <v>11702</v>
      </c>
      <c r="K427" s="14">
        <v>11702</v>
      </c>
      <c r="L427" s="10" t="s">
        <v>33</v>
      </c>
      <c r="M427" s="14">
        <v>0</v>
      </c>
      <c r="N427" s="15">
        <v>0</v>
      </c>
      <c r="O427" t="str">
        <f>IFERROR(VLOOKUP($I427,CHOOSE({1,2},'[1]DIRETORES NTE'!$H$5:$H$31,'[1]DIRETORES NTE'!$E$5:$E$31,),2,0),"-")</f>
        <v>-</v>
      </c>
    </row>
    <row r="428" spans="1:15" x14ac:dyDescent="0.25">
      <c r="A428" s="10">
        <v>426</v>
      </c>
      <c r="B428" s="11">
        <v>26</v>
      </c>
      <c r="C428" s="11" t="s">
        <v>916</v>
      </c>
      <c r="D428" s="11">
        <v>1104928</v>
      </c>
      <c r="E428" s="11">
        <v>29201535</v>
      </c>
      <c r="F428" s="12" t="s">
        <v>1593</v>
      </c>
      <c r="G428" s="11" t="s">
        <v>1594</v>
      </c>
      <c r="H428" t="s">
        <v>1595</v>
      </c>
      <c r="I428" s="13">
        <v>35982160504</v>
      </c>
      <c r="J428" s="14">
        <v>4281</v>
      </c>
      <c r="K428" s="14">
        <v>0.4</v>
      </c>
      <c r="L428" s="10" t="s">
        <v>99</v>
      </c>
      <c r="M428" s="14">
        <v>4280.6000000000004</v>
      </c>
      <c r="N428" s="15">
        <v>0.99990656388694243</v>
      </c>
      <c r="O428" t="str">
        <f>IFERROR(VLOOKUP($I428,CHOOSE({1,2},'[1]DIRETORES NTE'!$H$5:$H$31,'[1]DIRETORES NTE'!$E$5:$E$31,),2,0),"-")</f>
        <v>-</v>
      </c>
    </row>
    <row r="429" spans="1:15" x14ac:dyDescent="0.25">
      <c r="A429" s="10">
        <v>427</v>
      </c>
      <c r="B429" s="11">
        <v>19</v>
      </c>
      <c r="C429" s="11" t="s">
        <v>331</v>
      </c>
      <c r="D429" s="11">
        <v>1179770</v>
      </c>
      <c r="E429" s="11">
        <v>29094240</v>
      </c>
      <c r="F429" s="12" t="s">
        <v>1596</v>
      </c>
      <c r="G429" s="11" t="s">
        <v>1597</v>
      </c>
      <c r="H429" t="s">
        <v>1598</v>
      </c>
      <c r="I429" s="13">
        <v>98325515520</v>
      </c>
      <c r="J429" s="14">
        <v>22790</v>
      </c>
      <c r="K429" s="14">
        <v>24.25</v>
      </c>
      <c r="L429" s="10" t="s">
        <v>336</v>
      </c>
      <c r="M429" s="14">
        <v>22765.75</v>
      </c>
      <c r="N429" s="15">
        <v>0.9989359368143923</v>
      </c>
      <c r="O429" t="str">
        <f>IFERROR(VLOOKUP($I429,CHOOSE({1,2},'[1]DIRETORES NTE'!$H$5:$H$31,'[1]DIRETORES NTE'!$E$5:$E$31,),2,0),"-")</f>
        <v>-</v>
      </c>
    </row>
    <row r="430" spans="1:15" x14ac:dyDescent="0.25">
      <c r="A430" s="10">
        <v>428</v>
      </c>
      <c r="B430" s="11">
        <v>20</v>
      </c>
      <c r="C430" s="11" t="s">
        <v>1599</v>
      </c>
      <c r="D430" s="11">
        <v>1124813</v>
      </c>
      <c r="E430" s="11">
        <v>29267420</v>
      </c>
      <c r="F430" s="12" t="s">
        <v>1600</v>
      </c>
      <c r="G430" s="11" t="s">
        <v>1601</v>
      </c>
      <c r="H430" t="s">
        <v>1602</v>
      </c>
      <c r="I430" s="13">
        <v>46931694553</v>
      </c>
      <c r="J430" s="14">
        <v>11389</v>
      </c>
      <c r="K430" s="14">
        <v>11389</v>
      </c>
      <c r="L430" s="10" t="s">
        <v>27</v>
      </c>
      <c r="M430" s="14">
        <v>0</v>
      </c>
      <c r="N430" s="15">
        <v>0</v>
      </c>
      <c r="O430" t="str">
        <f>IFERROR(VLOOKUP($I430,CHOOSE({1,2},'[1]DIRETORES NTE'!$H$5:$H$31,'[1]DIRETORES NTE'!$E$5:$E$31,),2,0),"-")</f>
        <v>-</v>
      </c>
    </row>
    <row r="431" spans="1:15" x14ac:dyDescent="0.25">
      <c r="A431" s="10">
        <v>429</v>
      </c>
      <c r="B431" s="11">
        <v>26</v>
      </c>
      <c r="C431" s="11" t="s">
        <v>916</v>
      </c>
      <c r="D431" s="11">
        <v>1100930</v>
      </c>
      <c r="E431" s="11">
        <v>29201527</v>
      </c>
      <c r="F431" s="12" t="s">
        <v>1603</v>
      </c>
      <c r="G431" s="11" t="s">
        <v>1604</v>
      </c>
      <c r="H431" t="s">
        <v>1605</v>
      </c>
      <c r="I431" s="13">
        <v>52893871534</v>
      </c>
      <c r="J431" s="14">
        <v>4959</v>
      </c>
      <c r="K431" s="14">
        <v>4959</v>
      </c>
      <c r="L431" s="10" t="s">
        <v>99</v>
      </c>
      <c r="M431" s="14">
        <v>0</v>
      </c>
      <c r="N431" s="15">
        <v>0</v>
      </c>
      <c r="O431" t="str">
        <f>IFERROR(VLOOKUP($I431,CHOOSE({1,2},'[1]DIRETORES NTE'!$H$5:$H$31,'[1]DIRETORES NTE'!$E$5:$E$31,),2,0),"-")</f>
        <v>-</v>
      </c>
    </row>
    <row r="432" spans="1:15" x14ac:dyDescent="0.25">
      <c r="A432" s="10">
        <v>430</v>
      </c>
      <c r="B432" s="11">
        <v>25</v>
      </c>
      <c r="C432" s="11" t="s">
        <v>629</v>
      </c>
      <c r="D432" s="11">
        <v>1179606</v>
      </c>
      <c r="E432" s="11">
        <v>29470579</v>
      </c>
      <c r="F432" s="12" t="s">
        <v>1606</v>
      </c>
      <c r="G432" s="11" t="s">
        <v>1607</v>
      </c>
      <c r="H432" t="s">
        <v>1608</v>
      </c>
      <c r="I432" s="13" t="s">
        <v>1609</v>
      </c>
      <c r="J432" s="14">
        <v>14265</v>
      </c>
      <c r="K432" s="14">
        <v>14265</v>
      </c>
      <c r="L432" s="10" t="s">
        <v>80</v>
      </c>
      <c r="M432" s="14">
        <v>0</v>
      </c>
      <c r="N432" s="15">
        <v>0</v>
      </c>
      <c r="O432" t="str">
        <f>IFERROR(VLOOKUP($I432,CHOOSE({1,2},'[1]DIRETORES NTE'!$H$5:$H$31,'[1]DIRETORES NTE'!$E$5:$E$31,),2,0),"-")</f>
        <v>-</v>
      </c>
    </row>
    <row r="433" spans="1:15" x14ac:dyDescent="0.25">
      <c r="A433" s="10">
        <v>431</v>
      </c>
      <c r="B433" s="11">
        <v>4</v>
      </c>
      <c r="C433" s="11" t="s">
        <v>1610</v>
      </c>
      <c r="D433" s="11">
        <v>1178099</v>
      </c>
      <c r="E433" s="11">
        <v>29431573</v>
      </c>
      <c r="F433" s="12" t="s">
        <v>1611</v>
      </c>
      <c r="G433" s="11" t="s">
        <v>1612</v>
      </c>
      <c r="H433" t="s">
        <v>1613</v>
      </c>
      <c r="I433" s="13">
        <v>96959118549</v>
      </c>
      <c r="J433" s="14">
        <v>26926</v>
      </c>
      <c r="K433" s="14">
        <v>26926</v>
      </c>
      <c r="L433" s="10" t="s">
        <v>58</v>
      </c>
      <c r="M433" s="14">
        <v>0</v>
      </c>
      <c r="N433" s="15">
        <v>0</v>
      </c>
      <c r="O433" t="str">
        <f>IFERROR(VLOOKUP($I433,CHOOSE({1,2},'[1]DIRETORES NTE'!$H$5:$H$31,'[1]DIRETORES NTE'!$E$5:$E$31,),2,0),"-")</f>
        <v>-</v>
      </c>
    </row>
    <row r="434" spans="1:15" x14ac:dyDescent="0.25">
      <c r="A434" s="10">
        <v>432</v>
      </c>
      <c r="B434" s="11">
        <v>2</v>
      </c>
      <c r="C434" s="11" t="s">
        <v>132</v>
      </c>
      <c r="D434" s="11">
        <v>1131720</v>
      </c>
      <c r="E434" s="11">
        <v>29043085</v>
      </c>
      <c r="F434" s="12" t="s">
        <v>1614</v>
      </c>
      <c r="G434" s="11" t="s">
        <v>1615</v>
      </c>
      <c r="H434" t="s">
        <v>1616</v>
      </c>
      <c r="I434" s="13">
        <v>75259664515</v>
      </c>
      <c r="J434" s="14">
        <v>19890</v>
      </c>
      <c r="K434" s="14">
        <v>19890</v>
      </c>
      <c r="L434" s="10" t="s">
        <v>105</v>
      </c>
      <c r="M434" s="14">
        <v>0</v>
      </c>
      <c r="N434" s="15">
        <v>0</v>
      </c>
      <c r="O434" t="str">
        <f>IFERROR(VLOOKUP($I434,CHOOSE({1,2},'[1]DIRETORES NTE'!$H$5:$H$31,'[1]DIRETORES NTE'!$E$5:$E$31,),2,0),"-")</f>
        <v>-</v>
      </c>
    </row>
    <row r="435" spans="1:15" x14ac:dyDescent="0.25">
      <c r="A435" s="10">
        <v>433</v>
      </c>
      <c r="B435" s="11">
        <v>7</v>
      </c>
      <c r="C435" s="11" t="s">
        <v>148</v>
      </c>
      <c r="D435" s="11">
        <v>1178427</v>
      </c>
      <c r="E435" s="11">
        <v>29399246</v>
      </c>
      <c r="F435" s="12" t="s">
        <v>1617</v>
      </c>
      <c r="G435" s="11" t="s">
        <v>1618</v>
      </c>
      <c r="H435" t="s">
        <v>1619</v>
      </c>
      <c r="I435" s="13">
        <v>44694610597</v>
      </c>
      <c r="J435" s="14">
        <v>525</v>
      </c>
      <c r="K435" s="14">
        <v>525</v>
      </c>
      <c r="L435" s="10" t="s">
        <v>153</v>
      </c>
      <c r="M435" s="14">
        <v>0</v>
      </c>
      <c r="N435" s="15">
        <v>0</v>
      </c>
      <c r="O435" t="str">
        <f>IFERROR(VLOOKUP($I435,CHOOSE({1,2},'[1]DIRETORES NTE'!$H$5:$H$31,'[1]DIRETORES NTE'!$E$5:$E$31,),2,0),"-")</f>
        <v>-</v>
      </c>
    </row>
    <row r="436" spans="1:15" x14ac:dyDescent="0.25">
      <c r="A436" s="10">
        <v>434</v>
      </c>
      <c r="B436" s="11">
        <v>27</v>
      </c>
      <c r="C436" s="11" t="s">
        <v>788</v>
      </c>
      <c r="D436" s="11">
        <v>1146183</v>
      </c>
      <c r="E436" s="11">
        <v>29318378</v>
      </c>
      <c r="F436" s="12" t="s">
        <v>1620</v>
      </c>
      <c r="G436" s="11" t="s">
        <v>1621</v>
      </c>
      <c r="H436" t="s">
        <v>1622</v>
      </c>
      <c r="I436" s="13">
        <v>65499115591</v>
      </c>
      <c r="J436" s="14">
        <v>8366</v>
      </c>
      <c r="K436" s="14">
        <v>8366</v>
      </c>
      <c r="L436" s="10" t="s">
        <v>720</v>
      </c>
      <c r="M436" s="14">
        <v>0</v>
      </c>
      <c r="N436" s="15">
        <v>0</v>
      </c>
      <c r="O436" t="str">
        <f>IFERROR(VLOOKUP($I436,CHOOSE({1,2},'[1]DIRETORES NTE'!$H$5:$H$31,'[1]DIRETORES NTE'!$E$5:$E$31,),2,0),"-")</f>
        <v>-</v>
      </c>
    </row>
    <row r="437" spans="1:15" x14ac:dyDescent="0.25">
      <c r="A437" s="10">
        <v>435</v>
      </c>
      <c r="B437" s="11" t="s">
        <v>237</v>
      </c>
      <c r="C437" s="11" t="s">
        <v>237</v>
      </c>
      <c r="D437" s="11" t="s">
        <v>237</v>
      </c>
      <c r="E437" s="11" t="s">
        <v>237</v>
      </c>
      <c r="F437" s="12" t="s">
        <v>237</v>
      </c>
      <c r="G437" s="11" t="s">
        <v>237</v>
      </c>
      <c r="H437" t="s">
        <v>1623</v>
      </c>
      <c r="I437" s="13" t="s">
        <v>1624</v>
      </c>
      <c r="J437" s="14">
        <v>0</v>
      </c>
      <c r="K437" s="14">
        <v>0</v>
      </c>
      <c r="L437" s="10" t="s">
        <v>39</v>
      </c>
      <c r="M437" s="14">
        <v>0</v>
      </c>
      <c r="N437" s="15" t="e">
        <v>#DIV/0!</v>
      </c>
      <c r="O437" t="str">
        <f>IFERROR(VLOOKUP($I437,CHOOSE({1,2},'[1]DIRETORES NTE'!$H$5:$H$31,'[1]DIRETORES NTE'!$E$5:$E$31,),2,0),"-")</f>
        <v>-</v>
      </c>
    </row>
    <row r="438" spans="1:15" x14ac:dyDescent="0.25">
      <c r="A438" s="10">
        <v>436</v>
      </c>
      <c r="B438" s="11">
        <v>5</v>
      </c>
      <c r="C438" s="11" t="s">
        <v>1625</v>
      </c>
      <c r="D438" s="11">
        <v>1112262</v>
      </c>
      <c r="E438" s="11">
        <v>29308046</v>
      </c>
      <c r="F438" s="12" t="s">
        <v>1626</v>
      </c>
      <c r="G438" s="11" t="s">
        <v>1627</v>
      </c>
      <c r="H438" t="s">
        <v>1628</v>
      </c>
      <c r="I438" s="13" t="s">
        <v>1629</v>
      </c>
      <c r="J438" s="14">
        <v>6006</v>
      </c>
      <c r="K438" s="14">
        <v>6006</v>
      </c>
      <c r="L438" s="10" t="s">
        <v>44</v>
      </c>
      <c r="M438" s="14">
        <v>0</v>
      </c>
      <c r="N438" s="15">
        <v>0</v>
      </c>
      <c r="O438" t="str">
        <f>IFERROR(VLOOKUP($I438,CHOOSE({1,2},'[1]DIRETORES NTE'!$H$5:$H$31,'[1]DIRETORES NTE'!$E$5:$E$31,),2,0),"-")</f>
        <v>-</v>
      </c>
    </row>
    <row r="439" spans="1:15" x14ac:dyDescent="0.25">
      <c r="A439" s="10">
        <v>437</v>
      </c>
      <c r="B439" s="11">
        <v>1</v>
      </c>
      <c r="C439" s="11" t="s">
        <v>1630</v>
      </c>
      <c r="D439" s="11">
        <v>1162774</v>
      </c>
      <c r="E439" s="11">
        <v>29062632</v>
      </c>
      <c r="F439" s="12" t="s">
        <v>1631</v>
      </c>
      <c r="G439" s="11" t="s">
        <v>1632</v>
      </c>
      <c r="H439" t="s">
        <v>1633</v>
      </c>
      <c r="I439" s="13">
        <v>80646611453</v>
      </c>
      <c r="J439" s="14">
        <v>14536</v>
      </c>
      <c r="K439" s="14">
        <v>14536</v>
      </c>
      <c r="L439" s="10" t="s">
        <v>356</v>
      </c>
      <c r="M439" s="14">
        <v>0</v>
      </c>
      <c r="N439" s="15">
        <v>0</v>
      </c>
      <c r="O439" t="str">
        <f>IFERROR(VLOOKUP($I439,CHOOSE({1,2},'[1]DIRETORES NTE'!$H$5:$H$31,'[1]DIRETORES NTE'!$E$5:$E$31,),2,0),"-")</f>
        <v>-</v>
      </c>
    </row>
    <row r="440" spans="1:15" x14ac:dyDescent="0.25">
      <c r="A440" s="10">
        <v>438</v>
      </c>
      <c r="B440" s="11">
        <v>21</v>
      </c>
      <c r="C440" s="11" t="s">
        <v>205</v>
      </c>
      <c r="D440" s="11">
        <v>1178087</v>
      </c>
      <c r="E440" s="11">
        <v>29432626</v>
      </c>
      <c r="F440" s="12" t="s">
        <v>1634</v>
      </c>
      <c r="G440" s="11" t="s">
        <v>1635</v>
      </c>
      <c r="H440" t="s">
        <v>1636</v>
      </c>
      <c r="I440" s="13">
        <v>54773989572</v>
      </c>
      <c r="J440" s="14">
        <v>16587</v>
      </c>
      <c r="K440" s="14">
        <v>16587</v>
      </c>
      <c r="L440" s="10" t="s">
        <v>63</v>
      </c>
      <c r="M440" s="14">
        <v>0</v>
      </c>
      <c r="N440" s="15">
        <v>0</v>
      </c>
      <c r="O440" t="str">
        <f>IFERROR(VLOOKUP($I440,CHOOSE({1,2},'[1]DIRETORES NTE'!$H$5:$H$31,'[1]DIRETORES NTE'!$E$5:$E$31,),2,0),"-")</f>
        <v>-</v>
      </c>
    </row>
    <row r="441" spans="1:15" x14ac:dyDescent="0.25">
      <c r="A441" s="10">
        <v>439</v>
      </c>
      <c r="B441" s="11">
        <v>26</v>
      </c>
      <c r="C441" s="11" t="s">
        <v>95</v>
      </c>
      <c r="D441" s="11">
        <v>1176202</v>
      </c>
      <c r="E441" s="11">
        <v>29357624</v>
      </c>
      <c r="F441" s="12" t="s">
        <v>1637</v>
      </c>
      <c r="G441" s="11" t="s">
        <v>1638</v>
      </c>
      <c r="H441" t="s">
        <v>1639</v>
      </c>
      <c r="I441" s="13">
        <v>92559360500</v>
      </c>
      <c r="J441" s="14">
        <v>7756</v>
      </c>
      <c r="K441" s="14">
        <v>7756</v>
      </c>
      <c r="L441" s="10" t="s">
        <v>99</v>
      </c>
      <c r="M441" s="14">
        <v>0</v>
      </c>
      <c r="N441" s="15">
        <v>0</v>
      </c>
      <c r="O441" t="str">
        <f>IFERROR(VLOOKUP($I441,CHOOSE({1,2},'[1]DIRETORES NTE'!$H$5:$H$31,'[1]DIRETORES NTE'!$E$5:$E$31,),2,0),"-")</f>
        <v>-</v>
      </c>
    </row>
    <row r="442" spans="1:15" x14ac:dyDescent="0.25">
      <c r="A442" s="10">
        <v>440</v>
      </c>
      <c r="B442" s="11">
        <v>19</v>
      </c>
      <c r="C442" s="11" t="s">
        <v>331</v>
      </c>
      <c r="D442" s="11">
        <v>1106599</v>
      </c>
      <c r="E442" s="11">
        <v>29095212</v>
      </c>
      <c r="F442" s="12" t="s">
        <v>1640</v>
      </c>
      <c r="G442" s="11" t="s">
        <v>1641</v>
      </c>
      <c r="H442" t="s">
        <v>1642</v>
      </c>
      <c r="I442" s="13">
        <v>13776304553</v>
      </c>
      <c r="J442" s="14">
        <v>5190</v>
      </c>
      <c r="K442" s="14">
        <v>5.3</v>
      </c>
      <c r="L442" s="10" t="s">
        <v>336</v>
      </c>
      <c r="M442" s="14">
        <v>5184.7</v>
      </c>
      <c r="N442" s="15">
        <v>0.99897880539499029</v>
      </c>
      <c r="O442" t="str">
        <f>IFERROR(VLOOKUP($I442,CHOOSE({1,2},'[1]DIRETORES NTE'!$H$5:$H$31,'[1]DIRETORES NTE'!$E$5:$E$31,),2,0),"-")</f>
        <v>-</v>
      </c>
    </row>
    <row r="443" spans="1:15" x14ac:dyDescent="0.25">
      <c r="A443" s="10">
        <v>441</v>
      </c>
      <c r="B443" s="11">
        <v>26</v>
      </c>
      <c r="C443" s="11" t="s">
        <v>95</v>
      </c>
      <c r="D443" s="11">
        <v>1176096</v>
      </c>
      <c r="E443" s="11">
        <v>29336708</v>
      </c>
      <c r="F443" s="12" t="s">
        <v>1643</v>
      </c>
      <c r="G443" s="11" t="s">
        <v>1644</v>
      </c>
      <c r="H443" t="s">
        <v>1645</v>
      </c>
      <c r="I443" s="13">
        <v>91670721515</v>
      </c>
      <c r="J443" s="14">
        <v>21888</v>
      </c>
      <c r="K443" s="14">
        <v>21888</v>
      </c>
      <c r="L443" s="10" t="s">
        <v>99</v>
      </c>
      <c r="M443" s="14">
        <v>0</v>
      </c>
      <c r="N443" s="15">
        <v>0</v>
      </c>
      <c r="O443" t="str">
        <f>IFERROR(VLOOKUP($I443,CHOOSE({1,2},'[1]DIRETORES NTE'!$H$5:$H$31,'[1]DIRETORES NTE'!$E$5:$E$31,),2,0),"-")</f>
        <v>-</v>
      </c>
    </row>
    <row r="444" spans="1:15" x14ac:dyDescent="0.25">
      <c r="A444" s="10">
        <v>442</v>
      </c>
      <c r="B444" s="11">
        <v>5</v>
      </c>
      <c r="C444" s="11" t="s">
        <v>1646</v>
      </c>
      <c r="D444" s="11">
        <v>1177011</v>
      </c>
      <c r="E444" s="11">
        <v>29407044</v>
      </c>
      <c r="F444" s="12" t="s">
        <v>1647</v>
      </c>
      <c r="G444" s="11" t="s">
        <v>1648</v>
      </c>
      <c r="H444" t="s">
        <v>1649</v>
      </c>
      <c r="I444" s="13" t="s">
        <v>1650</v>
      </c>
      <c r="J444" s="14">
        <v>8352</v>
      </c>
      <c r="K444" s="14">
        <v>8352</v>
      </c>
      <c r="L444" s="10" t="s">
        <v>44</v>
      </c>
      <c r="M444" s="14">
        <v>0</v>
      </c>
      <c r="N444" s="15">
        <v>0</v>
      </c>
      <c r="O444" t="str">
        <f>IFERROR(VLOOKUP($I444,CHOOSE({1,2},'[1]DIRETORES NTE'!$H$5:$H$31,'[1]DIRETORES NTE'!$E$5:$E$31,),2,0),"-")</f>
        <v>-</v>
      </c>
    </row>
    <row r="445" spans="1:15" x14ac:dyDescent="0.25">
      <c r="A445" s="10">
        <v>443</v>
      </c>
      <c r="B445" s="11">
        <v>9</v>
      </c>
      <c r="C445" s="11" t="s">
        <v>1651</v>
      </c>
      <c r="D445" s="11">
        <v>1109423</v>
      </c>
      <c r="E445" s="11">
        <v>29092744</v>
      </c>
      <c r="F445" s="12" t="s">
        <v>1652</v>
      </c>
      <c r="G445" s="11" t="s">
        <v>1653</v>
      </c>
      <c r="H445" t="s">
        <v>1654</v>
      </c>
      <c r="I445" s="13">
        <v>91589622553</v>
      </c>
      <c r="J445" s="14">
        <v>9645</v>
      </c>
      <c r="K445" s="14">
        <v>9645</v>
      </c>
      <c r="L445" s="10" t="s">
        <v>167</v>
      </c>
      <c r="M445" s="14">
        <v>0</v>
      </c>
      <c r="N445" s="15">
        <v>0</v>
      </c>
      <c r="O445" t="str">
        <f>IFERROR(VLOOKUP($I445,CHOOSE({1,2},'[1]DIRETORES NTE'!$H$5:$H$31,'[1]DIRETORES NTE'!$E$5:$E$31,),2,0),"-")</f>
        <v>-</v>
      </c>
    </row>
    <row r="446" spans="1:15" x14ac:dyDescent="0.25">
      <c r="A446" s="10">
        <v>444</v>
      </c>
      <c r="B446" s="11">
        <v>26</v>
      </c>
      <c r="C446" s="11" t="s">
        <v>95</v>
      </c>
      <c r="D446" s="11">
        <v>1100884</v>
      </c>
      <c r="E446" s="11">
        <v>29184983</v>
      </c>
      <c r="F446" s="12" t="s">
        <v>1655</v>
      </c>
      <c r="G446" s="11" t="s">
        <v>1656</v>
      </c>
      <c r="H446" t="s">
        <v>1657</v>
      </c>
      <c r="I446" s="13">
        <v>66857236534</v>
      </c>
      <c r="J446" s="14">
        <v>5182</v>
      </c>
      <c r="K446" s="14">
        <v>5182</v>
      </c>
      <c r="L446" s="10" t="s">
        <v>99</v>
      </c>
      <c r="M446" s="14">
        <v>0</v>
      </c>
      <c r="N446" s="15">
        <v>0</v>
      </c>
      <c r="O446" t="str">
        <f>IFERROR(VLOOKUP($I446,CHOOSE({1,2},'[1]DIRETORES NTE'!$H$5:$H$31,'[1]DIRETORES NTE'!$E$5:$E$31,),2,0),"-")</f>
        <v>-</v>
      </c>
    </row>
    <row r="447" spans="1:15" x14ac:dyDescent="0.25">
      <c r="A447" s="10">
        <v>445</v>
      </c>
      <c r="B447" s="11">
        <v>26</v>
      </c>
      <c r="C447" s="11" t="s">
        <v>95</v>
      </c>
      <c r="D447" s="11">
        <v>1101430</v>
      </c>
      <c r="E447" s="11">
        <v>29179629</v>
      </c>
      <c r="F447" s="12" t="s">
        <v>1658</v>
      </c>
      <c r="G447" s="11" t="s">
        <v>1659</v>
      </c>
      <c r="H447" t="s">
        <v>1660</v>
      </c>
      <c r="I447" s="13">
        <v>24070050582</v>
      </c>
      <c r="J447" s="14">
        <v>9550</v>
      </c>
      <c r="K447" s="14">
        <v>9550</v>
      </c>
      <c r="L447" s="10" t="s">
        <v>99</v>
      </c>
      <c r="M447" s="14">
        <v>0</v>
      </c>
      <c r="N447" s="15">
        <v>0</v>
      </c>
      <c r="O447" t="str">
        <f>IFERROR(VLOOKUP($I447,CHOOSE({1,2},'[1]DIRETORES NTE'!$H$5:$H$31,'[1]DIRETORES NTE'!$E$5:$E$31,),2,0),"-")</f>
        <v>-</v>
      </c>
    </row>
    <row r="448" spans="1:15" x14ac:dyDescent="0.25">
      <c r="A448" s="10">
        <v>446</v>
      </c>
      <c r="B448" s="11">
        <v>19</v>
      </c>
      <c r="C448" s="11" t="s">
        <v>331</v>
      </c>
      <c r="D448" s="11">
        <v>1105932</v>
      </c>
      <c r="E448" s="11">
        <v>29096847</v>
      </c>
      <c r="F448" s="12" t="s">
        <v>1661</v>
      </c>
      <c r="G448" s="11" t="s">
        <v>1662</v>
      </c>
      <c r="H448" t="s">
        <v>1663</v>
      </c>
      <c r="I448" s="13">
        <v>98937987520</v>
      </c>
      <c r="J448" s="14">
        <v>2885</v>
      </c>
      <c r="K448" s="14">
        <v>440.15</v>
      </c>
      <c r="L448" s="10" t="s">
        <v>336</v>
      </c>
      <c r="M448" s="14">
        <v>2444.85</v>
      </c>
      <c r="N448" s="15">
        <v>0.84743500866551125</v>
      </c>
      <c r="O448" t="str">
        <f>IFERROR(VLOOKUP($I448,CHOOSE({1,2},'[1]DIRETORES NTE'!$H$5:$H$31,'[1]DIRETORES NTE'!$E$5:$E$31,),2,0),"-")</f>
        <v>-</v>
      </c>
    </row>
    <row r="449" spans="1:15" x14ac:dyDescent="0.25">
      <c r="A449" s="10">
        <v>447</v>
      </c>
      <c r="B449" s="11">
        <v>19</v>
      </c>
      <c r="C449" s="11" t="s">
        <v>1664</v>
      </c>
      <c r="D449" s="11">
        <v>1105584</v>
      </c>
      <c r="E449" s="11">
        <v>29089964</v>
      </c>
      <c r="F449" s="12" t="s">
        <v>1665</v>
      </c>
      <c r="G449" s="11" t="s">
        <v>1666</v>
      </c>
      <c r="H449" t="s">
        <v>1667</v>
      </c>
      <c r="I449" s="13">
        <v>41657640515</v>
      </c>
      <c r="J449" s="14">
        <v>11215</v>
      </c>
      <c r="K449" s="14">
        <v>11215</v>
      </c>
      <c r="L449" s="10" t="s">
        <v>336</v>
      </c>
      <c r="M449" s="14">
        <v>0</v>
      </c>
      <c r="N449" s="15">
        <v>0</v>
      </c>
      <c r="O449" t="str">
        <f>IFERROR(VLOOKUP($I449,CHOOSE({1,2},'[1]DIRETORES NTE'!$H$5:$H$31,'[1]DIRETORES NTE'!$E$5:$E$31,),2,0),"-")</f>
        <v>-</v>
      </c>
    </row>
    <row r="450" spans="1:15" x14ac:dyDescent="0.25">
      <c r="A450" s="10">
        <v>448</v>
      </c>
      <c r="B450" s="11">
        <v>4</v>
      </c>
      <c r="C450" s="11" t="s">
        <v>700</v>
      </c>
      <c r="D450" s="11">
        <v>1177073</v>
      </c>
      <c r="E450" s="11">
        <v>29411947</v>
      </c>
      <c r="F450" s="12" t="s">
        <v>1668</v>
      </c>
      <c r="G450" s="11" t="s">
        <v>1669</v>
      </c>
      <c r="H450" t="s">
        <v>1670</v>
      </c>
      <c r="I450" s="13">
        <v>61394955553</v>
      </c>
      <c r="J450" s="14">
        <v>26351</v>
      </c>
      <c r="K450" s="14">
        <v>26351</v>
      </c>
      <c r="L450" s="10" t="s">
        <v>58</v>
      </c>
      <c r="M450" s="14">
        <v>0</v>
      </c>
      <c r="N450" s="15">
        <v>0</v>
      </c>
      <c r="O450" t="str">
        <f>IFERROR(VLOOKUP($I450,CHOOSE({1,2},'[1]DIRETORES NTE'!$H$5:$H$31,'[1]DIRETORES NTE'!$E$5:$E$31,),2,0),"-")</f>
        <v>-</v>
      </c>
    </row>
    <row r="451" spans="1:15" x14ac:dyDescent="0.25">
      <c r="A451" s="10">
        <v>449</v>
      </c>
      <c r="B451" s="11">
        <v>7</v>
      </c>
      <c r="C451" s="11" t="s">
        <v>1244</v>
      </c>
      <c r="D451" s="11">
        <v>1176400</v>
      </c>
      <c r="E451" s="11">
        <v>29370485</v>
      </c>
      <c r="F451" s="12" t="s">
        <v>1671</v>
      </c>
      <c r="G451" s="11" t="s">
        <v>1672</v>
      </c>
      <c r="H451" t="s">
        <v>1673</v>
      </c>
      <c r="I451" s="13">
        <v>29220645572</v>
      </c>
      <c r="J451" s="14">
        <v>8674</v>
      </c>
      <c r="K451" s="14">
        <v>8674</v>
      </c>
      <c r="L451" s="10" t="s">
        <v>153</v>
      </c>
      <c r="M451" s="14">
        <v>0</v>
      </c>
      <c r="N451" s="15">
        <v>0</v>
      </c>
      <c r="O451" t="str">
        <f>IFERROR(VLOOKUP($I451,CHOOSE({1,2},'[1]DIRETORES NTE'!$H$5:$H$31,'[1]DIRETORES NTE'!$E$5:$E$31,),2,0),"-")</f>
        <v>-</v>
      </c>
    </row>
    <row r="452" spans="1:15" x14ac:dyDescent="0.25">
      <c r="A452" s="10">
        <v>450</v>
      </c>
      <c r="B452" s="11">
        <v>20</v>
      </c>
      <c r="C452" s="11" t="s">
        <v>1674</v>
      </c>
      <c r="D452" s="11">
        <v>1128924</v>
      </c>
      <c r="E452" s="11">
        <v>29259630</v>
      </c>
      <c r="F452" s="12" t="s">
        <v>1675</v>
      </c>
      <c r="G452" s="11" t="s">
        <v>1676</v>
      </c>
      <c r="H452" t="s">
        <v>1677</v>
      </c>
      <c r="I452" s="13">
        <v>99778815534</v>
      </c>
      <c r="J452" s="14">
        <v>7188</v>
      </c>
      <c r="K452" s="14">
        <v>7188</v>
      </c>
      <c r="L452" s="10" t="s">
        <v>27</v>
      </c>
      <c r="M452" s="14">
        <v>0</v>
      </c>
      <c r="N452" s="15">
        <v>0</v>
      </c>
      <c r="O452" t="str">
        <f>IFERROR(VLOOKUP($I452,CHOOSE({1,2},'[1]DIRETORES NTE'!$H$5:$H$31,'[1]DIRETORES NTE'!$E$5:$E$31,),2,0),"-")</f>
        <v>-</v>
      </c>
    </row>
    <row r="453" spans="1:15" x14ac:dyDescent="0.25">
      <c r="A453" s="10">
        <v>451</v>
      </c>
      <c r="B453" s="11">
        <v>7</v>
      </c>
      <c r="C453" s="11" t="s">
        <v>201</v>
      </c>
      <c r="D453" s="11">
        <v>1178223</v>
      </c>
      <c r="E453" s="11">
        <v>29445213</v>
      </c>
      <c r="F453" s="12" t="s">
        <v>1678</v>
      </c>
      <c r="G453" s="11" t="s">
        <v>1679</v>
      </c>
      <c r="H453" t="s">
        <v>1680</v>
      </c>
      <c r="I453" s="13" t="s">
        <v>1681</v>
      </c>
      <c r="J453" s="14">
        <v>8095</v>
      </c>
      <c r="K453" s="14">
        <v>8095</v>
      </c>
      <c r="L453" s="10" t="s">
        <v>153</v>
      </c>
      <c r="M453" s="14">
        <v>0</v>
      </c>
      <c r="N453" s="15">
        <v>0</v>
      </c>
      <c r="O453" t="str">
        <f>IFERROR(VLOOKUP($I453,CHOOSE({1,2},'[1]DIRETORES NTE'!$H$5:$H$31,'[1]DIRETORES NTE'!$E$5:$E$31,),2,0),"-")</f>
        <v>-</v>
      </c>
    </row>
    <row r="454" spans="1:15" x14ac:dyDescent="0.25">
      <c r="A454" s="10">
        <v>452</v>
      </c>
      <c r="B454" s="11" t="s">
        <v>237</v>
      </c>
      <c r="C454" s="11" t="s">
        <v>237</v>
      </c>
      <c r="D454" s="11" t="s">
        <v>237</v>
      </c>
      <c r="E454" s="11" t="s">
        <v>237</v>
      </c>
      <c r="F454" s="12" t="s">
        <v>237</v>
      </c>
      <c r="G454" s="11" t="s">
        <v>237</v>
      </c>
      <c r="H454" t="s">
        <v>1682</v>
      </c>
      <c r="I454" s="13">
        <v>20359039553</v>
      </c>
      <c r="J454" s="14">
        <v>0</v>
      </c>
      <c r="K454" s="14">
        <v>0</v>
      </c>
      <c r="L454" s="10" t="s">
        <v>39</v>
      </c>
      <c r="M454" s="14">
        <v>0</v>
      </c>
      <c r="N454" s="15" t="e">
        <v>#DIV/0!</v>
      </c>
      <c r="O454" t="str">
        <f>IFERROR(VLOOKUP($I454,CHOOSE({1,2},'[1]DIRETORES NTE'!$H$5:$H$31,'[1]DIRETORES NTE'!$E$5:$E$31,),2,0),"-")</f>
        <v>IZOLDA LEITE PEREIRA MAIA (DIRETOR DE NTE)</v>
      </c>
    </row>
    <row r="455" spans="1:15" x14ac:dyDescent="0.25">
      <c r="A455" s="10">
        <v>453</v>
      </c>
      <c r="B455" s="11">
        <v>21</v>
      </c>
      <c r="C455" s="11" t="s">
        <v>157</v>
      </c>
      <c r="D455" s="11">
        <v>1133405</v>
      </c>
      <c r="E455" s="11">
        <v>29165407</v>
      </c>
      <c r="F455" s="12" t="s">
        <v>1683</v>
      </c>
      <c r="G455" s="11" t="s">
        <v>1684</v>
      </c>
      <c r="H455" t="s">
        <v>1685</v>
      </c>
      <c r="I455" s="13">
        <v>98684388534</v>
      </c>
      <c r="J455" s="14">
        <v>8035</v>
      </c>
      <c r="K455" s="14">
        <v>5</v>
      </c>
      <c r="L455" s="10" t="s">
        <v>63</v>
      </c>
      <c r="M455" s="14">
        <v>8030</v>
      </c>
      <c r="N455" s="15">
        <v>0.99937772246421908</v>
      </c>
      <c r="O455" t="str">
        <f>IFERROR(VLOOKUP($I455,CHOOSE({1,2},'[1]DIRETORES NTE'!$H$5:$H$31,'[1]DIRETORES NTE'!$E$5:$E$31,),2,0),"-")</f>
        <v>-</v>
      </c>
    </row>
    <row r="456" spans="1:15" x14ac:dyDescent="0.25">
      <c r="A456" s="10">
        <v>454</v>
      </c>
      <c r="B456" s="11">
        <v>5</v>
      </c>
      <c r="C456" s="11" t="s">
        <v>40</v>
      </c>
      <c r="D456" s="11">
        <v>1111126</v>
      </c>
      <c r="E456" s="11">
        <v>29302269</v>
      </c>
      <c r="F456" s="12" t="s">
        <v>1686</v>
      </c>
      <c r="G456" s="11" t="s">
        <v>1687</v>
      </c>
      <c r="H456" t="s">
        <v>1688</v>
      </c>
      <c r="I456" s="13">
        <v>57592969572</v>
      </c>
      <c r="J456" s="14">
        <v>6356</v>
      </c>
      <c r="K456" s="14">
        <v>6356</v>
      </c>
      <c r="L456" s="10" t="s">
        <v>44</v>
      </c>
      <c r="M456" s="14">
        <v>0</v>
      </c>
      <c r="N456" s="15">
        <v>0</v>
      </c>
      <c r="O456" t="str">
        <f>IFERROR(VLOOKUP($I456,CHOOSE({1,2},'[1]DIRETORES NTE'!$H$5:$H$31,'[1]DIRETORES NTE'!$E$5:$E$31,),2,0),"-")</f>
        <v>-</v>
      </c>
    </row>
    <row r="457" spans="1:15" x14ac:dyDescent="0.25">
      <c r="A457" s="10">
        <v>455</v>
      </c>
      <c r="B457" s="11">
        <v>4</v>
      </c>
      <c r="C457" s="11" t="s">
        <v>171</v>
      </c>
      <c r="D457" s="11">
        <v>1115679</v>
      </c>
      <c r="E457" s="11">
        <v>29139155</v>
      </c>
      <c r="F457" s="12" t="s">
        <v>1689</v>
      </c>
      <c r="G457" s="11" t="s">
        <v>1690</v>
      </c>
      <c r="H457" t="s">
        <v>1691</v>
      </c>
      <c r="I457" s="13" t="s">
        <v>1692</v>
      </c>
      <c r="J457" s="14">
        <v>3801</v>
      </c>
      <c r="K457" s="14">
        <v>3801</v>
      </c>
      <c r="L457" s="10" t="s">
        <v>58</v>
      </c>
      <c r="M457" s="14">
        <v>0</v>
      </c>
      <c r="N457" s="15">
        <v>0</v>
      </c>
      <c r="O457" t="str">
        <f>IFERROR(VLOOKUP($I457,CHOOSE({1,2},'[1]DIRETORES NTE'!$H$5:$H$31,'[1]DIRETORES NTE'!$E$5:$E$31,),2,0),"-")</f>
        <v>-</v>
      </c>
    </row>
    <row r="458" spans="1:15" x14ac:dyDescent="0.25">
      <c r="A458" s="10">
        <v>456</v>
      </c>
      <c r="B458" s="11" t="s">
        <v>237</v>
      </c>
      <c r="C458" s="11" t="s">
        <v>237</v>
      </c>
      <c r="D458" s="11" t="s">
        <v>237</v>
      </c>
      <c r="E458" s="11" t="s">
        <v>237</v>
      </c>
      <c r="F458" s="12" t="s">
        <v>237</v>
      </c>
      <c r="G458" s="11" t="s">
        <v>237</v>
      </c>
      <c r="H458" t="s">
        <v>1693</v>
      </c>
      <c r="I458" s="13">
        <v>44996217553</v>
      </c>
      <c r="J458" s="14">
        <v>0</v>
      </c>
      <c r="K458" s="14">
        <v>0</v>
      </c>
      <c r="L458" s="10" t="s">
        <v>720</v>
      </c>
      <c r="M458" s="14">
        <v>0</v>
      </c>
      <c r="N458" s="15" t="e">
        <v>#DIV/0!</v>
      </c>
      <c r="O458" t="str">
        <f>IFERROR(VLOOKUP($I458,CHOOSE({1,2},'[1]DIRETORES NTE'!$H$5:$H$31,'[1]DIRETORES NTE'!$E$5:$E$31,),2,0),"-")</f>
        <v>-</v>
      </c>
    </row>
    <row r="459" spans="1:15" x14ac:dyDescent="0.25">
      <c r="A459" s="10">
        <v>457</v>
      </c>
      <c r="B459" s="11">
        <v>26</v>
      </c>
      <c r="C459" s="11" t="s">
        <v>95</v>
      </c>
      <c r="D459" s="11">
        <v>1104820</v>
      </c>
      <c r="E459" s="11">
        <v>29182050</v>
      </c>
      <c r="F459" s="12" t="s">
        <v>1694</v>
      </c>
      <c r="G459" s="11" t="s">
        <v>1695</v>
      </c>
      <c r="H459" t="s">
        <v>1696</v>
      </c>
      <c r="I459" s="13" t="s">
        <v>1697</v>
      </c>
      <c r="J459" s="14">
        <v>9630</v>
      </c>
      <c r="K459" s="14">
        <v>9630</v>
      </c>
      <c r="L459" s="10" t="s">
        <v>99</v>
      </c>
      <c r="M459" s="14">
        <v>0</v>
      </c>
      <c r="N459" s="15">
        <v>0</v>
      </c>
      <c r="O459" t="str">
        <f>IFERROR(VLOOKUP($I459,CHOOSE({1,2},'[1]DIRETORES NTE'!$H$5:$H$31,'[1]DIRETORES NTE'!$E$5:$E$31,),2,0),"-")</f>
        <v>-</v>
      </c>
    </row>
    <row r="460" spans="1:15" x14ac:dyDescent="0.25">
      <c r="A460" s="10">
        <v>458</v>
      </c>
      <c r="B460" s="11">
        <v>26</v>
      </c>
      <c r="C460" s="11" t="s">
        <v>95</v>
      </c>
      <c r="D460" s="11">
        <v>1101163</v>
      </c>
      <c r="E460" s="11">
        <v>29180490</v>
      </c>
      <c r="F460" s="12" t="s">
        <v>1698</v>
      </c>
      <c r="G460" s="11" t="s">
        <v>1699</v>
      </c>
      <c r="H460" t="s">
        <v>1700</v>
      </c>
      <c r="I460" s="13">
        <v>54385270597</v>
      </c>
      <c r="J460" s="14">
        <v>8781</v>
      </c>
      <c r="K460" s="14">
        <v>8781</v>
      </c>
      <c r="L460" s="10" t="s">
        <v>99</v>
      </c>
      <c r="M460" s="14">
        <v>0</v>
      </c>
      <c r="N460" s="15">
        <v>0</v>
      </c>
      <c r="O460" t="str">
        <f>IFERROR(VLOOKUP($I460,CHOOSE({1,2},'[1]DIRETORES NTE'!$H$5:$H$31,'[1]DIRETORES NTE'!$E$5:$E$31,),2,0),"-")</f>
        <v>-</v>
      </c>
    </row>
    <row r="461" spans="1:15" x14ac:dyDescent="0.25">
      <c r="A461" s="10">
        <v>459</v>
      </c>
      <c r="B461" s="11">
        <v>6</v>
      </c>
      <c r="C461" s="11" t="s">
        <v>45</v>
      </c>
      <c r="D461" s="11">
        <v>1111070</v>
      </c>
      <c r="E461" s="11">
        <v>29290732</v>
      </c>
      <c r="F461" s="12" t="s">
        <v>1701</v>
      </c>
      <c r="G461" s="11" t="s">
        <v>1702</v>
      </c>
      <c r="H461" t="s">
        <v>1703</v>
      </c>
      <c r="I461" s="13" t="s">
        <v>1704</v>
      </c>
      <c r="J461" s="14">
        <v>13658</v>
      </c>
      <c r="K461" s="14">
        <v>8690.73</v>
      </c>
      <c r="L461" s="10" t="s">
        <v>49</v>
      </c>
      <c r="M461" s="14">
        <v>4967.2700000000004</v>
      </c>
      <c r="N461" s="15">
        <v>0.36368941279835998</v>
      </c>
      <c r="O461" t="str">
        <f>IFERROR(VLOOKUP($I461,CHOOSE({1,2},'[1]DIRETORES NTE'!$H$5:$H$31,'[1]DIRETORES NTE'!$E$5:$E$31,),2,0),"-")</f>
        <v>-</v>
      </c>
    </row>
    <row r="462" spans="1:15" x14ac:dyDescent="0.25">
      <c r="A462" s="10">
        <v>460</v>
      </c>
      <c r="B462" s="11">
        <v>12</v>
      </c>
      <c r="C462" s="11" t="s">
        <v>1705</v>
      </c>
      <c r="D462" s="11">
        <v>1176443</v>
      </c>
      <c r="E462" s="11">
        <v>29384400</v>
      </c>
      <c r="F462" s="12" t="s">
        <v>1706</v>
      </c>
      <c r="G462" s="11" t="s">
        <v>1707</v>
      </c>
      <c r="H462" t="s">
        <v>1708</v>
      </c>
      <c r="I462" s="13">
        <v>63746620597</v>
      </c>
      <c r="J462" s="14">
        <v>8072</v>
      </c>
      <c r="K462" s="14">
        <v>8072</v>
      </c>
      <c r="L462" s="10" t="s">
        <v>90</v>
      </c>
      <c r="M462" s="14">
        <v>0</v>
      </c>
      <c r="N462" s="15">
        <v>0</v>
      </c>
      <c r="O462" t="str">
        <f>IFERROR(VLOOKUP($I462,CHOOSE({1,2},'[1]DIRETORES NTE'!$H$5:$H$31,'[1]DIRETORES NTE'!$E$5:$E$31,),2,0),"-")</f>
        <v>-</v>
      </c>
    </row>
    <row r="463" spans="1:15" x14ac:dyDescent="0.25">
      <c r="A463" s="10">
        <v>461</v>
      </c>
      <c r="B463" s="11">
        <v>26</v>
      </c>
      <c r="C463" s="11" t="s">
        <v>95</v>
      </c>
      <c r="D463" s="11">
        <v>1103816</v>
      </c>
      <c r="E463" s="11">
        <v>29190894</v>
      </c>
      <c r="F463" s="12" t="s">
        <v>1709</v>
      </c>
      <c r="G463" s="11" t="s">
        <v>1710</v>
      </c>
      <c r="H463" t="s">
        <v>1711</v>
      </c>
      <c r="I463" s="13">
        <v>56706804568</v>
      </c>
      <c r="J463" s="14">
        <v>31974</v>
      </c>
      <c r="K463" s="14">
        <v>31974</v>
      </c>
      <c r="L463" s="10" t="s">
        <v>99</v>
      </c>
      <c r="M463" s="14">
        <v>0</v>
      </c>
      <c r="N463" s="15">
        <v>0</v>
      </c>
      <c r="O463" t="str">
        <f>IFERROR(VLOOKUP($I463,CHOOSE({1,2},'[1]DIRETORES NTE'!$H$5:$H$31,'[1]DIRETORES NTE'!$E$5:$E$31,),2,0),"-")</f>
        <v>-</v>
      </c>
    </row>
    <row r="464" spans="1:15" x14ac:dyDescent="0.25">
      <c r="A464" s="10">
        <v>462</v>
      </c>
      <c r="B464" s="11">
        <v>5</v>
      </c>
      <c r="C464" s="11" t="s">
        <v>1712</v>
      </c>
      <c r="D464" s="11">
        <v>1112777</v>
      </c>
      <c r="E464" s="11">
        <v>29313848</v>
      </c>
      <c r="F464" s="12" t="s">
        <v>1713</v>
      </c>
      <c r="G464" s="11" t="s">
        <v>1714</v>
      </c>
      <c r="H464" t="s">
        <v>1715</v>
      </c>
      <c r="I464" s="13" t="s">
        <v>1716</v>
      </c>
      <c r="J464" s="14">
        <v>8904</v>
      </c>
      <c r="K464" s="14">
        <v>8904</v>
      </c>
      <c r="L464" s="10" t="s">
        <v>44</v>
      </c>
      <c r="M464" s="14">
        <v>0</v>
      </c>
      <c r="N464" s="15">
        <v>0</v>
      </c>
      <c r="O464" t="str">
        <f>IFERROR(VLOOKUP($I464,CHOOSE({1,2},'[1]DIRETORES NTE'!$H$5:$H$31,'[1]DIRETORES NTE'!$E$5:$E$31,),2,0),"-")</f>
        <v>-</v>
      </c>
    </row>
    <row r="465" spans="1:15" x14ac:dyDescent="0.25">
      <c r="A465" s="10">
        <v>463</v>
      </c>
      <c r="B465" s="11">
        <v>4</v>
      </c>
      <c r="C465" s="11" t="s">
        <v>675</v>
      </c>
      <c r="D465" s="11">
        <v>1166427</v>
      </c>
      <c r="E465" s="11">
        <v>29365430</v>
      </c>
      <c r="F465" s="12" t="s">
        <v>1717</v>
      </c>
      <c r="G465" s="11" t="s">
        <v>1718</v>
      </c>
      <c r="H465" t="s">
        <v>1719</v>
      </c>
      <c r="I465" s="13">
        <v>39200094520</v>
      </c>
      <c r="J465" s="14">
        <v>1665</v>
      </c>
      <c r="K465" s="14">
        <v>1665</v>
      </c>
      <c r="L465" s="10" t="s">
        <v>58</v>
      </c>
      <c r="M465" s="14">
        <v>0</v>
      </c>
      <c r="N465" s="15">
        <v>0</v>
      </c>
      <c r="O465" t="str">
        <f>IFERROR(VLOOKUP($I465,CHOOSE({1,2},'[1]DIRETORES NTE'!$H$5:$H$31,'[1]DIRETORES NTE'!$E$5:$E$31,),2,0),"-")</f>
        <v>-</v>
      </c>
    </row>
    <row r="466" spans="1:15" x14ac:dyDescent="0.25">
      <c r="A466" s="10">
        <v>464</v>
      </c>
      <c r="B466" s="11">
        <v>19</v>
      </c>
      <c r="C466" s="11" t="s">
        <v>1720</v>
      </c>
      <c r="D466" s="11">
        <v>1107404</v>
      </c>
      <c r="E466" s="11">
        <v>29107440</v>
      </c>
      <c r="F466" s="12" t="s">
        <v>1721</v>
      </c>
      <c r="G466" s="11" t="s">
        <v>1722</v>
      </c>
      <c r="H466" t="s">
        <v>1723</v>
      </c>
      <c r="I466" s="13">
        <v>51873486553</v>
      </c>
      <c r="J466" s="14">
        <v>13750</v>
      </c>
      <c r="K466" s="14">
        <v>13750</v>
      </c>
      <c r="L466" s="10" t="s">
        <v>336</v>
      </c>
      <c r="M466" s="14">
        <v>0</v>
      </c>
      <c r="N466" s="15">
        <v>0</v>
      </c>
      <c r="O466" t="str">
        <f>IFERROR(VLOOKUP($I466,CHOOSE({1,2},'[1]DIRETORES NTE'!$H$5:$H$31,'[1]DIRETORES NTE'!$E$5:$E$31,),2,0),"-")</f>
        <v>-</v>
      </c>
    </row>
    <row r="467" spans="1:15" x14ac:dyDescent="0.25">
      <c r="A467" s="10">
        <v>465</v>
      </c>
      <c r="B467" s="11">
        <v>26</v>
      </c>
      <c r="C467" s="11" t="s">
        <v>289</v>
      </c>
      <c r="D467" s="11">
        <v>1100809</v>
      </c>
      <c r="E467" s="11">
        <v>29178231</v>
      </c>
      <c r="F467" s="12" t="s">
        <v>1724</v>
      </c>
      <c r="G467" s="11" t="s">
        <v>1725</v>
      </c>
      <c r="H467" t="s">
        <v>1726</v>
      </c>
      <c r="I467" s="13">
        <v>50507613520</v>
      </c>
      <c r="J467" s="14">
        <v>11040</v>
      </c>
      <c r="K467" s="14">
        <v>11040</v>
      </c>
      <c r="L467" s="10" t="s">
        <v>99</v>
      </c>
      <c r="M467" s="14">
        <v>0</v>
      </c>
      <c r="N467" s="15">
        <v>0</v>
      </c>
      <c r="O467" t="str">
        <f>IFERROR(VLOOKUP($I467,CHOOSE({1,2},'[1]DIRETORES NTE'!$H$5:$H$31,'[1]DIRETORES NTE'!$E$5:$E$31,),2,0),"-")</f>
        <v>-</v>
      </c>
    </row>
    <row r="468" spans="1:15" x14ac:dyDescent="0.25">
      <c r="A468" s="10">
        <v>466</v>
      </c>
      <c r="B468" s="11">
        <v>26</v>
      </c>
      <c r="C468" s="11" t="s">
        <v>289</v>
      </c>
      <c r="D468" s="11">
        <v>1100809</v>
      </c>
      <c r="E468" s="11">
        <v>29178231</v>
      </c>
      <c r="F468" s="12" t="s">
        <v>1724</v>
      </c>
      <c r="G468" s="11" t="s">
        <v>1725</v>
      </c>
      <c r="H468" t="s">
        <v>1726</v>
      </c>
      <c r="I468" s="13">
        <v>50507613520</v>
      </c>
      <c r="J468" s="14">
        <v>0</v>
      </c>
      <c r="K468" s="14">
        <v>0</v>
      </c>
      <c r="L468" s="10" t="s">
        <v>99</v>
      </c>
      <c r="M468" s="14">
        <v>0</v>
      </c>
      <c r="N468" s="15" t="e">
        <v>#DIV/0!</v>
      </c>
      <c r="O468" t="str">
        <f>IFERROR(VLOOKUP($I468,CHOOSE({1,2},'[1]DIRETORES NTE'!$H$5:$H$31,'[1]DIRETORES NTE'!$E$5:$E$31,),2,0),"-")</f>
        <v>-</v>
      </c>
    </row>
    <row r="469" spans="1:15" x14ac:dyDescent="0.25">
      <c r="A469" s="10">
        <v>467</v>
      </c>
      <c r="B469" s="11">
        <v>26</v>
      </c>
      <c r="C469" s="11" t="s">
        <v>95</v>
      </c>
      <c r="D469" s="11">
        <v>1100337</v>
      </c>
      <c r="E469" s="11">
        <v>29189012</v>
      </c>
      <c r="F469" s="12" t="s">
        <v>1727</v>
      </c>
      <c r="G469" s="11" t="s">
        <v>1728</v>
      </c>
      <c r="H469" t="s">
        <v>1729</v>
      </c>
      <c r="I469" s="13">
        <v>80434509515</v>
      </c>
      <c r="J469" s="14">
        <v>10260</v>
      </c>
      <c r="K469" s="14">
        <v>10260</v>
      </c>
      <c r="L469" s="10" t="s">
        <v>99</v>
      </c>
      <c r="M469" s="14">
        <v>0</v>
      </c>
      <c r="N469" s="15">
        <v>0</v>
      </c>
      <c r="O469" t="str">
        <f>IFERROR(VLOOKUP($I469,CHOOSE({1,2},'[1]DIRETORES NTE'!$H$5:$H$31,'[1]DIRETORES NTE'!$E$5:$E$31,),2,0),"-")</f>
        <v>-</v>
      </c>
    </row>
    <row r="470" spans="1:15" x14ac:dyDescent="0.25">
      <c r="A470" s="10">
        <v>468</v>
      </c>
      <c r="B470" s="11">
        <v>10</v>
      </c>
      <c r="C470" s="11" t="s">
        <v>1730</v>
      </c>
      <c r="D470" s="11">
        <v>1176454</v>
      </c>
      <c r="E470" s="11">
        <v>29393353</v>
      </c>
      <c r="F470" s="12" t="s">
        <v>1731</v>
      </c>
      <c r="G470" s="11" t="s">
        <v>1732</v>
      </c>
      <c r="H470" t="s">
        <v>1733</v>
      </c>
      <c r="I470" s="13">
        <v>90676920500</v>
      </c>
      <c r="J470" s="14">
        <v>8653</v>
      </c>
      <c r="K470" s="14">
        <v>8653</v>
      </c>
      <c r="L470" s="10" t="s">
        <v>21</v>
      </c>
      <c r="M470" s="14">
        <v>0</v>
      </c>
      <c r="N470" s="15">
        <v>0</v>
      </c>
      <c r="O470" t="str">
        <f>IFERROR(VLOOKUP($I470,CHOOSE({1,2},'[1]DIRETORES NTE'!$H$5:$H$31,'[1]DIRETORES NTE'!$E$5:$E$31,),2,0),"-")</f>
        <v>-</v>
      </c>
    </row>
    <row r="471" spans="1:15" x14ac:dyDescent="0.25">
      <c r="A471" s="10">
        <v>469</v>
      </c>
      <c r="B471" s="11">
        <v>20</v>
      </c>
      <c r="C471" s="11" t="s">
        <v>1734</v>
      </c>
      <c r="D471" s="11">
        <v>1177071</v>
      </c>
      <c r="E471" s="11">
        <v>29409535</v>
      </c>
      <c r="F471" s="12" t="s">
        <v>1735</v>
      </c>
      <c r="G471" s="11" t="s">
        <v>1736</v>
      </c>
      <c r="H471" t="s">
        <v>1737</v>
      </c>
      <c r="I471" s="13" t="s">
        <v>1738</v>
      </c>
      <c r="J471" s="14">
        <v>0</v>
      </c>
      <c r="K471" s="14">
        <v>0</v>
      </c>
      <c r="L471" s="10" t="s">
        <v>27</v>
      </c>
      <c r="M471" s="14">
        <v>0</v>
      </c>
      <c r="N471" s="15" t="e">
        <v>#DIV/0!</v>
      </c>
      <c r="O471" t="str">
        <f>IFERROR(VLOOKUP($I471,CHOOSE({1,2},'[1]DIRETORES NTE'!$H$5:$H$31,'[1]DIRETORES NTE'!$E$5:$E$31,),2,0),"-")</f>
        <v>-</v>
      </c>
    </row>
    <row r="472" spans="1:15" x14ac:dyDescent="0.25">
      <c r="A472" s="10">
        <v>470</v>
      </c>
      <c r="B472" s="11">
        <v>18</v>
      </c>
      <c r="C472" s="11" t="s">
        <v>64</v>
      </c>
      <c r="D472" s="11">
        <v>1177089</v>
      </c>
      <c r="E472" s="11">
        <v>29417163</v>
      </c>
      <c r="F472" s="12" t="s">
        <v>649</v>
      </c>
      <c r="G472" s="11" t="s">
        <v>1739</v>
      </c>
      <c r="H472" t="s">
        <v>1740</v>
      </c>
      <c r="I472" s="13">
        <v>35174854549</v>
      </c>
      <c r="J472" s="14">
        <v>11875</v>
      </c>
      <c r="K472" s="14">
        <v>11875</v>
      </c>
      <c r="L472" s="10" t="s">
        <v>68</v>
      </c>
      <c r="M472" s="14">
        <v>0</v>
      </c>
      <c r="N472" s="15">
        <v>0</v>
      </c>
      <c r="O472" t="str">
        <f>IFERROR(VLOOKUP($I472,CHOOSE({1,2},'[1]DIRETORES NTE'!$H$5:$H$31,'[1]DIRETORES NTE'!$E$5:$E$31,),2,0),"-")</f>
        <v>-</v>
      </c>
    </row>
    <row r="473" spans="1:15" x14ac:dyDescent="0.25">
      <c r="A473" s="10">
        <v>471</v>
      </c>
      <c r="B473" s="11">
        <v>7</v>
      </c>
      <c r="C473" s="11" t="s">
        <v>201</v>
      </c>
      <c r="D473" s="11">
        <v>1113749</v>
      </c>
      <c r="E473" s="11">
        <v>29327202</v>
      </c>
      <c r="F473" s="12" t="s">
        <v>1741</v>
      </c>
      <c r="G473" s="11" t="s">
        <v>1742</v>
      </c>
      <c r="H473" t="s">
        <v>1743</v>
      </c>
      <c r="I473" s="13" t="s">
        <v>1744</v>
      </c>
      <c r="J473" s="14">
        <v>19353</v>
      </c>
      <c r="K473" s="14">
        <v>19353</v>
      </c>
      <c r="L473" s="10" t="s">
        <v>153</v>
      </c>
      <c r="M473" s="14">
        <v>0</v>
      </c>
      <c r="N473" s="15">
        <v>0</v>
      </c>
      <c r="O473" t="str">
        <f>IFERROR(VLOOKUP($I473,CHOOSE({1,2},'[1]DIRETORES NTE'!$H$5:$H$31,'[1]DIRETORES NTE'!$E$5:$E$31,),2,0),"-")</f>
        <v>-</v>
      </c>
    </row>
    <row r="474" spans="1:15" x14ac:dyDescent="0.25">
      <c r="A474" s="10">
        <v>472</v>
      </c>
      <c r="B474" s="11">
        <v>7</v>
      </c>
      <c r="C474" s="11" t="s">
        <v>1745</v>
      </c>
      <c r="D474" s="11">
        <v>1176142</v>
      </c>
      <c r="E474" s="11">
        <v>29330041</v>
      </c>
      <c r="F474" s="12" t="s">
        <v>1746</v>
      </c>
      <c r="G474" s="11" t="s">
        <v>1747</v>
      </c>
      <c r="H474" t="s">
        <v>1748</v>
      </c>
      <c r="I474" s="13" t="s">
        <v>1749</v>
      </c>
      <c r="J474" s="14">
        <v>796</v>
      </c>
      <c r="K474" s="14">
        <v>796</v>
      </c>
      <c r="L474" s="10" t="s">
        <v>153</v>
      </c>
      <c r="M474" s="14">
        <v>0</v>
      </c>
      <c r="N474" s="15">
        <v>0</v>
      </c>
      <c r="O474" t="str">
        <f>IFERROR(VLOOKUP($I474,CHOOSE({1,2},'[1]DIRETORES NTE'!$H$5:$H$31,'[1]DIRETORES NTE'!$E$5:$E$31,),2,0),"-")</f>
        <v>-</v>
      </c>
    </row>
    <row r="475" spans="1:15" x14ac:dyDescent="0.25">
      <c r="A475" s="10">
        <v>473</v>
      </c>
      <c r="B475" s="11">
        <v>26</v>
      </c>
      <c r="C475" s="11" t="s">
        <v>95</v>
      </c>
      <c r="D475" s="11">
        <v>1141939</v>
      </c>
      <c r="E475" s="11">
        <v>29192293</v>
      </c>
      <c r="F475" s="12" t="s">
        <v>1750</v>
      </c>
      <c r="G475" s="11" t="s">
        <v>1751</v>
      </c>
      <c r="H475" t="s">
        <v>1752</v>
      </c>
      <c r="I475" s="13">
        <v>50557840597</v>
      </c>
      <c r="J475" s="14">
        <v>21330</v>
      </c>
      <c r="K475" s="14">
        <v>21330</v>
      </c>
      <c r="L475" s="10" t="s">
        <v>99</v>
      </c>
      <c r="M475" s="14">
        <v>0</v>
      </c>
      <c r="N475" s="15">
        <v>0</v>
      </c>
      <c r="O475" t="str">
        <f>IFERROR(VLOOKUP($I475,CHOOSE({1,2},'[1]DIRETORES NTE'!$H$5:$H$31,'[1]DIRETORES NTE'!$E$5:$E$31,),2,0),"-")</f>
        <v>-</v>
      </c>
    </row>
    <row r="476" spans="1:15" x14ac:dyDescent="0.25">
      <c r="A476" s="10">
        <v>474</v>
      </c>
      <c r="B476" s="11">
        <v>26</v>
      </c>
      <c r="C476" s="11" t="s">
        <v>95</v>
      </c>
      <c r="D476" s="11">
        <v>1176720</v>
      </c>
      <c r="E476" s="11">
        <v>29404371</v>
      </c>
      <c r="F476" s="12" t="s">
        <v>1753</v>
      </c>
      <c r="G476" s="11" t="s">
        <v>1754</v>
      </c>
      <c r="H476" t="s">
        <v>1755</v>
      </c>
      <c r="I476" s="13">
        <v>64965139534</v>
      </c>
      <c r="J476" s="14">
        <v>4230</v>
      </c>
      <c r="K476" s="14">
        <v>4230</v>
      </c>
      <c r="L476" s="10" t="s">
        <v>99</v>
      </c>
      <c r="M476" s="14">
        <v>0</v>
      </c>
      <c r="N476" s="15">
        <v>0</v>
      </c>
      <c r="O476" t="str">
        <f>IFERROR(VLOOKUP($I476,CHOOSE({1,2},'[1]DIRETORES NTE'!$H$5:$H$31,'[1]DIRETORES NTE'!$E$5:$E$31,),2,0),"-")</f>
        <v>-</v>
      </c>
    </row>
    <row r="477" spans="1:15" x14ac:dyDescent="0.25">
      <c r="A477" s="10">
        <v>475</v>
      </c>
      <c r="B477" s="11">
        <v>22</v>
      </c>
      <c r="C477" s="11" t="s">
        <v>1756</v>
      </c>
      <c r="D477" s="11">
        <v>1178097</v>
      </c>
      <c r="E477" s="11">
        <v>29429781</v>
      </c>
      <c r="F477" s="12" t="s">
        <v>1757</v>
      </c>
      <c r="G477" s="11" t="s">
        <v>1758</v>
      </c>
      <c r="H477" t="s">
        <v>1759</v>
      </c>
      <c r="I477" s="13" t="s">
        <v>1760</v>
      </c>
      <c r="J477" s="14">
        <v>4798</v>
      </c>
      <c r="K477" s="14">
        <v>4798</v>
      </c>
      <c r="L477" s="10" t="s">
        <v>200</v>
      </c>
      <c r="M477" s="14">
        <v>0</v>
      </c>
      <c r="N477" s="15">
        <v>0</v>
      </c>
      <c r="O477" t="str">
        <f>IFERROR(VLOOKUP($I477,CHOOSE({1,2},'[1]DIRETORES NTE'!$H$5:$H$31,'[1]DIRETORES NTE'!$E$5:$E$31,),2,0),"-")</f>
        <v>-</v>
      </c>
    </row>
    <row r="478" spans="1:15" x14ac:dyDescent="0.25">
      <c r="A478" s="10">
        <v>476</v>
      </c>
      <c r="B478" s="11">
        <v>4</v>
      </c>
      <c r="C478" s="11" t="s">
        <v>404</v>
      </c>
      <c r="D478" s="11">
        <v>1178326</v>
      </c>
      <c r="E478" s="11">
        <v>29397693</v>
      </c>
      <c r="F478" s="12" t="s">
        <v>1761</v>
      </c>
      <c r="G478" s="11" t="s">
        <v>1762</v>
      </c>
      <c r="H478" t="s">
        <v>1763</v>
      </c>
      <c r="I478" s="13">
        <v>70782423515</v>
      </c>
      <c r="J478" s="14">
        <v>8824</v>
      </c>
      <c r="K478" s="14">
        <v>8824</v>
      </c>
      <c r="L478" s="10" t="s">
        <v>58</v>
      </c>
      <c r="M478" s="14">
        <v>0</v>
      </c>
      <c r="N478" s="15">
        <v>0</v>
      </c>
      <c r="O478" t="str">
        <f>IFERROR(VLOOKUP($I478,CHOOSE({1,2},'[1]DIRETORES NTE'!$H$5:$H$31,'[1]DIRETORES NTE'!$E$5:$E$31,),2,0),"-")</f>
        <v>-</v>
      </c>
    </row>
    <row r="479" spans="1:15" x14ac:dyDescent="0.25">
      <c r="A479" s="10">
        <v>477</v>
      </c>
      <c r="B479" s="11">
        <v>9</v>
      </c>
      <c r="C479" s="11" t="s">
        <v>1764</v>
      </c>
      <c r="D479" s="11">
        <v>1118287</v>
      </c>
      <c r="E479" s="11">
        <v>29235138</v>
      </c>
      <c r="F479" s="12" t="s">
        <v>1765</v>
      </c>
      <c r="G479" s="11" t="s">
        <v>1766</v>
      </c>
      <c r="H479" t="s">
        <v>1767</v>
      </c>
      <c r="I479" s="13" t="s">
        <v>1768</v>
      </c>
      <c r="J479" s="14">
        <v>8669</v>
      </c>
      <c r="K479" s="14">
        <v>4579.88</v>
      </c>
      <c r="L479" s="10" t="s">
        <v>167</v>
      </c>
      <c r="M479" s="14">
        <v>4089.12</v>
      </c>
      <c r="N479" s="15">
        <v>0.47169454377667552</v>
      </c>
      <c r="O479" t="str">
        <f>IFERROR(VLOOKUP($I479,CHOOSE({1,2},'[1]DIRETORES NTE'!$H$5:$H$31,'[1]DIRETORES NTE'!$E$5:$E$31,),2,0),"-")</f>
        <v>-</v>
      </c>
    </row>
    <row r="480" spans="1:15" x14ac:dyDescent="0.25">
      <c r="A480" s="10">
        <v>478</v>
      </c>
      <c r="B480" s="11">
        <v>24</v>
      </c>
      <c r="C480" s="11" t="s">
        <v>1099</v>
      </c>
      <c r="D480" s="11">
        <v>1179203</v>
      </c>
      <c r="E480" s="11">
        <v>29373018</v>
      </c>
      <c r="F480" s="12" t="s">
        <v>1769</v>
      </c>
      <c r="G480" s="11" t="s">
        <v>1770</v>
      </c>
      <c r="H480" t="s">
        <v>1771</v>
      </c>
      <c r="I480" s="13" t="s">
        <v>1772</v>
      </c>
      <c r="J480" s="14">
        <v>1162</v>
      </c>
      <c r="K480" s="14">
        <v>1162</v>
      </c>
      <c r="L480" s="10" t="s">
        <v>266</v>
      </c>
      <c r="M480" s="14">
        <v>0</v>
      </c>
      <c r="N480" s="15">
        <v>0</v>
      </c>
      <c r="O480" t="str">
        <f>IFERROR(VLOOKUP($I480,CHOOSE({1,2},'[1]DIRETORES NTE'!$H$5:$H$31,'[1]DIRETORES NTE'!$E$5:$E$31,),2,0),"-")</f>
        <v>-</v>
      </c>
    </row>
    <row r="481" spans="1:15" x14ac:dyDescent="0.25">
      <c r="A481" s="10">
        <v>479</v>
      </c>
      <c r="B481" s="11">
        <v>22</v>
      </c>
      <c r="C481" s="11" t="s">
        <v>1773</v>
      </c>
      <c r="D481" s="11">
        <v>1178260</v>
      </c>
      <c r="E481" s="11">
        <v>29457602</v>
      </c>
      <c r="F481" s="12" t="s">
        <v>1774</v>
      </c>
      <c r="G481" s="11" t="s">
        <v>1775</v>
      </c>
      <c r="H481" t="s">
        <v>1776</v>
      </c>
      <c r="I481" s="13" t="s">
        <v>1777</v>
      </c>
      <c r="J481" s="14">
        <v>13587</v>
      </c>
      <c r="K481" s="14">
        <v>13587</v>
      </c>
      <c r="L481" s="10" t="s">
        <v>200</v>
      </c>
      <c r="M481" s="14">
        <v>0</v>
      </c>
      <c r="N481" s="15">
        <v>0</v>
      </c>
      <c r="O481" t="str">
        <f>IFERROR(VLOOKUP($I481,CHOOSE({1,2},'[1]DIRETORES NTE'!$H$5:$H$31,'[1]DIRETORES NTE'!$E$5:$E$31,),2,0),"-")</f>
        <v>-</v>
      </c>
    </row>
    <row r="482" spans="1:15" x14ac:dyDescent="0.25">
      <c r="A482" s="10">
        <v>480</v>
      </c>
      <c r="B482" s="11">
        <v>16</v>
      </c>
      <c r="C482" s="11" t="s">
        <v>1533</v>
      </c>
      <c r="D482" s="11">
        <v>1172419</v>
      </c>
      <c r="E482" s="11">
        <v>29075874</v>
      </c>
      <c r="F482" s="12" t="s">
        <v>1778</v>
      </c>
      <c r="G482" s="11" t="s">
        <v>1779</v>
      </c>
      <c r="H482" t="s">
        <v>1780</v>
      </c>
      <c r="I482" s="13" t="s">
        <v>1781</v>
      </c>
      <c r="J482" s="14">
        <v>11649</v>
      </c>
      <c r="K482" s="14">
        <v>11649</v>
      </c>
      <c r="L482" s="10" t="s">
        <v>74</v>
      </c>
      <c r="M482" s="14">
        <v>0</v>
      </c>
      <c r="N482" s="15">
        <v>0</v>
      </c>
      <c r="O482" t="str">
        <f>IFERROR(VLOOKUP($I482,CHOOSE({1,2},'[1]DIRETORES NTE'!$H$5:$H$31,'[1]DIRETORES NTE'!$E$5:$E$31,),2,0),"-")</f>
        <v>-</v>
      </c>
    </row>
    <row r="483" spans="1:15" x14ac:dyDescent="0.25">
      <c r="A483" s="10">
        <v>481</v>
      </c>
      <c r="B483" s="11">
        <v>27</v>
      </c>
      <c r="C483" s="11" t="s">
        <v>924</v>
      </c>
      <c r="D483" s="11">
        <v>1178042</v>
      </c>
      <c r="E483" s="11">
        <v>29428254</v>
      </c>
      <c r="F483" s="12" t="s">
        <v>1782</v>
      </c>
      <c r="G483" s="11" t="s">
        <v>1783</v>
      </c>
      <c r="H483" t="s">
        <v>1784</v>
      </c>
      <c r="I483" s="13">
        <v>80398499500</v>
      </c>
      <c r="J483" s="14">
        <v>4161</v>
      </c>
      <c r="K483" s="14">
        <v>4161</v>
      </c>
      <c r="L483" s="10" t="s">
        <v>720</v>
      </c>
      <c r="M483" s="14">
        <v>0</v>
      </c>
      <c r="N483" s="15">
        <v>0</v>
      </c>
      <c r="O483" t="str">
        <f>IFERROR(VLOOKUP($I483,CHOOSE({1,2},'[1]DIRETORES NTE'!$H$5:$H$31,'[1]DIRETORES NTE'!$E$5:$E$31,),2,0),"-")</f>
        <v>-</v>
      </c>
    </row>
    <row r="484" spans="1:15" x14ac:dyDescent="0.25">
      <c r="A484" s="10">
        <v>482</v>
      </c>
      <c r="B484" s="11">
        <v>17</v>
      </c>
      <c r="C484" s="11" t="s">
        <v>450</v>
      </c>
      <c r="D484" s="11">
        <v>1179131</v>
      </c>
      <c r="E484" s="11">
        <v>29463980</v>
      </c>
      <c r="F484" s="12" t="s">
        <v>1785</v>
      </c>
      <c r="G484" s="11" t="s">
        <v>1786</v>
      </c>
      <c r="H484" t="s">
        <v>1787</v>
      </c>
      <c r="I484" s="13" t="s">
        <v>1788</v>
      </c>
      <c r="J484" s="14">
        <v>14063</v>
      </c>
      <c r="K484" s="14">
        <v>4672.32</v>
      </c>
      <c r="L484" s="10" t="s">
        <v>455</v>
      </c>
      <c r="M484" s="14">
        <v>9390.68</v>
      </c>
      <c r="N484" s="15">
        <v>0.66775794638412855</v>
      </c>
      <c r="O484" t="str">
        <f>IFERROR(VLOOKUP($I484,CHOOSE({1,2},'[1]DIRETORES NTE'!$H$5:$H$31,'[1]DIRETORES NTE'!$E$5:$E$31,),2,0),"-")</f>
        <v>-</v>
      </c>
    </row>
    <row r="485" spans="1:15" x14ac:dyDescent="0.25">
      <c r="A485" s="10">
        <v>483</v>
      </c>
      <c r="B485" s="11">
        <v>19</v>
      </c>
      <c r="C485" s="11" t="s">
        <v>331</v>
      </c>
      <c r="D485" s="11">
        <v>1105797</v>
      </c>
      <c r="E485" s="11">
        <v>29432960</v>
      </c>
      <c r="F485" s="12" t="s">
        <v>1789</v>
      </c>
      <c r="G485" s="11" t="s">
        <v>1790</v>
      </c>
      <c r="H485" t="s">
        <v>1791</v>
      </c>
      <c r="I485" s="13" t="s">
        <v>1792</v>
      </c>
      <c r="J485" s="14">
        <v>15322</v>
      </c>
      <c r="K485" s="14">
        <v>1556.81</v>
      </c>
      <c r="L485" s="10" t="s">
        <v>336</v>
      </c>
      <c r="M485" s="14">
        <v>13765.19</v>
      </c>
      <c r="N485" s="15">
        <v>0.89839381281816999</v>
      </c>
      <c r="O485" t="str">
        <f>IFERROR(VLOOKUP($I485,CHOOSE({1,2},'[1]DIRETORES NTE'!$H$5:$H$31,'[1]DIRETORES NTE'!$E$5:$E$31,),2,0),"-")</f>
        <v>-</v>
      </c>
    </row>
    <row r="486" spans="1:15" x14ac:dyDescent="0.25">
      <c r="A486" s="10">
        <v>484</v>
      </c>
      <c r="B486" s="11">
        <v>11</v>
      </c>
      <c r="C486" s="11" t="s">
        <v>188</v>
      </c>
      <c r="D486" s="11">
        <v>1129742</v>
      </c>
      <c r="E486" s="11">
        <v>29000971</v>
      </c>
      <c r="F486" s="12" t="s">
        <v>1793</v>
      </c>
      <c r="G486" s="11" t="s">
        <v>1794</v>
      </c>
      <c r="H486" t="s">
        <v>1795</v>
      </c>
      <c r="I486" s="13" t="s">
        <v>1796</v>
      </c>
      <c r="J486" s="14">
        <v>15560</v>
      </c>
      <c r="K486" s="14">
        <v>15560</v>
      </c>
      <c r="L486" s="10" t="s">
        <v>39</v>
      </c>
      <c r="M486" s="14">
        <v>0</v>
      </c>
      <c r="N486" s="15">
        <v>0</v>
      </c>
      <c r="O486" t="str">
        <f>IFERROR(VLOOKUP($I486,CHOOSE({1,2},'[1]DIRETORES NTE'!$H$5:$H$31,'[1]DIRETORES NTE'!$E$5:$E$31,),2,0),"-")</f>
        <v>-</v>
      </c>
    </row>
    <row r="487" spans="1:15" x14ac:dyDescent="0.25">
      <c r="A487" s="10">
        <v>485</v>
      </c>
      <c r="B487" s="11">
        <v>2</v>
      </c>
      <c r="C487" s="11" t="s">
        <v>1797</v>
      </c>
      <c r="D487" s="11">
        <v>1128762</v>
      </c>
      <c r="E487" s="11">
        <v>29044570</v>
      </c>
      <c r="F487" s="12" t="s">
        <v>1798</v>
      </c>
      <c r="G487" s="11" t="s">
        <v>1799</v>
      </c>
      <c r="H487" t="s">
        <v>1800</v>
      </c>
      <c r="I487" s="13">
        <v>83962310525</v>
      </c>
      <c r="J487" s="14">
        <v>13709</v>
      </c>
      <c r="K487" s="14">
        <v>13709</v>
      </c>
      <c r="L487" s="10" t="s">
        <v>105</v>
      </c>
      <c r="M487" s="14">
        <v>0</v>
      </c>
      <c r="N487" s="15">
        <v>0</v>
      </c>
      <c r="O487" t="str">
        <f>IFERROR(VLOOKUP($I487,CHOOSE({1,2},'[1]DIRETORES NTE'!$H$5:$H$31,'[1]DIRETORES NTE'!$E$5:$E$31,),2,0),"-")</f>
        <v>-</v>
      </c>
    </row>
    <row r="488" spans="1:15" x14ac:dyDescent="0.25">
      <c r="A488" s="10">
        <v>486</v>
      </c>
      <c r="B488" s="11">
        <v>24</v>
      </c>
      <c r="C488" s="11" t="s">
        <v>1199</v>
      </c>
      <c r="D488" s="11">
        <v>1178070</v>
      </c>
      <c r="E488" s="11">
        <v>29424526</v>
      </c>
      <c r="F488" s="12" t="s">
        <v>1721</v>
      </c>
      <c r="G488" s="11" t="s">
        <v>1801</v>
      </c>
      <c r="H488" t="s">
        <v>1802</v>
      </c>
      <c r="I488" s="13" t="s">
        <v>1803</v>
      </c>
      <c r="J488" s="14">
        <v>5185</v>
      </c>
      <c r="K488" s="14">
        <v>5185</v>
      </c>
      <c r="L488" s="10" t="s">
        <v>266</v>
      </c>
      <c r="M488" s="14">
        <v>0</v>
      </c>
      <c r="N488" s="15">
        <v>0</v>
      </c>
      <c r="O488" t="str">
        <f>IFERROR(VLOOKUP($I488,CHOOSE({1,2},'[1]DIRETORES NTE'!$H$5:$H$31,'[1]DIRETORES NTE'!$E$5:$E$31,),2,0),"-")</f>
        <v>-</v>
      </c>
    </row>
    <row r="489" spans="1:15" x14ac:dyDescent="0.25">
      <c r="A489" s="10">
        <v>487</v>
      </c>
      <c r="B489" s="11">
        <v>10</v>
      </c>
      <c r="C489" s="11" t="s">
        <v>1322</v>
      </c>
      <c r="D489" s="11">
        <v>1161638</v>
      </c>
      <c r="E489" s="11">
        <v>29023688</v>
      </c>
      <c r="F489" s="12" t="s">
        <v>1804</v>
      </c>
      <c r="G489" s="11" t="s">
        <v>1805</v>
      </c>
      <c r="H489" t="s">
        <v>1806</v>
      </c>
      <c r="I489" s="13" t="s">
        <v>1807</v>
      </c>
      <c r="J489" s="14">
        <v>17116</v>
      </c>
      <c r="K489" s="14">
        <v>17116</v>
      </c>
      <c r="L489" s="10" t="s">
        <v>21</v>
      </c>
      <c r="M489" s="14">
        <v>0</v>
      </c>
      <c r="N489" s="15">
        <v>0</v>
      </c>
      <c r="O489" t="str">
        <f>IFERROR(VLOOKUP($I489,CHOOSE({1,2},'[1]DIRETORES NTE'!$H$5:$H$31,'[1]DIRETORES NTE'!$E$5:$E$31,),2,0),"-")</f>
        <v>-</v>
      </c>
    </row>
    <row r="490" spans="1:15" x14ac:dyDescent="0.25">
      <c r="A490" s="10">
        <v>488</v>
      </c>
      <c r="B490" s="11">
        <v>17</v>
      </c>
      <c r="C490" s="11" t="s">
        <v>1808</v>
      </c>
      <c r="D490" s="11">
        <v>1138539</v>
      </c>
      <c r="E490" s="11">
        <v>29113881</v>
      </c>
      <c r="F490" s="12" t="s">
        <v>1809</v>
      </c>
      <c r="G490" s="11" t="s">
        <v>1810</v>
      </c>
      <c r="H490" t="s">
        <v>1811</v>
      </c>
      <c r="I490" s="13">
        <v>82448370559</v>
      </c>
      <c r="J490" s="14">
        <v>9752</v>
      </c>
      <c r="K490" s="14">
        <v>9752</v>
      </c>
      <c r="L490" s="10" t="s">
        <v>455</v>
      </c>
      <c r="M490" s="14">
        <v>0</v>
      </c>
      <c r="N490" s="15">
        <v>0</v>
      </c>
      <c r="O490" t="str">
        <f>IFERROR(VLOOKUP($I490,CHOOSE({1,2},'[1]DIRETORES NTE'!$H$5:$H$31,'[1]DIRETORES NTE'!$E$5:$E$31,),2,0),"-")</f>
        <v>-</v>
      </c>
    </row>
    <row r="491" spans="1:15" x14ac:dyDescent="0.25">
      <c r="A491" s="10">
        <v>489</v>
      </c>
      <c r="B491" s="11">
        <v>24</v>
      </c>
      <c r="C491" s="11" t="s">
        <v>1099</v>
      </c>
      <c r="D491" s="11">
        <v>1138504</v>
      </c>
      <c r="E491" s="11">
        <v>29034205</v>
      </c>
      <c r="F491" s="12" t="s">
        <v>1812</v>
      </c>
      <c r="G491" s="11" t="s">
        <v>1813</v>
      </c>
      <c r="H491" t="s">
        <v>1814</v>
      </c>
      <c r="I491" s="13" t="s">
        <v>1815</v>
      </c>
      <c r="J491" s="14">
        <v>8314</v>
      </c>
      <c r="K491" s="14">
        <v>8314</v>
      </c>
      <c r="L491" s="10" t="s">
        <v>266</v>
      </c>
      <c r="M491" s="14">
        <v>0</v>
      </c>
      <c r="N491" s="15">
        <v>0</v>
      </c>
      <c r="O491" t="str">
        <f>IFERROR(VLOOKUP($I491,CHOOSE({1,2},'[1]DIRETORES NTE'!$H$5:$H$31,'[1]DIRETORES NTE'!$E$5:$E$31,),2,0),"-")</f>
        <v>-</v>
      </c>
    </row>
    <row r="492" spans="1:15" x14ac:dyDescent="0.25">
      <c r="A492" s="10">
        <v>490</v>
      </c>
      <c r="B492" s="11">
        <v>19</v>
      </c>
      <c r="C492" s="11" t="s">
        <v>331</v>
      </c>
      <c r="D492" s="11">
        <v>1106084</v>
      </c>
      <c r="E492" s="11">
        <v>29095190</v>
      </c>
      <c r="F492" s="12" t="s">
        <v>1816</v>
      </c>
      <c r="G492" s="11" t="s">
        <v>1817</v>
      </c>
      <c r="H492" t="s">
        <v>1818</v>
      </c>
      <c r="I492" s="13">
        <v>61995649520</v>
      </c>
      <c r="J492" s="14">
        <v>8436</v>
      </c>
      <c r="K492" s="14">
        <v>8436</v>
      </c>
      <c r="L492" s="10" t="s">
        <v>336</v>
      </c>
      <c r="M492" s="14">
        <v>0</v>
      </c>
      <c r="N492" s="15">
        <v>0</v>
      </c>
      <c r="O492" t="str">
        <f>IFERROR(VLOOKUP($I492,CHOOSE({1,2},'[1]DIRETORES NTE'!$H$5:$H$31,'[1]DIRETORES NTE'!$E$5:$E$31,),2,0),"-")</f>
        <v>-</v>
      </c>
    </row>
    <row r="493" spans="1:15" x14ac:dyDescent="0.25">
      <c r="A493" s="10">
        <v>491</v>
      </c>
      <c r="B493" s="11">
        <v>18</v>
      </c>
      <c r="C493" s="11" t="s">
        <v>64</v>
      </c>
      <c r="D493" s="11">
        <v>1178077</v>
      </c>
      <c r="E493" s="11">
        <v>29431530</v>
      </c>
      <c r="F493" s="12" t="s">
        <v>1306</v>
      </c>
      <c r="G493" s="11" t="s">
        <v>1819</v>
      </c>
      <c r="H493" t="s">
        <v>1820</v>
      </c>
      <c r="I493" s="13">
        <v>53868692568</v>
      </c>
      <c r="J493" s="14">
        <v>7467</v>
      </c>
      <c r="K493" s="14">
        <v>7467</v>
      </c>
      <c r="L493" s="10" t="s">
        <v>68</v>
      </c>
      <c r="M493" s="14">
        <v>0</v>
      </c>
      <c r="N493" s="15">
        <v>0</v>
      </c>
      <c r="O493" t="str">
        <f>IFERROR(VLOOKUP($I493,CHOOSE({1,2},'[1]DIRETORES NTE'!$H$5:$H$31,'[1]DIRETORES NTE'!$E$5:$E$31,),2,0),"-")</f>
        <v>-</v>
      </c>
    </row>
    <row r="494" spans="1:15" x14ac:dyDescent="0.25">
      <c r="A494" s="10">
        <v>492</v>
      </c>
      <c r="B494" s="11">
        <v>13</v>
      </c>
      <c r="C494" s="11" t="s">
        <v>1821</v>
      </c>
      <c r="D494" s="11">
        <v>1124163</v>
      </c>
      <c r="E494" s="11">
        <v>29214866</v>
      </c>
      <c r="F494" s="12" t="s">
        <v>1822</v>
      </c>
      <c r="G494" s="11" t="s">
        <v>1823</v>
      </c>
      <c r="H494" t="s">
        <v>1824</v>
      </c>
      <c r="I494" s="13">
        <v>46215964549</v>
      </c>
      <c r="J494" s="14">
        <v>3389</v>
      </c>
      <c r="K494" s="14">
        <v>3389</v>
      </c>
      <c r="L494" s="10" t="s">
        <v>33</v>
      </c>
      <c r="M494" s="14">
        <v>0</v>
      </c>
      <c r="N494" s="15">
        <v>0</v>
      </c>
      <c r="O494" t="str">
        <f>IFERROR(VLOOKUP($I494,CHOOSE({1,2},'[1]DIRETORES NTE'!$H$5:$H$31,'[1]DIRETORES NTE'!$E$5:$E$31,),2,0),"-")</f>
        <v>-</v>
      </c>
    </row>
    <row r="495" spans="1:15" x14ac:dyDescent="0.25">
      <c r="A495" s="10">
        <v>493</v>
      </c>
      <c r="B495" s="11">
        <v>6</v>
      </c>
      <c r="C495" s="11" t="s">
        <v>1825</v>
      </c>
      <c r="D495" s="11">
        <v>1117396</v>
      </c>
      <c r="E495" s="11">
        <v>29290678</v>
      </c>
      <c r="F495" s="12" t="s">
        <v>1826</v>
      </c>
      <c r="G495" s="11" t="s">
        <v>1827</v>
      </c>
      <c r="H495" t="s">
        <v>1828</v>
      </c>
      <c r="I495" s="13" t="s">
        <v>1829</v>
      </c>
      <c r="J495" s="14">
        <v>12025</v>
      </c>
      <c r="K495" s="14">
        <v>12025</v>
      </c>
      <c r="L495" s="10" t="s">
        <v>49</v>
      </c>
      <c r="M495" s="14">
        <v>0</v>
      </c>
      <c r="N495" s="15">
        <v>0</v>
      </c>
      <c r="O495" t="str">
        <f>IFERROR(VLOOKUP($I495,CHOOSE({1,2},'[1]DIRETORES NTE'!$H$5:$H$31,'[1]DIRETORES NTE'!$E$5:$E$31,),2,0),"-")</f>
        <v>-</v>
      </c>
    </row>
    <row r="496" spans="1:15" x14ac:dyDescent="0.25">
      <c r="A496" s="10">
        <v>494</v>
      </c>
      <c r="B496" s="11">
        <v>9</v>
      </c>
      <c r="C496" s="11" t="s">
        <v>438</v>
      </c>
      <c r="D496" s="11">
        <v>1179787</v>
      </c>
      <c r="E496" s="11">
        <v>44174</v>
      </c>
      <c r="F496" s="12" t="s">
        <v>1830</v>
      </c>
      <c r="G496" s="11" t="s">
        <v>1831</v>
      </c>
      <c r="H496" t="s">
        <v>1832</v>
      </c>
      <c r="I496" s="13">
        <v>39429296515</v>
      </c>
      <c r="J496" s="14">
        <v>14</v>
      </c>
      <c r="K496" s="14">
        <v>14</v>
      </c>
      <c r="L496" s="10" t="s">
        <v>167</v>
      </c>
      <c r="M496" s="14">
        <v>0</v>
      </c>
      <c r="N496" s="15">
        <v>0</v>
      </c>
      <c r="O496" t="str">
        <f>IFERROR(VLOOKUP($I496,CHOOSE({1,2},'[1]DIRETORES NTE'!$H$5:$H$31,'[1]DIRETORES NTE'!$E$5:$E$31,),2,0),"-")</f>
        <v>-</v>
      </c>
    </row>
    <row r="497" spans="1:15" x14ac:dyDescent="0.25">
      <c r="A497" s="10">
        <v>495</v>
      </c>
      <c r="B497" s="11">
        <v>21</v>
      </c>
      <c r="C497" s="11" t="s">
        <v>205</v>
      </c>
      <c r="D497" s="11">
        <v>1109652</v>
      </c>
      <c r="E497" s="11">
        <v>29171601</v>
      </c>
      <c r="F497" s="12" t="s">
        <v>1275</v>
      </c>
      <c r="G497" s="11" t="s">
        <v>1833</v>
      </c>
      <c r="H497" t="s">
        <v>1834</v>
      </c>
      <c r="I497" s="13">
        <v>75645777549</v>
      </c>
      <c r="J497" s="14">
        <v>16393</v>
      </c>
      <c r="K497" s="14">
        <v>16393</v>
      </c>
      <c r="L497" s="10" t="s">
        <v>63</v>
      </c>
      <c r="M497" s="14">
        <v>0</v>
      </c>
      <c r="N497" s="15">
        <v>0</v>
      </c>
      <c r="O497" t="str">
        <f>IFERROR(VLOOKUP($I497,CHOOSE({1,2},'[1]DIRETORES NTE'!$H$5:$H$31,'[1]DIRETORES NTE'!$E$5:$E$31,),2,0),"-")</f>
        <v>-</v>
      </c>
    </row>
    <row r="498" spans="1:15" x14ac:dyDescent="0.25">
      <c r="A498" s="10">
        <v>496</v>
      </c>
      <c r="B498" s="11">
        <v>3</v>
      </c>
      <c r="C498" s="11" t="s">
        <v>1835</v>
      </c>
      <c r="D498" s="11">
        <v>1133090</v>
      </c>
      <c r="E498" s="11">
        <v>29207770</v>
      </c>
      <c r="F498" s="12" t="s">
        <v>1836</v>
      </c>
      <c r="G498" s="11" t="s">
        <v>1837</v>
      </c>
      <c r="H498" t="s">
        <v>1838</v>
      </c>
      <c r="I498" s="13">
        <v>59347538515</v>
      </c>
      <c r="J498" s="14">
        <v>9956</v>
      </c>
      <c r="K498" s="14">
        <v>1</v>
      </c>
      <c r="L498" s="10" t="s">
        <v>117</v>
      </c>
      <c r="M498" s="14">
        <v>9955</v>
      </c>
      <c r="N498" s="15">
        <v>0.99989955805544395</v>
      </c>
      <c r="O498" t="str">
        <f>IFERROR(VLOOKUP($I498,CHOOSE({1,2},'[1]DIRETORES NTE'!$H$5:$H$31,'[1]DIRETORES NTE'!$E$5:$E$31,),2,0),"-")</f>
        <v>-</v>
      </c>
    </row>
    <row r="499" spans="1:15" x14ac:dyDescent="0.25">
      <c r="A499" s="10">
        <v>497</v>
      </c>
      <c r="B499" s="11">
        <v>1</v>
      </c>
      <c r="C499" s="11" t="s">
        <v>1839</v>
      </c>
      <c r="D499" s="11">
        <v>1126590</v>
      </c>
      <c r="E499" s="11">
        <v>29064120</v>
      </c>
      <c r="F499" s="12" t="s">
        <v>1840</v>
      </c>
      <c r="G499" s="11" t="s">
        <v>1841</v>
      </c>
      <c r="H499" t="s">
        <v>1842</v>
      </c>
      <c r="I499" s="13" t="s">
        <v>1843</v>
      </c>
      <c r="J499" s="14">
        <v>20566</v>
      </c>
      <c r="K499" s="14">
        <v>20566</v>
      </c>
      <c r="L499" s="10" t="s">
        <v>356</v>
      </c>
      <c r="M499" s="14">
        <v>0</v>
      </c>
      <c r="N499" s="15">
        <v>0</v>
      </c>
      <c r="O499" t="str">
        <f>IFERROR(VLOOKUP($I499,CHOOSE({1,2},'[1]DIRETORES NTE'!$H$5:$H$31,'[1]DIRETORES NTE'!$E$5:$E$31,),2,0),"-")</f>
        <v>-</v>
      </c>
    </row>
    <row r="500" spans="1:15" x14ac:dyDescent="0.25">
      <c r="A500" s="10">
        <v>498</v>
      </c>
      <c r="B500" s="11">
        <v>9</v>
      </c>
      <c r="C500" s="11" t="s">
        <v>1844</v>
      </c>
      <c r="D500" s="11">
        <v>1177069</v>
      </c>
      <c r="E500" s="11">
        <v>29410452</v>
      </c>
      <c r="F500" s="12" t="s">
        <v>1845</v>
      </c>
      <c r="G500" s="11" t="s">
        <v>1846</v>
      </c>
      <c r="H500" t="s">
        <v>1847</v>
      </c>
      <c r="I500" s="13" t="s">
        <v>1848</v>
      </c>
      <c r="J500" s="14">
        <v>14803</v>
      </c>
      <c r="K500" s="14">
        <v>14803</v>
      </c>
      <c r="L500" s="10" t="s">
        <v>167</v>
      </c>
      <c r="M500" s="14">
        <v>0</v>
      </c>
      <c r="N500" s="15">
        <v>0</v>
      </c>
      <c r="O500" t="str">
        <f>IFERROR(VLOOKUP($I500,CHOOSE({1,2},'[1]DIRETORES NTE'!$H$5:$H$31,'[1]DIRETORES NTE'!$E$5:$E$31,),2,0),"-")</f>
        <v>-</v>
      </c>
    </row>
    <row r="501" spans="1:15" x14ac:dyDescent="0.25">
      <c r="A501" s="10">
        <v>499</v>
      </c>
      <c r="B501" s="11">
        <v>26</v>
      </c>
      <c r="C501" s="11" t="s">
        <v>1849</v>
      </c>
      <c r="D501" s="11">
        <v>1176408</v>
      </c>
      <c r="E501" s="11">
        <v>29383528</v>
      </c>
      <c r="F501" s="12" t="s">
        <v>1850</v>
      </c>
      <c r="G501" s="11" t="s">
        <v>1851</v>
      </c>
      <c r="H501" t="s">
        <v>1852</v>
      </c>
      <c r="I501" s="13">
        <v>78749786504</v>
      </c>
      <c r="J501" s="14">
        <v>15041</v>
      </c>
      <c r="K501" s="14">
        <v>0</v>
      </c>
      <c r="L501" s="10" t="s">
        <v>99</v>
      </c>
      <c r="M501" s="14">
        <v>15041</v>
      </c>
      <c r="N501" s="15">
        <v>1</v>
      </c>
      <c r="O501" t="str">
        <f>IFERROR(VLOOKUP($I501,CHOOSE({1,2},'[1]DIRETORES NTE'!$H$5:$H$31,'[1]DIRETORES NTE'!$E$5:$E$31,),2,0),"-")</f>
        <v>-</v>
      </c>
    </row>
    <row r="502" spans="1:15" x14ac:dyDescent="0.25">
      <c r="A502" s="10">
        <v>500</v>
      </c>
      <c r="B502" s="11">
        <v>5</v>
      </c>
      <c r="C502" s="11" t="s">
        <v>298</v>
      </c>
      <c r="D502" s="11">
        <v>1179678</v>
      </c>
      <c r="E502" s="11">
        <v>29477492</v>
      </c>
      <c r="F502" s="12" t="s">
        <v>1853</v>
      </c>
      <c r="G502" s="11" t="s">
        <v>1854</v>
      </c>
      <c r="H502" t="s">
        <v>1855</v>
      </c>
      <c r="I502" s="13">
        <v>94362076549</v>
      </c>
      <c r="J502" s="14">
        <v>8074</v>
      </c>
      <c r="K502" s="14">
        <v>0.67</v>
      </c>
      <c r="L502" s="10" t="s">
        <v>44</v>
      </c>
      <c r="M502" s="14">
        <v>8073.33</v>
      </c>
      <c r="N502" s="15">
        <v>0.99991701758731732</v>
      </c>
      <c r="O502" t="str">
        <f>IFERROR(VLOOKUP($I502,CHOOSE({1,2},'[1]DIRETORES NTE'!$H$5:$H$31,'[1]DIRETORES NTE'!$E$5:$E$31,),2,0),"-")</f>
        <v>-</v>
      </c>
    </row>
    <row r="503" spans="1:15" x14ac:dyDescent="0.25">
      <c r="A503" s="10">
        <v>501</v>
      </c>
      <c r="B503" s="11" t="s">
        <v>237</v>
      </c>
      <c r="C503" s="11" t="s">
        <v>237</v>
      </c>
      <c r="D503" s="11" t="s">
        <v>237</v>
      </c>
      <c r="E503" s="11" t="s">
        <v>237</v>
      </c>
      <c r="F503" s="12" t="s">
        <v>237</v>
      </c>
      <c r="G503" s="11" t="s">
        <v>237</v>
      </c>
      <c r="H503" t="s">
        <v>1856</v>
      </c>
      <c r="I503" s="13">
        <v>40890090572</v>
      </c>
      <c r="J503" s="14">
        <v>0</v>
      </c>
      <c r="K503" s="14">
        <v>0</v>
      </c>
      <c r="L503" s="10" t="s">
        <v>336</v>
      </c>
      <c r="M503" s="14">
        <v>0</v>
      </c>
      <c r="N503" s="15" t="e">
        <v>#DIV/0!</v>
      </c>
      <c r="O503" t="str">
        <f>IFERROR(VLOOKUP($I503,CHOOSE({1,2},'[1]DIRETORES NTE'!$H$5:$H$31,'[1]DIRETORES NTE'!$E$5:$E$31,),2,0),"-")</f>
        <v>-</v>
      </c>
    </row>
    <row r="504" spans="1:15" x14ac:dyDescent="0.25">
      <c r="A504" s="10">
        <v>502</v>
      </c>
      <c r="B504" s="11">
        <v>3</v>
      </c>
      <c r="C504" s="11" t="s">
        <v>1115</v>
      </c>
      <c r="D504" s="11">
        <v>1178439</v>
      </c>
      <c r="E504" s="11">
        <v>29399220</v>
      </c>
      <c r="F504" s="12" t="s">
        <v>1857</v>
      </c>
      <c r="G504" s="11" t="s">
        <v>1858</v>
      </c>
      <c r="H504" t="s">
        <v>1859</v>
      </c>
      <c r="I504" s="13" t="s">
        <v>1860</v>
      </c>
      <c r="J504" s="14">
        <v>3708</v>
      </c>
      <c r="K504" s="14">
        <v>3708</v>
      </c>
      <c r="L504" s="10" t="s">
        <v>117</v>
      </c>
      <c r="M504" s="14">
        <v>0</v>
      </c>
      <c r="N504" s="15">
        <v>0</v>
      </c>
      <c r="O504" t="str">
        <f>IFERROR(VLOOKUP($I504,CHOOSE({1,2},'[1]DIRETORES NTE'!$H$5:$H$31,'[1]DIRETORES NTE'!$E$5:$E$31,),2,0),"-")</f>
        <v>-</v>
      </c>
    </row>
    <row r="505" spans="1:15" x14ac:dyDescent="0.25">
      <c r="A505" s="10">
        <v>503</v>
      </c>
      <c r="B505" s="11">
        <v>25</v>
      </c>
      <c r="C505" s="11" t="s">
        <v>233</v>
      </c>
      <c r="D505" s="11">
        <v>1140452</v>
      </c>
      <c r="E505" s="11">
        <v>29055075</v>
      </c>
      <c r="F505" s="12" t="s">
        <v>1861</v>
      </c>
      <c r="G505" s="11" t="s">
        <v>1862</v>
      </c>
      <c r="H505" t="s">
        <v>1863</v>
      </c>
      <c r="I505" s="13" t="s">
        <v>1864</v>
      </c>
      <c r="J505" s="14">
        <v>6345</v>
      </c>
      <c r="K505" s="14">
        <v>6345</v>
      </c>
      <c r="L505" s="10" t="s">
        <v>80</v>
      </c>
      <c r="M505" s="14">
        <v>0</v>
      </c>
      <c r="N505" s="15">
        <v>0</v>
      </c>
      <c r="O505" t="str">
        <f>IFERROR(VLOOKUP($I505,CHOOSE({1,2},'[1]DIRETORES NTE'!$H$5:$H$31,'[1]DIRETORES NTE'!$E$5:$E$31,),2,0),"-")</f>
        <v>-</v>
      </c>
    </row>
    <row r="506" spans="1:15" x14ac:dyDescent="0.25">
      <c r="A506" s="10">
        <v>504</v>
      </c>
      <c r="B506" s="11">
        <v>26</v>
      </c>
      <c r="C506" s="11" t="s">
        <v>95</v>
      </c>
      <c r="D506" s="11">
        <v>1103662</v>
      </c>
      <c r="E506" s="11">
        <v>29182239</v>
      </c>
      <c r="F506" s="12" t="s">
        <v>439</v>
      </c>
      <c r="G506" s="11" t="s">
        <v>1865</v>
      </c>
      <c r="H506" t="s">
        <v>1866</v>
      </c>
      <c r="I506" s="13">
        <v>13529919500</v>
      </c>
      <c r="J506" s="14">
        <v>14342</v>
      </c>
      <c r="K506" s="14">
        <v>14342</v>
      </c>
      <c r="L506" s="10" t="s">
        <v>99</v>
      </c>
      <c r="M506" s="14">
        <v>0</v>
      </c>
      <c r="N506" s="15">
        <v>0</v>
      </c>
      <c r="O506" t="str">
        <f>IFERROR(VLOOKUP($I506,CHOOSE({1,2},'[1]DIRETORES NTE'!$H$5:$H$31,'[1]DIRETORES NTE'!$E$5:$E$31,),2,0),"-")</f>
        <v>-</v>
      </c>
    </row>
    <row r="507" spans="1:15" x14ac:dyDescent="0.25">
      <c r="A507" s="10">
        <v>505</v>
      </c>
      <c r="B507" s="11">
        <v>19</v>
      </c>
      <c r="C507" s="11" t="s">
        <v>331</v>
      </c>
      <c r="D507" s="11">
        <v>1106467</v>
      </c>
      <c r="E507" s="11">
        <v>29093546</v>
      </c>
      <c r="F507" s="12" t="s">
        <v>1867</v>
      </c>
      <c r="G507" s="11" t="s">
        <v>1868</v>
      </c>
      <c r="H507" t="s">
        <v>1869</v>
      </c>
      <c r="I507" s="13">
        <v>64835138520</v>
      </c>
      <c r="J507" s="14">
        <v>28513</v>
      </c>
      <c r="K507" s="14">
        <v>4321.01</v>
      </c>
      <c r="L507" s="10" t="s">
        <v>336</v>
      </c>
      <c r="M507" s="14">
        <v>24191.989999999998</v>
      </c>
      <c r="N507" s="15">
        <v>0.84845473994318377</v>
      </c>
      <c r="O507" t="str">
        <f>IFERROR(VLOOKUP($I507,CHOOSE({1,2},'[1]DIRETORES NTE'!$H$5:$H$31,'[1]DIRETORES NTE'!$E$5:$E$31,),2,0),"-")</f>
        <v>-</v>
      </c>
    </row>
    <row r="508" spans="1:15" x14ac:dyDescent="0.25">
      <c r="A508" s="10">
        <v>506</v>
      </c>
      <c r="B508" s="11">
        <v>5</v>
      </c>
      <c r="C508" s="11" t="s">
        <v>209</v>
      </c>
      <c r="D508" s="11">
        <v>1176081</v>
      </c>
      <c r="E508" s="11">
        <v>29305390</v>
      </c>
      <c r="F508" s="12" t="s">
        <v>1870</v>
      </c>
      <c r="G508" s="11" t="s">
        <v>1871</v>
      </c>
      <c r="H508" t="s">
        <v>1872</v>
      </c>
      <c r="I508" s="13">
        <v>58365400553</v>
      </c>
      <c r="J508" s="14">
        <v>29956</v>
      </c>
      <c r="K508" s="14">
        <v>29956</v>
      </c>
      <c r="L508" s="10" t="s">
        <v>44</v>
      </c>
      <c r="M508" s="14">
        <v>0</v>
      </c>
      <c r="N508" s="15">
        <v>0</v>
      </c>
      <c r="O508" t="str">
        <f>IFERROR(VLOOKUP($I508,CHOOSE({1,2},'[1]DIRETORES NTE'!$H$5:$H$31,'[1]DIRETORES NTE'!$E$5:$E$31,),2,0),"-")</f>
        <v>-</v>
      </c>
    </row>
    <row r="509" spans="1:15" x14ac:dyDescent="0.25">
      <c r="A509" s="10">
        <v>507</v>
      </c>
      <c r="B509" s="11">
        <v>5</v>
      </c>
      <c r="C509" s="11" t="s">
        <v>40</v>
      </c>
      <c r="D509" s="11">
        <v>1111339</v>
      </c>
      <c r="E509" s="11">
        <v>29301394</v>
      </c>
      <c r="F509" s="12" t="s">
        <v>1873</v>
      </c>
      <c r="G509" s="11" t="s">
        <v>1874</v>
      </c>
      <c r="H509" t="s">
        <v>1875</v>
      </c>
      <c r="I509" s="13">
        <v>38929325572</v>
      </c>
      <c r="J509" s="14">
        <v>10158</v>
      </c>
      <c r="K509" s="14">
        <v>10158</v>
      </c>
      <c r="L509" s="10" t="s">
        <v>44</v>
      </c>
      <c r="M509" s="14">
        <v>0</v>
      </c>
      <c r="N509" s="15">
        <v>0</v>
      </c>
      <c r="O509" t="str">
        <f>IFERROR(VLOOKUP($I509,CHOOSE({1,2},'[1]DIRETORES NTE'!$H$5:$H$31,'[1]DIRETORES NTE'!$E$5:$E$31,),2,0),"-")</f>
        <v>-</v>
      </c>
    </row>
    <row r="510" spans="1:15" x14ac:dyDescent="0.25">
      <c r="A510" s="10">
        <v>508</v>
      </c>
      <c r="B510" s="11">
        <v>18</v>
      </c>
      <c r="C510" s="11" t="s">
        <v>797</v>
      </c>
      <c r="D510" s="11">
        <v>1107730</v>
      </c>
      <c r="E510" s="11">
        <v>29151651</v>
      </c>
      <c r="F510" s="12" t="s">
        <v>1876</v>
      </c>
      <c r="G510" s="11" t="s">
        <v>1877</v>
      </c>
      <c r="H510" t="s">
        <v>1878</v>
      </c>
      <c r="I510" s="13">
        <v>44462549520</v>
      </c>
      <c r="J510" s="14">
        <v>9946</v>
      </c>
      <c r="K510" s="14">
        <v>9946</v>
      </c>
      <c r="L510" s="10" t="s">
        <v>68</v>
      </c>
      <c r="M510" s="14">
        <v>0</v>
      </c>
      <c r="N510" s="15">
        <v>0</v>
      </c>
      <c r="O510" t="str">
        <f>IFERROR(VLOOKUP($I510,CHOOSE({1,2},'[1]DIRETORES NTE'!$H$5:$H$31,'[1]DIRETORES NTE'!$E$5:$E$31,),2,0),"-")</f>
        <v>-</v>
      </c>
    </row>
    <row r="511" spans="1:15" x14ac:dyDescent="0.25">
      <c r="A511" s="10">
        <v>509</v>
      </c>
      <c r="B511" s="11">
        <v>10</v>
      </c>
      <c r="C511" s="11" t="s">
        <v>16</v>
      </c>
      <c r="D511" s="11">
        <v>1120338</v>
      </c>
      <c r="E511" s="11">
        <v>29024765</v>
      </c>
      <c r="F511" s="12" t="s">
        <v>1879</v>
      </c>
      <c r="G511" s="11" t="s">
        <v>1880</v>
      </c>
      <c r="H511" t="s">
        <v>1881</v>
      </c>
      <c r="I511" s="13">
        <v>28532593828</v>
      </c>
      <c r="J511" s="14">
        <v>9976</v>
      </c>
      <c r="K511" s="14">
        <v>9976</v>
      </c>
      <c r="L511" s="10" t="s">
        <v>21</v>
      </c>
      <c r="M511" s="14">
        <v>0</v>
      </c>
      <c r="N511" s="15">
        <v>0</v>
      </c>
      <c r="O511" t="str">
        <f>IFERROR(VLOOKUP($I511,CHOOSE({1,2},'[1]DIRETORES NTE'!$H$5:$H$31,'[1]DIRETORES NTE'!$E$5:$E$31,),2,0),"-")</f>
        <v>-</v>
      </c>
    </row>
    <row r="512" spans="1:15" x14ac:dyDescent="0.25">
      <c r="A512" s="10">
        <v>510</v>
      </c>
      <c r="B512" s="11">
        <v>26</v>
      </c>
      <c r="C512" s="11" t="s">
        <v>95</v>
      </c>
      <c r="D512" s="11">
        <v>1136498</v>
      </c>
      <c r="E512" s="11">
        <v>29190967</v>
      </c>
      <c r="F512" s="12" t="s">
        <v>1882</v>
      </c>
      <c r="G512" s="11" t="s">
        <v>1883</v>
      </c>
      <c r="H512" t="s">
        <v>1884</v>
      </c>
      <c r="I512" s="13">
        <v>29294282520</v>
      </c>
      <c r="J512" s="14">
        <v>12800</v>
      </c>
      <c r="K512" s="14">
        <v>12800</v>
      </c>
      <c r="L512" s="10" t="s">
        <v>99</v>
      </c>
      <c r="M512" s="14">
        <v>0</v>
      </c>
      <c r="N512" s="15">
        <v>0</v>
      </c>
      <c r="O512" t="str">
        <f>IFERROR(VLOOKUP($I512,CHOOSE({1,2},'[1]DIRETORES NTE'!$H$5:$H$31,'[1]DIRETORES NTE'!$E$5:$E$31,),2,0),"-")</f>
        <v>-</v>
      </c>
    </row>
    <row r="513" spans="1:15" x14ac:dyDescent="0.25">
      <c r="A513" s="10">
        <v>511</v>
      </c>
      <c r="B513" s="11">
        <v>17</v>
      </c>
      <c r="C513" s="11" t="s">
        <v>1885</v>
      </c>
      <c r="D513" s="11">
        <v>1114303</v>
      </c>
      <c r="E513" s="11">
        <v>29114500</v>
      </c>
      <c r="F513" s="12" t="s">
        <v>1886</v>
      </c>
      <c r="G513" s="11" t="s">
        <v>1887</v>
      </c>
      <c r="H513" t="s">
        <v>1888</v>
      </c>
      <c r="I513" s="13">
        <v>43385770530</v>
      </c>
      <c r="J513" s="14">
        <v>9094</v>
      </c>
      <c r="K513" s="14">
        <v>9094</v>
      </c>
      <c r="L513" s="10" t="s">
        <v>455</v>
      </c>
      <c r="M513" s="14">
        <v>0</v>
      </c>
      <c r="N513" s="15">
        <v>0</v>
      </c>
      <c r="O513" t="str">
        <f>IFERROR(VLOOKUP($I513,CHOOSE({1,2},'[1]DIRETORES NTE'!$H$5:$H$31,'[1]DIRETORES NTE'!$E$5:$E$31,),2,0),"-")</f>
        <v>-</v>
      </c>
    </row>
    <row r="514" spans="1:15" x14ac:dyDescent="0.25">
      <c r="A514" s="10">
        <v>512</v>
      </c>
      <c r="B514" s="11">
        <v>3</v>
      </c>
      <c r="C514" s="11" t="s">
        <v>1889</v>
      </c>
      <c r="D514" s="11">
        <v>1133278</v>
      </c>
      <c r="E514" s="11">
        <v>29063299</v>
      </c>
      <c r="F514" s="12" t="s">
        <v>1890</v>
      </c>
      <c r="G514" s="11" t="s">
        <v>1891</v>
      </c>
      <c r="H514" t="s">
        <v>1892</v>
      </c>
      <c r="I514" s="13">
        <v>35628162515</v>
      </c>
      <c r="J514" s="14">
        <v>29948</v>
      </c>
      <c r="K514" s="14">
        <v>29948</v>
      </c>
      <c r="L514" s="10" t="s">
        <v>117</v>
      </c>
      <c r="M514" s="14">
        <v>0</v>
      </c>
      <c r="N514" s="15">
        <v>0</v>
      </c>
      <c r="O514" t="str">
        <f>IFERROR(VLOOKUP($I514,CHOOSE({1,2},'[1]DIRETORES NTE'!$H$5:$H$31,'[1]DIRETORES NTE'!$E$5:$E$31,),2,0),"-")</f>
        <v>-</v>
      </c>
    </row>
    <row r="515" spans="1:15" x14ac:dyDescent="0.25">
      <c r="A515" s="10">
        <v>513</v>
      </c>
      <c r="B515" s="11">
        <v>17</v>
      </c>
      <c r="C515" s="11" t="s">
        <v>1893</v>
      </c>
      <c r="D515" s="11">
        <v>1115091</v>
      </c>
      <c r="E515" s="11">
        <v>29132045</v>
      </c>
      <c r="F515" s="12" t="s">
        <v>1894</v>
      </c>
      <c r="G515" s="11" t="s">
        <v>1895</v>
      </c>
      <c r="H515" t="s">
        <v>1896</v>
      </c>
      <c r="I515" s="13">
        <v>66509785587</v>
      </c>
      <c r="J515" s="14">
        <v>15213</v>
      </c>
      <c r="K515" s="14">
        <v>15213</v>
      </c>
      <c r="L515" s="10" t="s">
        <v>455</v>
      </c>
      <c r="M515" s="14">
        <v>0</v>
      </c>
      <c r="N515" s="15">
        <v>0</v>
      </c>
      <c r="O515" t="str">
        <f>IFERROR(VLOOKUP($I515,CHOOSE({1,2},'[1]DIRETORES NTE'!$H$5:$H$31,'[1]DIRETORES NTE'!$E$5:$E$31,),2,0),"-")</f>
        <v>-</v>
      </c>
    </row>
    <row r="516" spans="1:15" x14ac:dyDescent="0.25">
      <c r="A516" s="10">
        <v>514</v>
      </c>
      <c r="B516" s="11">
        <v>22</v>
      </c>
      <c r="C516" s="11" t="s">
        <v>1403</v>
      </c>
      <c r="D516" s="11">
        <v>1117035</v>
      </c>
      <c r="E516" s="11">
        <v>29303354</v>
      </c>
      <c r="F516" s="12" t="s">
        <v>1897</v>
      </c>
      <c r="G516" s="11" t="s">
        <v>1898</v>
      </c>
      <c r="H516" t="s">
        <v>1899</v>
      </c>
      <c r="I516" s="13">
        <v>57866171572</v>
      </c>
      <c r="J516" s="14">
        <v>8390</v>
      </c>
      <c r="K516" s="14">
        <v>8390</v>
      </c>
      <c r="L516" s="10" t="s">
        <v>200</v>
      </c>
      <c r="M516" s="14">
        <v>0</v>
      </c>
      <c r="N516" s="15">
        <v>0</v>
      </c>
      <c r="O516" t="str">
        <f>IFERROR(VLOOKUP($I516,CHOOSE({1,2},'[1]DIRETORES NTE'!$H$5:$H$31,'[1]DIRETORES NTE'!$E$5:$E$31,),2,0),"-")</f>
        <v>-</v>
      </c>
    </row>
    <row r="517" spans="1:15" x14ac:dyDescent="0.25">
      <c r="A517" s="10">
        <v>515</v>
      </c>
      <c r="B517" s="11">
        <v>5</v>
      </c>
      <c r="C517" s="11" t="s">
        <v>209</v>
      </c>
      <c r="D517" s="11">
        <v>1112009</v>
      </c>
      <c r="E517" s="11">
        <v>29306230</v>
      </c>
      <c r="F517" s="12" t="s">
        <v>1900</v>
      </c>
      <c r="G517" s="11" t="s">
        <v>1901</v>
      </c>
      <c r="H517" t="s">
        <v>1902</v>
      </c>
      <c r="I517" s="13">
        <v>51778050506</v>
      </c>
      <c r="J517" s="14">
        <v>7762</v>
      </c>
      <c r="K517" s="14">
        <v>7762</v>
      </c>
      <c r="L517" s="10" t="s">
        <v>44</v>
      </c>
      <c r="M517" s="14">
        <v>0</v>
      </c>
      <c r="N517" s="15">
        <v>0</v>
      </c>
      <c r="O517" t="str">
        <f>IFERROR(VLOOKUP($I517,CHOOSE({1,2},'[1]DIRETORES NTE'!$H$5:$H$31,'[1]DIRETORES NTE'!$E$5:$E$31,),2,0),"-")</f>
        <v>-</v>
      </c>
    </row>
    <row r="518" spans="1:15" x14ac:dyDescent="0.25">
      <c r="A518" s="10">
        <v>516</v>
      </c>
      <c r="B518" s="11">
        <v>22</v>
      </c>
      <c r="C518" s="11" t="s">
        <v>889</v>
      </c>
      <c r="D518" s="11">
        <v>1117868</v>
      </c>
      <c r="E518" s="11">
        <v>29227658</v>
      </c>
      <c r="F518" s="12" t="s">
        <v>1903</v>
      </c>
      <c r="G518" s="11" t="s">
        <v>1904</v>
      </c>
      <c r="H518" t="s">
        <v>1905</v>
      </c>
      <c r="I518" s="13">
        <v>94186804591</v>
      </c>
      <c r="J518" s="14">
        <v>10710</v>
      </c>
      <c r="K518" s="14">
        <v>10710</v>
      </c>
      <c r="L518" s="10" t="s">
        <v>200</v>
      </c>
      <c r="M518" s="14">
        <v>0</v>
      </c>
      <c r="N518" s="15">
        <v>0</v>
      </c>
      <c r="O518" t="str">
        <f>IFERROR(VLOOKUP($I518,CHOOSE({1,2},'[1]DIRETORES NTE'!$H$5:$H$31,'[1]DIRETORES NTE'!$E$5:$E$31,),2,0),"-")</f>
        <v>-</v>
      </c>
    </row>
    <row r="519" spans="1:15" x14ac:dyDescent="0.25">
      <c r="A519" s="10">
        <v>517</v>
      </c>
      <c r="B519" s="11">
        <v>22</v>
      </c>
      <c r="C519" s="11" t="s">
        <v>1906</v>
      </c>
      <c r="D519" s="11">
        <v>1178015</v>
      </c>
      <c r="E519" s="11">
        <v>29429005</v>
      </c>
      <c r="F519" s="12" t="s">
        <v>1907</v>
      </c>
      <c r="G519" s="11" t="s">
        <v>1908</v>
      </c>
      <c r="H519" t="s">
        <v>1909</v>
      </c>
      <c r="I519" s="13" t="s">
        <v>1910</v>
      </c>
      <c r="J519" s="14">
        <v>8412</v>
      </c>
      <c r="K519" s="14">
        <v>8412</v>
      </c>
      <c r="L519" s="10" t="s">
        <v>200</v>
      </c>
      <c r="M519" s="14">
        <v>0</v>
      </c>
      <c r="N519" s="15">
        <v>0</v>
      </c>
      <c r="O519" t="str">
        <f>IFERROR(VLOOKUP($I519,CHOOSE({1,2},'[1]DIRETORES NTE'!$H$5:$H$31,'[1]DIRETORES NTE'!$E$5:$E$31,),2,0),"-")</f>
        <v>-</v>
      </c>
    </row>
    <row r="520" spans="1:15" x14ac:dyDescent="0.25">
      <c r="A520" s="10">
        <v>518</v>
      </c>
      <c r="B520" s="11">
        <v>13</v>
      </c>
      <c r="C520" s="11" t="s">
        <v>1911</v>
      </c>
      <c r="D520" s="11">
        <v>1137346</v>
      </c>
      <c r="E520" s="11">
        <v>29254426</v>
      </c>
      <c r="F520" s="12" t="s">
        <v>1912</v>
      </c>
      <c r="G520" s="11" t="s">
        <v>1913</v>
      </c>
      <c r="H520" t="s">
        <v>1914</v>
      </c>
      <c r="I520" s="13">
        <v>87710315534</v>
      </c>
      <c r="J520" s="14">
        <v>15030</v>
      </c>
      <c r="K520" s="14">
        <v>15030</v>
      </c>
      <c r="L520" s="10" t="s">
        <v>33</v>
      </c>
      <c r="M520" s="14">
        <v>0</v>
      </c>
      <c r="N520" s="15">
        <v>0</v>
      </c>
      <c r="O520" t="str">
        <f>IFERROR(VLOOKUP($I520,CHOOSE({1,2},'[1]DIRETORES NTE'!$H$5:$H$31,'[1]DIRETORES NTE'!$E$5:$E$31,),2,0),"-")</f>
        <v>-</v>
      </c>
    </row>
    <row r="521" spans="1:15" x14ac:dyDescent="0.25">
      <c r="A521" s="10">
        <v>519</v>
      </c>
      <c r="B521" s="11">
        <v>9</v>
      </c>
      <c r="C521" s="11" t="s">
        <v>1915</v>
      </c>
      <c r="D521" s="11">
        <v>1179694</v>
      </c>
      <c r="E521" s="11">
        <v>29479169</v>
      </c>
      <c r="F521" s="12" t="s">
        <v>1916</v>
      </c>
      <c r="G521" s="11" t="s">
        <v>1917</v>
      </c>
      <c r="H521" t="s">
        <v>1918</v>
      </c>
      <c r="I521" s="13" t="s">
        <v>1919</v>
      </c>
      <c r="J521" s="14">
        <v>10120</v>
      </c>
      <c r="K521" s="14">
        <v>7826.5</v>
      </c>
      <c r="L521" s="10" t="s">
        <v>167</v>
      </c>
      <c r="M521" s="14">
        <v>2293.5</v>
      </c>
      <c r="N521" s="15">
        <v>0.22663043478260869</v>
      </c>
      <c r="O521" t="str">
        <f>IFERROR(VLOOKUP($I521,CHOOSE({1,2},'[1]DIRETORES NTE'!$H$5:$H$31,'[1]DIRETORES NTE'!$E$5:$E$31,),2,0),"-")</f>
        <v>-</v>
      </c>
    </row>
    <row r="522" spans="1:15" x14ac:dyDescent="0.25">
      <c r="A522" s="10">
        <v>520</v>
      </c>
      <c r="B522" s="11">
        <v>25</v>
      </c>
      <c r="C522" s="11" t="s">
        <v>385</v>
      </c>
      <c r="D522" s="11">
        <v>1121261</v>
      </c>
      <c r="E522" s="11">
        <v>29055393</v>
      </c>
      <c r="F522" s="12" t="s">
        <v>1920</v>
      </c>
      <c r="G522" s="11" t="s">
        <v>1921</v>
      </c>
      <c r="H522" t="s">
        <v>1922</v>
      </c>
      <c r="I522" s="13">
        <v>29213878591</v>
      </c>
      <c r="J522" s="14">
        <v>11497</v>
      </c>
      <c r="K522" s="14">
        <v>8177</v>
      </c>
      <c r="L522" s="10" t="s">
        <v>80</v>
      </c>
      <c r="M522" s="14">
        <v>3320</v>
      </c>
      <c r="N522" s="15">
        <v>0.28877098373488735</v>
      </c>
      <c r="O522" t="str">
        <f>IFERROR(VLOOKUP($I522,CHOOSE({1,2},'[1]DIRETORES NTE'!$H$5:$H$31,'[1]DIRETORES NTE'!$E$5:$E$31,),2,0),"-")</f>
        <v>-</v>
      </c>
    </row>
    <row r="523" spans="1:15" x14ac:dyDescent="0.25">
      <c r="A523" s="10">
        <v>521</v>
      </c>
      <c r="B523" s="11">
        <v>26</v>
      </c>
      <c r="C523" s="11" t="s">
        <v>1849</v>
      </c>
      <c r="D523" s="11">
        <v>1134851</v>
      </c>
      <c r="E523" s="11">
        <v>29200482</v>
      </c>
      <c r="F523" s="12" t="s">
        <v>1923</v>
      </c>
      <c r="G523" s="11" t="s">
        <v>1924</v>
      </c>
      <c r="H523" t="s">
        <v>1925</v>
      </c>
      <c r="I523" s="13">
        <v>43647880582</v>
      </c>
      <c r="J523" s="14">
        <v>21515</v>
      </c>
      <c r="K523" s="14">
        <v>0.2</v>
      </c>
      <c r="L523" s="10" t="s">
        <v>99</v>
      </c>
      <c r="M523" s="14">
        <v>21514.799999999999</v>
      </c>
      <c r="N523" s="15">
        <v>0.99999070415988844</v>
      </c>
      <c r="O523" t="str">
        <f>IFERROR(VLOOKUP($I523,CHOOSE({1,2},'[1]DIRETORES NTE'!$H$5:$H$31,'[1]DIRETORES NTE'!$E$5:$E$31,),2,0),"-")</f>
        <v>-</v>
      </c>
    </row>
    <row r="524" spans="1:15" x14ac:dyDescent="0.25">
      <c r="A524" s="10">
        <v>522</v>
      </c>
      <c r="B524" s="11">
        <v>10</v>
      </c>
      <c r="C524" s="11" t="s">
        <v>1926</v>
      </c>
      <c r="D524" s="11">
        <v>1144156</v>
      </c>
      <c r="E524" s="11">
        <v>29031630</v>
      </c>
      <c r="F524" s="12" t="s">
        <v>1927</v>
      </c>
      <c r="G524" s="11" t="s">
        <v>1928</v>
      </c>
      <c r="H524" t="s">
        <v>1929</v>
      </c>
      <c r="I524" s="13">
        <v>35520817553</v>
      </c>
      <c r="J524" s="14">
        <v>6857</v>
      </c>
      <c r="K524" s="14">
        <v>6857</v>
      </c>
      <c r="L524" s="10" t="s">
        <v>21</v>
      </c>
      <c r="M524" s="14">
        <v>0</v>
      </c>
      <c r="N524" s="15">
        <v>0</v>
      </c>
      <c r="O524" t="str">
        <f>IFERROR(VLOOKUP($I524,CHOOSE({1,2},'[1]DIRETORES NTE'!$H$5:$H$31,'[1]DIRETORES NTE'!$E$5:$E$31,),2,0),"-")</f>
        <v>-</v>
      </c>
    </row>
    <row r="525" spans="1:15" x14ac:dyDescent="0.25">
      <c r="A525" s="10">
        <v>523</v>
      </c>
      <c r="B525" s="11">
        <v>26</v>
      </c>
      <c r="C525" s="11" t="s">
        <v>95</v>
      </c>
      <c r="D525" s="11">
        <v>1101899</v>
      </c>
      <c r="E525" s="11">
        <v>29181488</v>
      </c>
      <c r="F525" s="12" t="s">
        <v>1930</v>
      </c>
      <c r="G525" s="11" t="s">
        <v>1931</v>
      </c>
      <c r="H525" t="s">
        <v>1932</v>
      </c>
      <c r="I525" s="13">
        <v>50538039515</v>
      </c>
      <c r="J525" s="14">
        <v>18052</v>
      </c>
      <c r="K525" s="14">
        <v>0</v>
      </c>
      <c r="L525" s="10" t="s">
        <v>99</v>
      </c>
      <c r="M525" s="14">
        <v>18052</v>
      </c>
      <c r="N525" s="15">
        <v>1</v>
      </c>
      <c r="O525" t="str">
        <f>IFERROR(VLOOKUP($I525,CHOOSE({1,2},'[1]DIRETORES NTE'!$H$5:$H$31,'[1]DIRETORES NTE'!$E$5:$E$31,),2,0),"-")</f>
        <v>-</v>
      </c>
    </row>
    <row r="526" spans="1:15" x14ac:dyDescent="0.25">
      <c r="A526" s="10">
        <v>524</v>
      </c>
      <c r="B526" s="11">
        <v>3</v>
      </c>
      <c r="C526" s="11" t="s">
        <v>1933</v>
      </c>
      <c r="D526" s="11">
        <v>1124368</v>
      </c>
      <c r="E526" s="11">
        <v>29225060</v>
      </c>
      <c r="F526" s="12" t="s">
        <v>1934</v>
      </c>
      <c r="G526" s="11" t="s">
        <v>1935</v>
      </c>
      <c r="H526" t="s">
        <v>1936</v>
      </c>
      <c r="I526" s="13" t="s">
        <v>1937</v>
      </c>
      <c r="J526" s="14">
        <v>6063</v>
      </c>
      <c r="K526" s="14">
        <v>6063</v>
      </c>
      <c r="L526" s="10" t="s">
        <v>117</v>
      </c>
      <c r="M526" s="14">
        <v>0</v>
      </c>
      <c r="N526" s="15">
        <v>0</v>
      </c>
      <c r="O526" t="str">
        <f>IFERROR(VLOOKUP($I526,CHOOSE({1,2},'[1]DIRETORES NTE'!$H$5:$H$31,'[1]DIRETORES NTE'!$E$5:$E$31,),2,0),"-")</f>
        <v>-</v>
      </c>
    </row>
    <row r="527" spans="1:15" x14ac:dyDescent="0.25">
      <c r="A527" s="10">
        <v>525</v>
      </c>
      <c r="B527" s="11">
        <v>19</v>
      </c>
      <c r="C527" s="11" t="s">
        <v>1938</v>
      </c>
      <c r="D527" s="11">
        <v>1178047</v>
      </c>
      <c r="E527" s="11">
        <v>29432510</v>
      </c>
      <c r="F527" s="12" t="s">
        <v>1939</v>
      </c>
      <c r="G527" s="11" t="s">
        <v>1940</v>
      </c>
      <c r="H527" t="s">
        <v>1941</v>
      </c>
      <c r="I527" s="13" t="s">
        <v>1942</v>
      </c>
      <c r="J527" s="14">
        <v>7130</v>
      </c>
      <c r="K527" s="14">
        <v>7130</v>
      </c>
      <c r="L527" s="10" t="s">
        <v>336</v>
      </c>
      <c r="M527" s="14">
        <v>0</v>
      </c>
      <c r="N527" s="15">
        <v>0</v>
      </c>
      <c r="O527" t="str">
        <f>IFERROR(VLOOKUP($I527,CHOOSE({1,2},'[1]DIRETORES NTE'!$H$5:$H$31,'[1]DIRETORES NTE'!$E$5:$E$31,),2,0),"-")</f>
        <v>-</v>
      </c>
    </row>
    <row r="528" spans="1:15" x14ac:dyDescent="0.25">
      <c r="A528" s="10">
        <v>526</v>
      </c>
      <c r="B528" s="11">
        <v>1</v>
      </c>
      <c r="C528" s="11" t="s">
        <v>1943</v>
      </c>
      <c r="D528" s="11">
        <v>1178258</v>
      </c>
      <c r="E528" s="11">
        <v>29447755</v>
      </c>
      <c r="F528" s="12" t="s">
        <v>1944</v>
      </c>
      <c r="G528" s="11" t="s">
        <v>1945</v>
      </c>
      <c r="H528" t="s">
        <v>1946</v>
      </c>
      <c r="I528" s="13">
        <v>96999934568</v>
      </c>
      <c r="J528" s="14">
        <v>8062</v>
      </c>
      <c r="K528" s="14">
        <v>8062</v>
      </c>
      <c r="L528" s="10" t="s">
        <v>356</v>
      </c>
      <c r="M528" s="14">
        <v>0</v>
      </c>
      <c r="N528" s="15">
        <v>0</v>
      </c>
      <c r="O528" t="str">
        <f>IFERROR(VLOOKUP($I528,CHOOSE({1,2},'[1]DIRETORES NTE'!$H$5:$H$31,'[1]DIRETORES NTE'!$E$5:$E$31,),2,0),"-")</f>
        <v>-</v>
      </c>
    </row>
    <row r="529" spans="1:15" x14ac:dyDescent="0.25">
      <c r="A529" s="10">
        <v>527</v>
      </c>
      <c r="B529" s="11">
        <v>19</v>
      </c>
      <c r="C529" s="11" t="s">
        <v>331</v>
      </c>
      <c r="D529" s="11">
        <v>1106645</v>
      </c>
      <c r="E529" s="11">
        <v>29095166</v>
      </c>
      <c r="F529" s="12" t="s">
        <v>1947</v>
      </c>
      <c r="G529" s="11" t="s">
        <v>1948</v>
      </c>
      <c r="H529" t="s">
        <v>1949</v>
      </c>
      <c r="I529" s="13" t="s">
        <v>1950</v>
      </c>
      <c r="J529" s="14">
        <v>23546</v>
      </c>
      <c r="K529" s="14">
        <v>5907</v>
      </c>
      <c r="L529" s="10" t="s">
        <v>336</v>
      </c>
      <c r="M529" s="14">
        <v>17639</v>
      </c>
      <c r="N529" s="15">
        <v>0.74912936379852202</v>
      </c>
      <c r="O529" t="str">
        <f>IFERROR(VLOOKUP($I529,CHOOSE({1,2},'[1]DIRETORES NTE'!$H$5:$H$31,'[1]DIRETORES NTE'!$E$5:$E$31,),2,0),"-")</f>
        <v>-</v>
      </c>
    </row>
    <row r="530" spans="1:15" x14ac:dyDescent="0.25">
      <c r="A530" s="10">
        <v>528</v>
      </c>
      <c r="B530" s="11">
        <v>17</v>
      </c>
      <c r="C530" s="11" t="s">
        <v>1951</v>
      </c>
      <c r="D530" s="11">
        <v>1114559</v>
      </c>
      <c r="E530" s="11">
        <v>29117666</v>
      </c>
      <c r="F530" s="12" t="s">
        <v>1952</v>
      </c>
      <c r="G530" s="11" t="s">
        <v>1953</v>
      </c>
      <c r="H530" t="s">
        <v>1954</v>
      </c>
      <c r="I530" s="13">
        <v>26970180506</v>
      </c>
      <c r="J530" s="14">
        <v>17760</v>
      </c>
      <c r="K530" s="14">
        <v>17760</v>
      </c>
      <c r="L530" s="10" t="s">
        <v>455</v>
      </c>
      <c r="M530" s="14">
        <v>0</v>
      </c>
      <c r="N530" s="15">
        <v>0</v>
      </c>
      <c r="O530" t="str">
        <f>IFERROR(VLOOKUP($I530,CHOOSE({1,2},'[1]DIRETORES NTE'!$H$5:$H$31,'[1]DIRETORES NTE'!$E$5:$E$31,),2,0),"-")</f>
        <v>-</v>
      </c>
    </row>
    <row r="531" spans="1:15" x14ac:dyDescent="0.25">
      <c r="A531" s="10">
        <v>529</v>
      </c>
      <c r="B531" s="11">
        <v>18</v>
      </c>
      <c r="C531" s="11" t="s">
        <v>1381</v>
      </c>
      <c r="D531" s="11">
        <v>1115229</v>
      </c>
      <c r="E531" s="11">
        <v>29131553</v>
      </c>
      <c r="F531" s="12" t="s">
        <v>1955</v>
      </c>
      <c r="G531" s="11" t="s">
        <v>1956</v>
      </c>
      <c r="H531" t="s">
        <v>1957</v>
      </c>
      <c r="I531" s="13">
        <v>36749028500</v>
      </c>
      <c r="J531" s="14">
        <v>25365</v>
      </c>
      <c r="K531" s="14">
        <v>25365</v>
      </c>
      <c r="L531" s="10" t="s">
        <v>68</v>
      </c>
      <c r="M531" s="14">
        <v>0</v>
      </c>
      <c r="N531" s="15">
        <v>0</v>
      </c>
      <c r="O531" t="str">
        <f>IFERROR(VLOOKUP($I531,CHOOSE({1,2},'[1]DIRETORES NTE'!$H$5:$H$31,'[1]DIRETORES NTE'!$E$5:$E$31,),2,0),"-")</f>
        <v>-</v>
      </c>
    </row>
    <row r="532" spans="1:15" x14ac:dyDescent="0.25">
      <c r="A532" s="10">
        <v>530</v>
      </c>
      <c r="B532" s="11">
        <v>24</v>
      </c>
      <c r="C532" s="11" t="s">
        <v>603</v>
      </c>
      <c r="D532" s="11">
        <v>1118040</v>
      </c>
      <c r="E532" s="11">
        <v>29034990</v>
      </c>
      <c r="F532" s="12" t="s">
        <v>1958</v>
      </c>
      <c r="G532" s="11" t="s">
        <v>1959</v>
      </c>
      <c r="H532" t="s">
        <v>1960</v>
      </c>
      <c r="I532" s="13" t="s">
        <v>1961</v>
      </c>
      <c r="J532" s="14">
        <v>10640</v>
      </c>
      <c r="K532" s="14">
        <v>10640</v>
      </c>
      <c r="L532" s="10" t="s">
        <v>266</v>
      </c>
      <c r="M532" s="14">
        <v>0</v>
      </c>
      <c r="N532" s="15">
        <v>0</v>
      </c>
      <c r="O532" t="str">
        <f>IFERROR(VLOOKUP($I532,CHOOSE({1,2},'[1]DIRETORES NTE'!$H$5:$H$31,'[1]DIRETORES NTE'!$E$5:$E$31,),2,0),"-")</f>
        <v>-</v>
      </c>
    </row>
    <row r="533" spans="1:15" x14ac:dyDescent="0.25">
      <c r="A533" s="10">
        <v>531</v>
      </c>
      <c r="B533" s="11" t="s">
        <v>237</v>
      </c>
      <c r="C533" s="11" t="s">
        <v>237</v>
      </c>
      <c r="D533" s="11" t="s">
        <v>237</v>
      </c>
      <c r="E533" s="11" t="s">
        <v>237</v>
      </c>
      <c r="F533" s="12" t="s">
        <v>237</v>
      </c>
      <c r="G533" s="11" t="s">
        <v>237</v>
      </c>
      <c r="H533" t="s">
        <v>1962</v>
      </c>
      <c r="I533" s="13">
        <v>49926799515</v>
      </c>
      <c r="J533" s="14">
        <v>0</v>
      </c>
      <c r="K533" s="14">
        <v>0</v>
      </c>
      <c r="L533" s="10" t="s">
        <v>49</v>
      </c>
      <c r="M533" s="14">
        <v>0</v>
      </c>
      <c r="N533" s="15" t="e">
        <v>#DIV/0!</v>
      </c>
      <c r="O533" t="str">
        <f>IFERROR(VLOOKUP($I533,CHOOSE({1,2},'[1]DIRETORES NTE'!$H$5:$H$31,'[1]DIRETORES NTE'!$E$5:$E$31,),2,0),"-")</f>
        <v>JOSELIA MARIA DOS SANTOS (DIRETOR DE NTE)</v>
      </c>
    </row>
    <row r="534" spans="1:15" x14ac:dyDescent="0.25">
      <c r="A534" s="10">
        <v>532</v>
      </c>
      <c r="B534" s="11">
        <v>21</v>
      </c>
      <c r="C534" s="11" t="s">
        <v>1963</v>
      </c>
      <c r="D534" s="11">
        <v>1178152</v>
      </c>
      <c r="E534" s="11">
        <v>29440173</v>
      </c>
      <c r="F534" s="12" t="s">
        <v>1964</v>
      </c>
      <c r="G534" s="11" t="s">
        <v>1965</v>
      </c>
      <c r="H534" t="s">
        <v>1966</v>
      </c>
      <c r="I534" s="13">
        <v>32689012553</v>
      </c>
      <c r="J534" s="14">
        <v>9468</v>
      </c>
      <c r="K534" s="14">
        <v>9468</v>
      </c>
      <c r="L534" s="10" t="s">
        <v>63</v>
      </c>
      <c r="M534" s="14">
        <v>0</v>
      </c>
      <c r="N534" s="15">
        <v>0</v>
      </c>
      <c r="O534" t="str">
        <f>IFERROR(VLOOKUP($I534,CHOOSE({1,2},'[1]DIRETORES NTE'!$H$5:$H$31,'[1]DIRETORES NTE'!$E$5:$E$31,),2,0),"-")</f>
        <v>-</v>
      </c>
    </row>
    <row r="535" spans="1:15" x14ac:dyDescent="0.25">
      <c r="A535" s="10">
        <v>533</v>
      </c>
      <c r="B535" s="11">
        <v>6</v>
      </c>
      <c r="C535" s="11" t="s">
        <v>1967</v>
      </c>
      <c r="D535" s="11">
        <v>1108966</v>
      </c>
      <c r="E535" s="11">
        <v>29161770</v>
      </c>
      <c r="F535" s="12" t="s">
        <v>1968</v>
      </c>
      <c r="G535" s="11" t="s">
        <v>1969</v>
      </c>
      <c r="H535" t="s">
        <v>1970</v>
      </c>
      <c r="I535" s="13" t="s">
        <v>1971</v>
      </c>
      <c r="J535" s="14">
        <v>8311</v>
      </c>
      <c r="K535" s="14">
        <v>5043.57</v>
      </c>
      <c r="L535" s="10" t="s">
        <v>49</v>
      </c>
      <c r="M535" s="14">
        <v>3267.4300000000003</v>
      </c>
      <c r="N535" s="15">
        <v>0.39314522921429434</v>
      </c>
      <c r="O535" t="str">
        <f>IFERROR(VLOOKUP($I535,CHOOSE({1,2},'[1]DIRETORES NTE'!$H$5:$H$31,'[1]DIRETORES NTE'!$E$5:$E$31,),2,0),"-")</f>
        <v>-</v>
      </c>
    </row>
    <row r="536" spans="1:15" x14ac:dyDescent="0.25">
      <c r="A536" s="10">
        <v>534</v>
      </c>
      <c r="B536" s="11">
        <v>26</v>
      </c>
      <c r="C536" s="11" t="s">
        <v>916</v>
      </c>
      <c r="D536" s="11">
        <v>1104723</v>
      </c>
      <c r="E536" s="11">
        <v>29201373</v>
      </c>
      <c r="F536" s="12" t="s">
        <v>1972</v>
      </c>
      <c r="G536" s="11" t="s">
        <v>1973</v>
      </c>
      <c r="H536" t="s">
        <v>1974</v>
      </c>
      <c r="I536" s="13">
        <v>35190086534</v>
      </c>
      <c r="J536" s="14">
        <v>8462</v>
      </c>
      <c r="K536" s="14">
        <v>8462</v>
      </c>
      <c r="L536" s="10" t="s">
        <v>99</v>
      </c>
      <c r="M536" s="14">
        <v>0</v>
      </c>
      <c r="N536" s="15">
        <v>0</v>
      </c>
      <c r="O536" t="str">
        <f>IFERROR(VLOOKUP($I536,CHOOSE({1,2},'[1]DIRETORES NTE'!$H$5:$H$31,'[1]DIRETORES NTE'!$E$5:$E$31,),2,0),"-")</f>
        <v>-</v>
      </c>
    </row>
    <row r="537" spans="1:15" x14ac:dyDescent="0.25">
      <c r="A537" s="10">
        <v>535</v>
      </c>
      <c r="B537" s="11">
        <v>13</v>
      </c>
      <c r="C537" s="11" t="s">
        <v>624</v>
      </c>
      <c r="D537" s="11">
        <v>1178115</v>
      </c>
      <c r="E537" s="11">
        <v>29433568</v>
      </c>
      <c r="F537" s="12" t="s">
        <v>1975</v>
      </c>
      <c r="G537" s="11" t="s">
        <v>1976</v>
      </c>
      <c r="H537" t="s">
        <v>1977</v>
      </c>
      <c r="I537" s="13" t="s">
        <v>1978</v>
      </c>
      <c r="J537" s="14">
        <v>6699</v>
      </c>
      <c r="K537" s="14">
        <v>6699</v>
      </c>
      <c r="L537" s="10" t="s">
        <v>33</v>
      </c>
      <c r="M537" s="14">
        <v>0</v>
      </c>
      <c r="N537" s="15">
        <v>0</v>
      </c>
      <c r="O537" t="str">
        <f>IFERROR(VLOOKUP($I537,CHOOSE({1,2},'[1]DIRETORES NTE'!$H$5:$H$31,'[1]DIRETORES NTE'!$E$5:$E$31,),2,0),"-")</f>
        <v>-</v>
      </c>
    </row>
    <row r="538" spans="1:15" x14ac:dyDescent="0.25">
      <c r="A538" s="10">
        <v>536</v>
      </c>
      <c r="B538" s="11">
        <v>3</v>
      </c>
      <c r="C538" s="11" t="s">
        <v>1979</v>
      </c>
      <c r="D538" s="11">
        <v>1178029</v>
      </c>
      <c r="E538" s="11">
        <v>29425123</v>
      </c>
      <c r="F538" s="12" t="s">
        <v>1980</v>
      </c>
      <c r="G538" s="11" t="s">
        <v>1981</v>
      </c>
      <c r="H538" t="s">
        <v>1982</v>
      </c>
      <c r="I538" s="13">
        <v>98290991568</v>
      </c>
      <c r="J538" s="14">
        <v>8079</v>
      </c>
      <c r="K538" s="14">
        <v>8079</v>
      </c>
      <c r="L538" s="10" t="s">
        <v>117</v>
      </c>
      <c r="M538" s="14">
        <v>0</v>
      </c>
      <c r="N538" s="15">
        <v>0</v>
      </c>
      <c r="O538" t="str">
        <f>IFERROR(VLOOKUP($I538,CHOOSE({1,2},'[1]DIRETORES NTE'!$H$5:$H$31,'[1]DIRETORES NTE'!$E$5:$E$31,),2,0),"-")</f>
        <v>-</v>
      </c>
    </row>
    <row r="539" spans="1:15" x14ac:dyDescent="0.25">
      <c r="A539" s="10">
        <v>537</v>
      </c>
      <c r="B539" s="11">
        <v>26</v>
      </c>
      <c r="C539" s="11" t="s">
        <v>95</v>
      </c>
      <c r="D539" s="11">
        <v>1100221</v>
      </c>
      <c r="E539" s="11">
        <v>29189047</v>
      </c>
      <c r="F539" s="12" t="s">
        <v>1983</v>
      </c>
      <c r="G539" s="11" t="s">
        <v>1984</v>
      </c>
      <c r="H539" t="s">
        <v>1985</v>
      </c>
      <c r="I539" s="13">
        <v>42164281500</v>
      </c>
      <c r="J539" s="14">
        <v>10802</v>
      </c>
      <c r="K539" s="14">
        <v>10802</v>
      </c>
      <c r="L539" s="10" t="s">
        <v>99</v>
      </c>
      <c r="M539" s="14">
        <v>0</v>
      </c>
      <c r="N539" s="15">
        <v>0</v>
      </c>
      <c r="O539" t="str">
        <f>IFERROR(VLOOKUP($I539,CHOOSE({1,2},'[1]DIRETORES NTE'!$H$5:$H$31,'[1]DIRETORES NTE'!$E$5:$E$31,),2,0),"-")</f>
        <v>-</v>
      </c>
    </row>
    <row r="540" spans="1:15" x14ac:dyDescent="0.25">
      <c r="A540" s="10">
        <v>538</v>
      </c>
      <c r="B540" s="11">
        <v>19</v>
      </c>
      <c r="C540" s="11" t="s">
        <v>331</v>
      </c>
      <c r="D540" s="11">
        <v>1176448</v>
      </c>
      <c r="E540" s="11">
        <v>29387728</v>
      </c>
      <c r="F540" s="12" t="s">
        <v>1986</v>
      </c>
      <c r="G540" s="11" t="s">
        <v>1987</v>
      </c>
      <c r="H540" t="s">
        <v>1988</v>
      </c>
      <c r="I540" s="13">
        <v>52683648553</v>
      </c>
      <c r="J540" s="14">
        <v>4093</v>
      </c>
      <c r="K540" s="14">
        <v>462.04</v>
      </c>
      <c r="L540" s="10" t="s">
        <v>336</v>
      </c>
      <c r="M540" s="14">
        <v>3630.96</v>
      </c>
      <c r="N540" s="15">
        <v>0.88711458587832881</v>
      </c>
      <c r="O540" t="str">
        <f>IFERROR(VLOOKUP($I540,CHOOSE({1,2},'[1]DIRETORES NTE'!$H$5:$H$31,'[1]DIRETORES NTE'!$E$5:$E$31,),2,0),"-")</f>
        <v>-</v>
      </c>
    </row>
    <row r="541" spans="1:15" x14ac:dyDescent="0.25">
      <c r="A541" s="10">
        <v>539</v>
      </c>
      <c r="B541" s="11">
        <v>19</v>
      </c>
      <c r="C541" s="11" t="s">
        <v>1989</v>
      </c>
      <c r="D541" s="11">
        <v>1105266</v>
      </c>
      <c r="E541" s="11">
        <v>29091470</v>
      </c>
      <c r="F541" s="12" t="s">
        <v>1990</v>
      </c>
      <c r="G541" s="11" t="s">
        <v>1991</v>
      </c>
      <c r="H541" t="s">
        <v>1992</v>
      </c>
      <c r="I541" s="13">
        <v>36657794568</v>
      </c>
      <c r="J541" s="14">
        <v>34893</v>
      </c>
      <c r="K541" s="14">
        <v>34893</v>
      </c>
      <c r="L541" s="10" t="s">
        <v>336</v>
      </c>
      <c r="M541" s="14">
        <v>0</v>
      </c>
      <c r="N541" s="15">
        <v>0</v>
      </c>
      <c r="O541" t="str">
        <f>IFERROR(VLOOKUP($I541,CHOOSE({1,2},'[1]DIRETORES NTE'!$H$5:$H$31,'[1]DIRETORES NTE'!$E$5:$E$31,),2,0),"-")</f>
        <v>-</v>
      </c>
    </row>
    <row r="542" spans="1:15" x14ac:dyDescent="0.25">
      <c r="A542" s="10">
        <v>540</v>
      </c>
      <c r="B542" s="11">
        <v>9</v>
      </c>
      <c r="C542" s="11" t="s">
        <v>1993</v>
      </c>
      <c r="D542" s="11">
        <v>1178045</v>
      </c>
      <c r="E542" s="11">
        <v>29429129</v>
      </c>
      <c r="F542" s="12" t="s">
        <v>1994</v>
      </c>
      <c r="G542" s="11" t="s">
        <v>1995</v>
      </c>
      <c r="H542" t="s">
        <v>1996</v>
      </c>
      <c r="I542" s="13" t="s">
        <v>1997</v>
      </c>
      <c r="J542" s="14">
        <v>5457</v>
      </c>
      <c r="K542" s="14">
        <v>5226.8999999999996</v>
      </c>
      <c r="L542" s="10" t="s">
        <v>167</v>
      </c>
      <c r="M542" s="14">
        <v>230.10000000000036</v>
      </c>
      <c r="N542" s="15">
        <v>4.2166025288620186E-2</v>
      </c>
      <c r="O542" t="str">
        <f>IFERROR(VLOOKUP($I542,CHOOSE({1,2},'[1]DIRETORES NTE'!$H$5:$H$31,'[1]DIRETORES NTE'!$E$5:$E$31,),2,0),"-")</f>
        <v>-</v>
      </c>
    </row>
    <row r="543" spans="1:15" x14ac:dyDescent="0.25">
      <c r="A543" s="10">
        <v>541</v>
      </c>
      <c r="B543" s="11">
        <v>17</v>
      </c>
      <c r="C543" s="11" t="s">
        <v>450</v>
      </c>
      <c r="D543" s="11">
        <v>1179128</v>
      </c>
      <c r="E543" s="11">
        <v>29126550</v>
      </c>
      <c r="F543" s="12" t="s">
        <v>1998</v>
      </c>
      <c r="G543" s="11" t="s">
        <v>1999</v>
      </c>
      <c r="H543" t="s">
        <v>2000</v>
      </c>
      <c r="I543" s="13" t="s">
        <v>2001</v>
      </c>
      <c r="J543" s="14">
        <v>4653</v>
      </c>
      <c r="K543" s="14">
        <v>4653</v>
      </c>
      <c r="L543" s="10" t="s">
        <v>455</v>
      </c>
      <c r="M543" s="14">
        <v>0</v>
      </c>
      <c r="N543" s="15">
        <v>0</v>
      </c>
      <c r="O543" t="str">
        <f>IFERROR(VLOOKUP($I543,CHOOSE({1,2},'[1]DIRETORES NTE'!$H$5:$H$31,'[1]DIRETORES NTE'!$E$5:$E$31,),2,0),"-")</f>
        <v>-</v>
      </c>
    </row>
    <row r="544" spans="1:15" x14ac:dyDescent="0.25">
      <c r="A544" s="10">
        <v>542</v>
      </c>
      <c r="B544" s="11">
        <v>26</v>
      </c>
      <c r="C544" s="11" t="s">
        <v>95</v>
      </c>
      <c r="D544" s="11">
        <v>1103514</v>
      </c>
      <c r="E544" s="11">
        <v>29181542</v>
      </c>
      <c r="F544" s="12" t="s">
        <v>2002</v>
      </c>
      <c r="G544" s="11" t="s">
        <v>2003</v>
      </c>
      <c r="H544" t="s">
        <v>2004</v>
      </c>
      <c r="I544" s="13">
        <v>42542294534</v>
      </c>
      <c r="J544" s="14">
        <v>17600</v>
      </c>
      <c r="K544" s="14">
        <v>17600</v>
      </c>
      <c r="L544" s="10" t="s">
        <v>99</v>
      </c>
      <c r="M544" s="14">
        <v>0</v>
      </c>
      <c r="N544" s="15">
        <v>0</v>
      </c>
      <c r="O544" t="str">
        <f>IFERROR(VLOOKUP($I544,CHOOSE({1,2},'[1]DIRETORES NTE'!$H$5:$H$31,'[1]DIRETORES NTE'!$E$5:$E$31,),2,0),"-")</f>
        <v>-</v>
      </c>
    </row>
    <row r="545" spans="1:15" x14ac:dyDescent="0.25">
      <c r="A545" s="10">
        <v>543</v>
      </c>
      <c r="B545" s="11">
        <v>3</v>
      </c>
      <c r="C545" s="11" t="s">
        <v>128</v>
      </c>
      <c r="D545" s="11">
        <v>1179784</v>
      </c>
      <c r="E545" s="11">
        <v>44171</v>
      </c>
      <c r="F545" s="12" t="s">
        <v>2005</v>
      </c>
      <c r="G545" s="11" t="s">
        <v>2006</v>
      </c>
      <c r="H545" t="s">
        <v>2007</v>
      </c>
      <c r="I545" s="13">
        <v>98251660530</v>
      </c>
      <c r="J545" s="14">
        <v>16</v>
      </c>
      <c r="K545" s="14">
        <v>16</v>
      </c>
      <c r="L545" s="10" t="s">
        <v>117</v>
      </c>
      <c r="M545" s="14">
        <v>0</v>
      </c>
      <c r="N545" s="15">
        <v>0</v>
      </c>
      <c r="O545" t="str">
        <f>IFERROR(VLOOKUP($I545,CHOOSE({1,2},'[1]DIRETORES NTE'!$H$5:$H$31,'[1]DIRETORES NTE'!$E$5:$E$31,),2,0),"-")</f>
        <v>-</v>
      </c>
    </row>
    <row r="546" spans="1:15" x14ac:dyDescent="0.25">
      <c r="A546" s="10">
        <v>544</v>
      </c>
      <c r="B546" s="11">
        <v>17</v>
      </c>
      <c r="C546" s="11" t="s">
        <v>2008</v>
      </c>
      <c r="D546" s="11">
        <v>1177006</v>
      </c>
      <c r="E546" s="11">
        <v>29407834</v>
      </c>
      <c r="F546" s="12" t="s">
        <v>2009</v>
      </c>
      <c r="G546" s="11" t="s">
        <v>2010</v>
      </c>
      <c r="H546" t="s">
        <v>2011</v>
      </c>
      <c r="I546" s="13" t="s">
        <v>2012</v>
      </c>
      <c r="J546" s="14">
        <v>27032</v>
      </c>
      <c r="K546" s="14">
        <v>27032</v>
      </c>
      <c r="L546" s="10" t="s">
        <v>455</v>
      </c>
      <c r="M546" s="14">
        <v>0</v>
      </c>
      <c r="N546" s="15">
        <v>0</v>
      </c>
      <c r="O546" t="str">
        <f>IFERROR(VLOOKUP($I546,CHOOSE({1,2},'[1]DIRETORES NTE'!$H$5:$H$31,'[1]DIRETORES NTE'!$E$5:$E$31,),2,0),"-")</f>
        <v>-</v>
      </c>
    </row>
    <row r="547" spans="1:15" x14ac:dyDescent="0.25">
      <c r="A547" s="10">
        <v>545</v>
      </c>
      <c r="B547" s="11">
        <v>4</v>
      </c>
      <c r="C547" s="11" t="s">
        <v>675</v>
      </c>
      <c r="D547" s="11">
        <v>1116209</v>
      </c>
      <c r="E547" s="11">
        <v>29145538</v>
      </c>
      <c r="F547" s="12" t="s">
        <v>2013</v>
      </c>
      <c r="G547" s="11" t="s">
        <v>650</v>
      </c>
      <c r="H547" t="s">
        <v>2014</v>
      </c>
      <c r="I547" s="13">
        <v>20332912515</v>
      </c>
      <c r="J547" s="14">
        <v>9249</v>
      </c>
      <c r="K547" s="14">
        <v>9249</v>
      </c>
      <c r="L547" s="10" t="s">
        <v>58</v>
      </c>
      <c r="M547" s="14">
        <v>0</v>
      </c>
      <c r="N547" s="15">
        <v>0</v>
      </c>
      <c r="O547" t="str">
        <f>IFERROR(VLOOKUP($I547,CHOOSE({1,2},'[1]DIRETORES NTE'!$H$5:$H$31,'[1]DIRETORES NTE'!$E$5:$E$31,),2,0),"-")</f>
        <v>-</v>
      </c>
    </row>
    <row r="548" spans="1:15" x14ac:dyDescent="0.25">
      <c r="A548" s="10">
        <v>546</v>
      </c>
      <c r="B548" s="11">
        <v>4</v>
      </c>
      <c r="C548" s="11" t="s">
        <v>675</v>
      </c>
      <c r="D548" s="11">
        <v>1116241</v>
      </c>
      <c r="E548" s="11">
        <v>29146151</v>
      </c>
      <c r="F548" s="12" t="s">
        <v>2015</v>
      </c>
      <c r="G548" s="11" t="s">
        <v>2016</v>
      </c>
      <c r="H548" t="s">
        <v>2017</v>
      </c>
      <c r="I548" s="13" t="s">
        <v>2018</v>
      </c>
      <c r="J548" s="14">
        <v>10793</v>
      </c>
      <c r="K548" s="14">
        <v>10793</v>
      </c>
      <c r="L548" s="10" t="s">
        <v>58</v>
      </c>
      <c r="M548" s="14">
        <v>0</v>
      </c>
      <c r="N548" s="15">
        <v>0</v>
      </c>
      <c r="O548" t="str">
        <f>IFERROR(VLOOKUP($I548,CHOOSE({1,2},'[1]DIRETORES NTE'!$H$5:$H$31,'[1]DIRETORES NTE'!$E$5:$E$31,),2,0),"-")</f>
        <v>-</v>
      </c>
    </row>
    <row r="549" spans="1:15" x14ac:dyDescent="0.25">
      <c r="A549" s="10">
        <v>547</v>
      </c>
      <c r="B549" s="11">
        <v>17</v>
      </c>
      <c r="C549" s="11" t="s">
        <v>2019</v>
      </c>
      <c r="D549" s="11">
        <v>1165846</v>
      </c>
      <c r="E549" s="11">
        <v>29125898</v>
      </c>
      <c r="F549" s="12" t="s">
        <v>113</v>
      </c>
      <c r="G549" s="11" t="s">
        <v>2020</v>
      </c>
      <c r="H549" t="s">
        <v>2021</v>
      </c>
      <c r="I549" s="13">
        <v>86022045584</v>
      </c>
      <c r="J549" s="14">
        <v>12241</v>
      </c>
      <c r="K549" s="14">
        <v>12241</v>
      </c>
      <c r="L549" s="10" t="s">
        <v>455</v>
      </c>
      <c r="M549" s="14">
        <v>0</v>
      </c>
      <c r="N549" s="15">
        <v>0</v>
      </c>
      <c r="O549" t="str">
        <f>IFERROR(VLOOKUP($I549,CHOOSE({1,2},'[1]DIRETORES NTE'!$H$5:$H$31,'[1]DIRETORES NTE'!$E$5:$E$31,),2,0),"-")</f>
        <v>-</v>
      </c>
    </row>
    <row r="550" spans="1:15" x14ac:dyDescent="0.25">
      <c r="A550" s="10">
        <v>548</v>
      </c>
      <c r="B550" s="11">
        <v>26</v>
      </c>
      <c r="C550" s="11" t="s">
        <v>95</v>
      </c>
      <c r="D550" s="11">
        <v>1102844</v>
      </c>
      <c r="E550" s="11">
        <v>29185394</v>
      </c>
      <c r="F550" s="12" t="s">
        <v>2022</v>
      </c>
      <c r="G550" s="11" t="s">
        <v>2023</v>
      </c>
      <c r="H550" t="s">
        <v>2024</v>
      </c>
      <c r="I550" s="13" t="s">
        <v>2025</v>
      </c>
      <c r="J550" s="14">
        <v>9281</v>
      </c>
      <c r="K550" s="14">
        <v>1.55</v>
      </c>
      <c r="L550" s="10" t="s">
        <v>99</v>
      </c>
      <c r="M550" s="14">
        <v>9279.4500000000007</v>
      </c>
      <c r="N550" s="15">
        <v>0.9998329921344683</v>
      </c>
      <c r="O550" t="str">
        <f>IFERROR(VLOOKUP($I550,CHOOSE({1,2},'[1]DIRETORES NTE'!$H$5:$H$31,'[1]DIRETORES NTE'!$E$5:$E$31,),2,0),"-")</f>
        <v>-</v>
      </c>
    </row>
    <row r="551" spans="1:15" x14ac:dyDescent="0.25">
      <c r="A551" s="10">
        <v>549</v>
      </c>
      <c r="B551" s="11">
        <v>5</v>
      </c>
      <c r="C551" s="11" t="s">
        <v>2026</v>
      </c>
      <c r="D551" s="11">
        <v>1111347</v>
      </c>
      <c r="E551" s="11">
        <v>29306760</v>
      </c>
      <c r="F551" s="12" t="s">
        <v>2027</v>
      </c>
      <c r="G551" s="11" t="s">
        <v>2028</v>
      </c>
      <c r="H551" t="s">
        <v>2029</v>
      </c>
      <c r="I551" s="13">
        <v>80264590163</v>
      </c>
      <c r="J551" s="14">
        <v>14068</v>
      </c>
      <c r="K551" s="14">
        <v>14068</v>
      </c>
      <c r="L551" s="10" t="s">
        <v>44</v>
      </c>
      <c r="M551" s="14">
        <v>0</v>
      </c>
      <c r="N551" s="15">
        <v>0</v>
      </c>
      <c r="O551" t="str">
        <f>IFERROR(VLOOKUP($I551,CHOOSE({1,2},'[1]DIRETORES NTE'!$H$5:$H$31,'[1]DIRETORES NTE'!$E$5:$E$31,),2,0),"-")</f>
        <v>-</v>
      </c>
    </row>
    <row r="552" spans="1:15" x14ac:dyDescent="0.25">
      <c r="A552" s="10">
        <v>550</v>
      </c>
      <c r="B552" s="11">
        <v>19</v>
      </c>
      <c r="C552" s="11" t="s">
        <v>331</v>
      </c>
      <c r="D552" s="11">
        <v>1106394</v>
      </c>
      <c r="E552" s="11">
        <v>29095239</v>
      </c>
      <c r="F552" s="12" t="s">
        <v>2030</v>
      </c>
      <c r="G552" s="11" t="s">
        <v>2031</v>
      </c>
      <c r="H552" t="s">
        <v>2032</v>
      </c>
      <c r="I552" s="13">
        <v>97425354500</v>
      </c>
      <c r="J552" s="14">
        <v>4264</v>
      </c>
      <c r="K552" s="14">
        <v>4264</v>
      </c>
      <c r="L552" s="10" t="s">
        <v>336</v>
      </c>
      <c r="M552" s="14">
        <v>0</v>
      </c>
      <c r="N552" s="15">
        <v>0</v>
      </c>
      <c r="O552" t="str">
        <f>IFERROR(VLOOKUP($I552,CHOOSE({1,2},'[1]DIRETORES NTE'!$H$5:$H$31,'[1]DIRETORES NTE'!$E$5:$E$31,),2,0),"-")</f>
        <v>-</v>
      </c>
    </row>
    <row r="553" spans="1:15" x14ac:dyDescent="0.25">
      <c r="A553" s="10">
        <v>551</v>
      </c>
      <c r="B553" s="11">
        <v>3</v>
      </c>
      <c r="C553" s="11" t="s">
        <v>828</v>
      </c>
      <c r="D553" s="11">
        <v>1179291</v>
      </c>
      <c r="E553" s="11">
        <v>29459621</v>
      </c>
      <c r="F553" s="12" t="s">
        <v>2033</v>
      </c>
      <c r="G553" s="11" t="s">
        <v>2034</v>
      </c>
      <c r="H553" t="s">
        <v>2035</v>
      </c>
      <c r="I553" s="13">
        <v>96465816504</v>
      </c>
      <c r="J553" s="14">
        <v>1166</v>
      </c>
      <c r="K553" s="14">
        <v>1166</v>
      </c>
      <c r="L553" s="10" t="s">
        <v>117</v>
      </c>
      <c r="M553" s="14">
        <v>0</v>
      </c>
      <c r="N553" s="15">
        <v>0</v>
      </c>
      <c r="O553" t="str">
        <f>IFERROR(VLOOKUP($I553,CHOOSE({1,2},'[1]DIRETORES NTE'!$H$5:$H$31,'[1]DIRETORES NTE'!$E$5:$E$31,),2,0),"-")</f>
        <v>-</v>
      </c>
    </row>
    <row r="554" spans="1:15" x14ac:dyDescent="0.25">
      <c r="A554" s="10">
        <v>552</v>
      </c>
      <c r="B554" s="11">
        <v>27</v>
      </c>
      <c r="C554" s="11" t="s">
        <v>2036</v>
      </c>
      <c r="D554" s="11">
        <v>1112998</v>
      </c>
      <c r="E554" s="11">
        <v>29294100</v>
      </c>
      <c r="F554" s="12" t="s">
        <v>2037</v>
      </c>
      <c r="G554" s="11" t="s">
        <v>891</v>
      </c>
      <c r="H554" t="s">
        <v>2038</v>
      </c>
      <c r="I554" s="13" t="s">
        <v>2039</v>
      </c>
      <c r="J554" s="14">
        <v>0</v>
      </c>
      <c r="K554" s="14">
        <v>0</v>
      </c>
      <c r="L554" s="10" t="s">
        <v>720</v>
      </c>
      <c r="M554" s="14">
        <v>0</v>
      </c>
      <c r="N554" s="15" t="e">
        <v>#DIV/0!</v>
      </c>
      <c r="O554" t="str">
        <f>IFERROR(VLOOKUP($I554,CHOOSE({1,2},'[1]DIRETORES NTE'!$H$5:$H$31,'[1]DIRETORES NTE'!$E$5:$E$31,),2,0),"-")</f>
        <v>-</v>
      </c>
    </row>
    <row r="555" spans="1:15" x14ac:dyDescent="0.25">
      <c r="A555" s="10">
        <v>553</v>
      </c>
      <c r="B555" s="11">
        <v>22</v>
      </c>
      <c r="C555" s="11" t="s">
        <v>889</v>
      </c>
      <c r="D555" s="11">
        <v>1176664</v>
      </c>
      <c r="E555" s="11">
        <v>29408172</v>
      </c>
      <c r="F555" s="12" t="s">
        <v>2040</v>
      </c>
      <c r="G555" s="11" t="s">
        <v>2041</v>
      </c>
      <c r="H555" t="s">
        <v>2042</v>
      </c>
      <c r="I555" s="13" t="s">
        <v>2043</v>
      </c>
      <c r="J555" s="14">
        <v>8388</v>
      </c>
      <c r="K555" s="14">
        <v>621</v>
      </c>
      <c r="L555" s="10" t="s">
        <v>200</v>
      </c>
      <c r="M555" s="14">
        <v>7767</v>
      </c>
      <c r="N555" s="15">
        <v>0.92596566523605151</v>
      </c>
      <c r="O555" t="str">
        <f>IFERROR(VLOOKUP($I555,CHOOSE({1,2},'[1]DIRETORES NTE'!$H$5:$H$31,'[1]DIRETORES NTE'!$E$5:$E$31,),2,0),"-")</f>
        <v>-</v>
      </c>
    </row>
    <row r="556" spans="1:15" x14ac:dyDescent="0.25">
      <c r="A556" s="10">
        <v>554</v>
      </c>
      <c r="B556" s="11">
        <v>22</v>
      </c>
      <c r="C556" s="11" t="s">
        <v>1756</v>
      </c>
      <c r="D556" s="11">
        <v>1117108</v>
      </c>
      <c r="E556" s="11">
        <v>29300762</v>
      </c>
      <c r="F556" s="12" t="s">
        <v>2044</v>
      </c>
      <c r="G556" s="11" t="s">
        <v>2045</v>
      </c>
      <c r="H556" t="s">
        <v>2046</v>
      </c>
      <c r="I556" s="13">
        <v>92387438515</v>
      </c>
      <c r="J556" s="14">
        <v>15626</v>
      </c>
      <c r="K556" s="14">
        <v>15626</v>
      </c>
      <c r="L556" s="10" t="s">
        <v>200</v>
      </c>
      <c r="M556" s="14">
        <v>0</v>
      </c>
      <c r="N556" s="15">
        <v>0</v>
      </c>
      <c r="O556" t="str">
        <f>IFERROR(VLOOKUP($I556,CHOOSE({1,2},'[1]DIRETORES NTE'!$H$5:$H$31,'[1]DIRETORES NTE'!$E$5:$E$31,),2,0),"-")</f>
        <v>-</v>
      </c>
    </row>
    <row r="557" spans="1:15" x14ac:dyDescent="0.25">
      <c r="A557" s="10">
        <v>555</v>
      </c>
      <c r="B557" s="11">
        <v>5</v>
      </c>
      <c r="C557" s="11" t="s">
        <v>40</v>
      </c>
      <c r="D557" s="11">
        <v>1111096</v>
      </c>
      <c r="E557" s="11">
        <v>29301483</v>
      </c>
      <c r="F557" s="12" t="s">
        <v>2047</v>
      </c>
      <c r="G557" s="11" t="s">
        <v>2048</v>
      </c>
      <c r="H557" t="s">
        <v>2049</v>
      </c>
      <c r="I557" s="13">
        <v>57605360525</v>
      </c>
      <c r="J557" s="14">
        <v>15483</v>
      </c>
      <c r="K557" s="14">
        <v>15483</v>
      </c>
      <c r="L557" s="10" t="s">
        <v>44</v>
      </c>
      <c r="M557" s="14">
        <v>0</v>
      </c>
      <c r="N557" s="15">
        <v>0</v>
      </c>
      <c r="O557" t="str">
        <f>IFERROR(VLOOKUP($I557,CHOOSE({1,2},'[1]DIRETORES NTE'!$H$5:$H$31,'[1]DIRETORES NTE'!$E$5:$E$31,),2,0),"-")</f>
        <v>-</v>
      </c>
    </row>
    <row r="558" spans="1:15" x14ac:dyDescent="0.25">
      <c r="A558" s="10">
        <v>556</v>
      </c>
      <c r="B558" s="11">
        <v>5</v>
      </c>
      <c r="C558" s="11" t="s">
        <v>2050</v>
      </c>
      <c r="D558" s="11">
        <v>1158947</v>
      </c>
      <c r="E558" s="11">
        <v>29298520</v>
      </c>
      <c r="F558" s="12" t="s">
        <v>2051</v>
      </c>
      <c r="G558" s="11" t="s">
        <v>2052</v>
      </c>
      <c r="H558" t="s">
        <v>2053</v>
      </c>
      <c r="I558" s="13">
        <v>49730630534</v>
      </c>
      <c r="J558" s="14">
        <v>7646</v>
      </c>
      <c r="K558" s="14">
        <v>7646</v>
      </c>
      <c r="L558" s="10" t="s">
        <v>44</v>
      </c>
      <c r="M558" s="14">
        <v>0</v>
      </c>
      <c r="N558" s="15">
        <v>0</v>
      </c>
      <c r="O558" t="str">
        <f>IFERROR(VLOOKUP($I558,CHOOSE({1,2},'[1]DIRETORES NTE'!$H$5:$H$31,'[1]DIRETORES NTE'!$E$5:$E$31,),2,0),"-")</f>
        <v>-</v>
      </c>
    </row>
    <row r="559" spans="1:15" x14ac:dyDescent="0.25">
      <c r="A559" s="10">
        <v>557</v>
      </c>
      <c r="B559" s="11">
        <v>3</v>
      </c>
      <c r="C559" s="11" t="s">
        <v>2054</v>
      </c>
      <c r="D559" s="11">
        <v>1124511</v>
      </c>
      <c r="E559" s="11">
        <v>29216265</v>
      </c>
      <c r="F559" s="12" t="s">
        <v>2055</v>
      </c>
      <c r="G559" s="11" t="s">
        <v>2056</v>
      </c>
      <c r="H559" t="s">
        <v>2057</v>
      </c>
      <c r="I559" s="13">
        <v>43837816591</v>
      </c>
      <c r="J559" s="14">
        <v>2342</v>
      </c>
      <c r="K559" s="14">
        <v>2342</v>
      </c>
      <c r="L559" s="10" t="s">
        <v>117</v>
      </c>
      <c r="M559" s="14">
        <v>0</v>
      </c>
      <c r="N559" s="15">
        <v>0</v>
      </c>
      <c r="O559" t="str">
        <f>IFERROR(VLOOKUP($I559,CHOOSE({1,2},'[1]DIRETORES NTE'!$H$5:$H$31,'[1]DIRETORES NTE'!$E$5:$E$31,),2,0),"-")</f>
        <v>-</v>
      </c>
    </row>
    <row r="560" spans="1:15" x14ac:dyDescent="0.25">
      <c r="A560" s="10">
        <v>558</v>
      </c>
      <c r="B560" s="11">
        <v>20</v>
      </c>
      <c r="C560" s="11" t="s">
        <v>50</v>
      </c>
      <c r="D560" s="11">
        <v>1165358</v>
      </c>
      <c r="E560" s="11">
        <v>29279151</v>
      </c>
      <c r="F560" s="12" t="s">
        <v>2058</v>
      </c>
      <c r="G560" s="11" t="s">
        <v>2059</v>
      </c>
      <c r="H560" t="s">
        <v>2060</v>
      </c>
      <c r="I560" s="13">
        <v>91000858553</v>
      </c>
      <c r="J560" s="14">
        <v>32322</v>
      </c>
      <c r="K560" s="14">
        <v>32322</v>
      </c>
      <c r="L560" s="10" t="s">
        <v>27</v>
      </c>
      <c r="M560" s="14">
        <v>0</v>
      </c>
      <c r="N560" s="15">
        <v>0</v>
      </c>
      <c r="O560" t="str">
        <f>IFERROR(VLOOKUP($I560,CHOOSE({1,2},'[1]DIRETORES NTE'!$H$5:$H$31,'[1]DIRETORES NTE'!$E$5:$E$31,),2,0),"-")</f>
        <v>-</v>
      </c>
    </row>
    <row r="561" spans="1:15" x14ac:dyDescent="0.25">
      <c r="A561" s="10">
        <v>559</v>
      </c>
      <c r="B561" s="11">
        <v>6</v>
      </c>
      <c r="C561" s="11" t="s">
        <v>81</v>
      </c>
      <c r="D561" s="11">
        <v>1110111</v>
      </c>
      <c r="E561" s="11">
        <v>29299063</v>
      </c>
      <c r="F561" s="12" t="s">
        <v>2061</v>
      </c>
      <c r="G561" s="11" t="s">
        <v>2062</v>
      </c>
      <c r="H561" t="s">
        <v>2063</v>
      </c>
      <c r="I561" s="13">
        <v>56102690591</v>
      </c>
      <c r="J561" s="14">
        <v>10950</v>
      </c>
      <c r="K561" s="14">
        <v>10950</v>
      </c>
      <c r="L561" s="10" t="s">
        <v>49</v>
      </c>
      <c r="M561" s="14">
        <v>0</v>
      </c>
      <c r="N561" s="15">
        <v>0</v>
      </c>
      <c r="O561" t="str">
        <f>IFERROR(VLOOKUP($I561,CHOOSE({1,2},'[1]DIRETORES NTE'!$H$5:$H$31,'[1]DIRETORES NTE'!$E$5:$E$31,),2,0),"-")</f>
        <v>-</v>
      </c>
    </row>
    <row r="562" spans="1:15" x14ac:dyDescent="0.25">
      <c r="A562" s="10">
        <v>560</v>
      </c>
      <c r="B562" s="11">
        <v>14</v>
      </c>
      <c r="C562" s="11" t="s">
        <v>884</v>
      </c>
      <c r="D562" s="11">
        <v>1123434</v>
      </c>
      <c r="E562" s="11">
        <v>29083354</v>
      </c>
      <c r="F562" s="12" t="s">
        <v>2064</v>
      </c>
      <c r="G562" s="11" t="s">
        <v>2065</v>
      </c>
      <c r="H562" t="s">
        <v>2066</v>
      </c>
      <c r="I562" s="13">
        <v>93577796553</v>
      </c>
      <c r="J562" s="14">
        <v>12734</v>
      </c>
      <c r="K562" s="14">
        <v>12734</v>
      </c>
      <c r="L562" s="10" t="s">
        <v>147</v>
      </c>
      <c r="M562" s="14">
        <v>0</v>
      </c>
      <c r="N562" s="15">
        <v>0</v>
      </c>
      <c r="O562" t="str">
        <f>IFERROR(VLOOKUP($I562,CHOOSE({1,2},'[1]DIRETORES NTE'!$H$5:$H$31,'[1]DIRETORES NTE'!$E$5:$E$31,),2,0),"-")</f>
        <v>-</v>
      </c>
    </row>
    <row r="563" spans="1:15" x14ac:dyDescent="0.25">
      <c r="A563" s="10">
        <v>561</v>
      </c>
      <c r="B563" s="11">
        <v>1</v>
      </c>
      <c r="C563" s="11" t="s">
        <v>652</v>
      </c>
      <c r="D563" s="11">
        <v>1162480</v>
      </c>
      <c r="E563" s="11">
        <v>29065356</v>
      </c>
      <c r="F563" s="12" t="s">
        <v>2067</v>
      </c>
      <c r="G563" s="11" t="s">
        <v>2068</v>
      </c>
      <c r="H563" t="s">
        <v>2069</v>
      </c>
      <c r="I563" s="13">
        <v>62267370506</v>
      </c>
      <c r="J563" s="14">
        <v>18484</v>
      </c>
      <c r="K563" s="14">
        <v>18484</v>
      </c>
      <c r="L563" s="10" t="s">
        <v>356</v>
      </c>
      <c r="M563" s="14">
        <v>0</v>
      </c>
      <c r="N563" s="15">
        <v>0</v>
      </c>
      <c r="O563" t="str">
        <f>IFERROR(VLOOKUP($I563,CHOOSE({1,2},'[1]DIRETORES NTE'!$H$5:$H$31,'[1]DIRETORES NTE'!$E$5:$E$31,),2,0),"-")</f>
        <v>-</v>
      </c>
    </row>
    <row r="564" spans="1:15" x14ac:dyDescent="0.25">
      <c r="A564" s="10">
        <v>562</v>
      </c>
      <c r="B564" s="11">
        <v>19</v>
      </c>
      <c r="C564" s="11" t="s">
        <v>331</v>
      </c>
      <c r="D564" s="11">
        <v>1106106</v>
      </c>
      <c r="E564" s="11">
        <v>29097541</v>
      </c>
      <c r="F564" s="12" t="s">
        <v>2070</v>
      </c>
      <c r="G564" s="11" t="s">
        <v>2071</v>
      </c>
      <c r="H564" t="s">
        <v>2072</v>
      </c>
      <c r="I564" s="13">
        <v>38539080559</v>
      </c>
      <c r="J564" s="14">
        <v>6430</v>
      </c>
      <c r="K564" s="14">
        <v>3856.73</v>
      </c>
      <c r="L564" s="10" t="s">
        <v>336</v>
      </c>
      <c r="M564" s="14">
        <v>2573.27</v>
      </c>
      <c r="N564" s="15">
        <v>0.40019751166407463</v>
      </c>
      <c r="O564" t="str">
        <f>IFERROR(VLOOKUP($I564,CHOOSE({1,2},'[1]DIRETORES NTE'!$H$5:$H$31,'[1]DIRETORES NTE'!$E$5:$E$31,),2,0),"-")</f>
        <v>-</v>
      </c>
    </row>
    <row r="565" spans="1:15" x14ac:dyDescent="0.25">
      <c r="A565" s="10">
        <v>563</v>
      </c>
      <c r="B565" s="11">
        <v>15</v>
      </c>
      <c r="C565" s="11" t="s">
        <v>276</v>
      </c>
      <c r="D565" s="11">
        <v>1107684</v>
      </c>
      <c r="E565" s="11">
        <v>29110866</v>
      </c>
      <c r="F565" s="12" t="s">
        <v>2073</v>
      </c>
      <c r="G565" s="11" t="s">
        <v>2074</v>
      </c>
      <c r="H565" t="s">
        <v>2075</v>
      </c>
      <c r="I565" s="13">
        <v>91899125515</v>
      </c>
      <c r="J565" s="14">
        <v>11006</v>
      </c>
      <c r="K565" s="14">
        <v>11006</v>
      </c>
      <c r="L565" s="10" t="s">
        <v>280</v>
      </c>
      <c r="M565" s="14">
        <v>0</v>
      </c>
      <c r="N565" s="15">
        <v>0</v>
      </c>
      <c r="O565" t="str">
        <f>IFERROR(VLOOKUP($I565,CHOOSE({1,2},'[1]DIRETORES NTE'!$H$5:$H$31,'[1]DIRETORES NTE'!$E$5:$E$31,),2,0),"-")</f>
        <v>-</v>
      </c>
    </row>
    <row r="566" spans="1:15" x14ac:dyDescent="0.25">
      <c r="A566" s="10">
        <v>564</v>
      </c>
      <c r="B566" s="11">
        <v>10</v>
      </c>
      <c r="C566" s="11" t="s">
        <v>824</v>
      </c>
      <c r="D566" s="11">
        <v>1121342</v>
      </c>
      <c r="E566" s="11">
        <v>29031265</v>
      </c>
      <c r="F566" s="12" t="s">
        <v>2076</v>
      </c>
      <c r="G566" s="11" t="s">
        <v>2077</v>
      </c>
      <c r="H566" t="s">
        <v>2078</v>
      </c>
      <c r="I566" s="13">
        <v>92567185534</v>
      </c>
      <c r="J566" s="14">
        <v>18967</v>
      </c>
      <c r="K566" s="14">
        <v>18967</v>
      </c>
      <c r="L566" s="10" t="s">
        <v>21</v>
      </c>
      <c r="M566" s="14">
        <v>0</v>
      </c>
      <c r="N566" s="15">
        <v>0</v>
      </c>
      <c r="O566" t="str">
        <f>IFERROR(VLOOKUP($I566,CHOOSE({1,2},'[1]DIRETORES NTE'!$H$5:$H$31,'[1]DIRETORES NTE'!$E$5:$E$31,),2,0),"-")</f>
        <v>-</v>
      </c>
    </row>
    <row r="567" spans="1:15" x14ac:dyDescent="0.25">
      <c r="A567" s="10">
        <v>565</v>
      </c>
      <c r="B567" s="11">
        <v>9</v>
      </c>
      <c r="C567" s="11" t="s">
        <v>2079</v>
      </c>
      <c r="D567" s="11">
        <v>1110529</v>
      </c>
      <c r="E567" s="11">
        <v>29236550</v>
      </c>
      <c r="F567" s="12" t="s">
        <v>2080</v>
      </c>
      <c r="G567" s="11" t="s">
        <v>2081</v>
      </c>
      <c r="H567" t="s">
        <v>2082</v>
      </c>
      <c r="I567" s="13">
        <v>63795582504</v>
      </c>
      <c r="J567" s="14">
        <v>10528</v>
      </c>
      <c r="K567" s="14">
        <v>10528</v>
      </c>
      <c r="L567" s="10" t="s">
        <v>167</v>
      </c>
      <c r="M567" s="14">
        <v>0</v>
      </c>
      <c r="N567" s="15">
        <v>0</v>
      </c>
      <c r="O567" t="str">
        <f>IFERROR(VLOOKUP($I567,CHOOSE({1,2},'[1]DIRETORES NTE'!$H$5:$H$31,'[1]DIRETORES NTE'!$E$5:$E$31,),2,0),"-")</f>
        <v>-</v>
      </c>
    </row>
    <row r="568" spans="1:15" x14ac:dyDescent="0.25">
      <c r="A568" s="10">
        <v>566</v>
      </c>
      <c r="B568" s="11">
        <v>26</v>
      </c>
      <c r="C568" s="11" t="s">
        <v>95</v>
      </c>
      <c r="D568" s="11">
        <v>1104219</v>
      </c>
      <c r="E568" s="11">
        <v>29187095</v>
      </c>
      <c r="F568" s="12" t="s">
        <v>2083</v>
      </c>
      <c r="G568" s="11" t="s">
        <v>2084</v>
      </c>
      <c r="H568" t="s">
        <v>2085</v>
      </c>
      <c r="I568" s="13" t="s">
        <v>2086</v>
      </c>
      <c r="J568" s="14">
        <v>2494</v>
      </c>
      <c r="K568" s="14">
        <v>2494</v>
      </c>
      <c r="L568" s="10" t="s">
        <v>99</v>
      </c>
      <c r="M568" s="14">
        <v>0</v>
      </c>
      <c r="N568" s="15">
        <v>0</v>
      </c>
      <c r="O568" t="str">
        <f>IFERROR(VLOOKUP($I568,CHOOSE({1,2},'[1]DIRETORES NTE'!$H$5:$H$31,'[1]DIRETORES NTE'!$E$5:$E$31,),2,0),"-")</f>
        <v>-</v>
      </c>
    </row>
    <row r="569" spans="1:15" x14ac:dyDescent="0.25">
      <c r="A569" s="10">
        <v>567</v>
      </c>
      <c r="B569" s="11">
        <v>5</v>
      </c>
      <c r="C569" s="11" t="s">
        <v>40</v>
      </c>
      <c r="D569" s="11">
        <v>1179622</v>
      </c>
      <c r="E569" s="11">
        <v>29473160</v>
      </c>
      <c r="F569" s="12" t="s">
        <v>2087</v>
      </c>
      <c r="G569" s="11" t="s">
        <v>2088</v>
      </c>
      <c r="H569" t="s">
        <v>2089</v>
      </c>
      <c r="I569" s="13">
        <v>51849984549</v>
      </c>
      <c r="J569" s="14">
        <v>4072</v>
      </c>
      <c r="K569" s="14">
        <v>4072</v>
      </c>
      <c r="L569" s="10" t="s">
        <v>44</v>
      </c>
      <c r="M569" s="14">
        <v>0</v>
      </c>
      <c r="N569" s="15">
        <v>0</v>
      </c>
      <c r="O569" t="str">
        <f>IFERROR(VLOOKUP($I569,CHOOSE({1,2},'[1]DIRETORES NTE'!$H$5:$H$31,'[1]DIRETORES NTE'!$E$5:$E$31,),2,0),"-")</f>
        <v>-</v>
      </c>
    </row>
    <row r="570" spans="1:15" x14ac:dyDescent="0.25">
      <c r="A570" s="10">
        <v>568</v>
      </c>
      <c r="B570" s="11">
        <v>11</v>
      </c>
      <c r="C570" s="11" t="s">
        <v>2090</v>
      </c>
      <c r="D570" s="11">
        <v>1129980</v>
      </c>
      <c r="E570" s="11">
        <v>29002427</v>
      </c>
      <c r="F570" s="12" t="s">
        <v>2091</v>
      </c>
      <c r="G570" s="11" t="s">
        <v>2092</v>
      </c>
      <c r="H570" t="s">
        <v>2093</v>
      </c>
      <c r="I570" s="13" t="s">
        <v>2094</v>
      </c>
      <c r="J570" s="14">
        <v>2592</v>
      </c>
      <c r="K570" s="14">
        <v>2592</v>
      </c>
      <c r="L570" s="10" t="s">
        <v>39</v>
      </c>
      <c r="M570" s="14">
        <v>0</v>
      </c>
      <c r="N570" s="15">
        <v>0</v>
      </c>
      <c r="O570" t="str">
        <f>IFERROR(VLOOKUP($I570,CHOOSE({1,2},'[1]DIRETORES NTE'!$H$5:$H$31,'[1]DIRETORES NTE'!$E$5:$E$31,),2,0),"-")</f>
        <v>-</v>
      </c>
    </row>
    <row r="571" spans="1:15" x14ac:dyDescent="0.25">
      <c r="A571" s="10">
        <v>569</v>
      </c>
      <c r="B571" s="11">
        <v>8</v>
      </c>
      <c r="C571" s="11" t="s">
        <v>2095</v>
      </c>
      <c r="D571" s="11">
        <v>1178270</v>
      </c>
      <c r="E571" s="11">
        <v>29466008</v>
      </c>
      <c r="F571" s="12" t="s">
        <v>2096</v>
      </c>
      <c r="G571" s="11" t="s">
        <v>2097</v>
      </c>
      <c r="H571" t="s">
        <v>2098</v>
      </c>
      <c r="I571" s="13" t="s">
        <v>2099</v>
      </c>
      <c r="J571" s="14">
        <v>3614</v>
      </c>
      <c r="K571" s="14">
        <v>3614</v>
      </c>
      <c r="L571" s="10" t="s">
        <v>285</v>
      </c>
      <c r="M571" s="14">
        <v>0</v>
      </c>
      <c r="N571" s="15">
        <v>0</v>
      </c>
      <c r="O571" t="str">
        <f>IFERROR(VLOOKUP($I571,CHOOSE({1,2},'[1]DIRETORES NTE'!$H$5:$H$31,'[1]DIRETORES NTE'!$E$5:$E$31,),2,0),"-")</f>
        <v>-</v>
      </c>
    </row>
    <row r="572" spans="1:15" x14ac:dyDescent="0.25">
      <c r="A572" s="10">
        <v>570</v>
      </c>
      <c r="B572" s="11">
        <v>10</v>
      </c>
      <c r="C572" s="11" t="s">
        <v>180</v>
      </c>
      <c r="D572" s="11">
        <v>1179687</v>
      </c>
      <c r="E572" s="11">
        <v>29477441</v>
      </c>
      <c r="F572" s="12" t="s">
        <v>2100</v>
      </c>
      <c r="G572" s="11" t="s">
        <v>2101</v>
      </c>
      <c r="H572" t="s">
        <v>2102</v>
      </c>
      <c r="I572" s="13">
        <v>96910585534</v>
      </c>
      <c r="J572" s="14">
        <v>29380</v>
      </c>
      <c r="K572" s="14">
        <v>29380</v>
      </c>
      <c r="L572" s="10" t="s">
        <v>21</v>
      </c>
      <c r="M572" s="14">
        <v>0</v>
      </c>
      <c r="N572" s="15">
        <v>0</v>
      </c>
      <c r="O572" t="str">
        <f>IFERROR(VLOOKUP($I572,CHOOSE({1,2},'[1]DIRETORES NTE'!$H$5:$H$31,'[1]DIRETORES NTE'!$E$5:$E$31,),2,0),"-")</f>
        <v>-</v>
      </c>
    </row>
    <row r="573" spans="1:15" x14ac:dyDescent="0.25">
      <c r="A573" s="10">
        <v>571</v>
      </c>
      <c r="B573" s="11">
        <v>26</v>
      </c>
      <c r="C573" s="11" t="s">
        <v>95</v>
      </c>
      <c r="D573" s="11">
        <v>1176391</v>
      </c>
      <c r="E573" s="11">
        <v>29357896</v>
      </c>
      <c r="F573" s="12" t="s">
        <v>2103</v>
      </c>
      <c r="G573" s="11" t="s">
        <v>2104</v>
      </c>
      <c r="H573" t="s">
        <v>2105</v>
      </c>
      <c r="I573" s="13">
        <v>56797761549</v>
      </c>
      <c r="J573" s="14">
        <v>11446</v>
      </c>
      <c r="K573" s="14">
        <v>2696.15</v>
      </c>
      <c r="L573" s="10" t="s">
        <v>99</v>
      </c>
      <c r="M573" s="14">
        <v>8749.85</v>
      </c>
      <c r="N573" s="15">
        <v>0.76444609470557401</v>
      </c>
      <c r="O573" t="str">
        <f>IFERROR(VLOOKUP($I573,CHOOSE({1,2},'[1]DIRETORES NTE'!$H$5:$H$31,'[1]DIRETORES NTE'!$E$5:$E$31,),2,0),"-")</f>
        <v>-</v>
      </c>
    </row>
    <row r="574" spans="1:15" x14ac:dyDescent="0.25">
      <c r="A574" s="10">
        <v>572</v>
      </c>
      <c r="B574" s="11">
        <v>24</v>
      </c>
      <c r="C574" s="11" t="s">
        <v>603</v>
      </c>
      <c r="D574" s="11">
        <v>1117779</v>
      </c>
      <c r="E574" s="11">
        <v>29035007</v>
      </c>
      <c r="F574" s="12" t="s">
        <v>2106</v>
      </c>
      <c r="G574" s="11" t="s">
        <v>2107</v>
      </c>
      <c r="H574" t="s">
        <v>2108</v>
      </c>
      <c r="I574" s="13">
        <v>51067080520</v>
      </c>
      <c r="J574" s="14">
        <v>15002</v>
      </c>
      <c r="K574" s="14">
        <v>15002</v>
      </c>
      <c r="L574" s="10" t="s">
        <v>266</v>
      </c>
      <c r="M574" s="14">
        <v>0</v>
      </c>
      <c r="N574" s="15">
        <v>0</v>
      </c>
      <c r="O574" t="str">
        <f>IFERROR(VLOOKUP($I574,CHOOSE({1,2},'[1]DIRETORES NTE'!$H$5:$H$31,'[1]DIRETORES NTE'!$E$5:$E$31,),2,0),"-")</f>
        <v>-</v>
      </c>
    </row>
    <row r="575" spans="1:15" x14ac:dyDescent="0.25">
      <c r="A575" s="10">
        <v>573</v>
      </c>
      <c r="B575" s="11">
        <v>26</v>
      </c>
      <c r="C575" s="11" t="s">
        <v>2109</v>
      </c>
      <c r="D575" s="11">
        <v>1101147</v>
      </c>
      <c r="E575" s="11">
        <v>29179220</v>
      </c>
      <c r="F575" s="12" t="s">
        <v>2110</v>
      </c>
      <c r="G575" s="11" t="s">
        <v>2111</v>
      </c>
      <c r="H575" t="s">
        <v>2112</v>
      </c>
      <c r="I575" s="13" t="s">
        <v>2113</v>
      </c>
      <c r="J575" s="14">
        <v>11503</v>
      </c>
      <c r="K575" s="14">
        <v>11503</v>
      </c>
      <c r="L575" s="10" t="s">
        <v>99</v>
      </c>
      <c r="M575" s="14">
        <v>0</v>
      </c>
      <c r="N575" s="15">
        <v>0</v>
      </c>
      <c r="O575" t="str">
        <f>IFERROR(VLOOKUP($I575,CHOOSE({1,2},'[1]DIRETORES NTE'!$H$5:$H$31,'[1]DIRETORES NTE'!$E$5:$E$31,),2,0),"-")</f>
        <v>-</v>
      </c>
    </row>
    <row r="576" spans="1:15" x14ac:dyDescent="0.25">
      <c r="A576" s="10">
        <v>574</v>
      </c>
      <c r="B576" s="11">
        <v>6</v>
      </c>
      <c r="C576" s="11" t="s">
        <v>45</v>
      </c>
      <c r="D576" s="11">
        <v>1178011</v>
      </c>
      <c r="E576" s="11">
        <v>29426502</v>
      </c>
      <c r="F576" s="12" t="s">
        <v>2114</v>
      </c>
      <c r="G576" s="11" t="s">
        <v>2115</v>
      </c>
      <c r="H576" t="s">
        <v>2116</v>
      </c>
      <c r="I576" s="13">
        <v>53921720168</v>
      </c>
      <c r="J576" s="14">
        <v>5090</v>
      </c>
      <c r="K576" s="14">
        <v>621.25</v>
      </c>
      <c r="L576" s="10" t="s">
        <v>49</v>
      </c>
      <c r="M576" s="14">
        <v>4468.75</v>
      </c>
      <c r="N576" s="15">
        <v>0.87794695481335949</v>
      </c>
      <c r="O576" t="str">
        <f>IFERROR(VLOOKUP($I576,CHOOSE({1,2},'[1]DIRETORES NTE'!$H$5:$H$31,'[1]DIRETORES NTE'!$E$5:$E$31,),2,0),"-")</f>
        <v>-</v>
      </c>
    </row>
    <row r="577" spans="1:15" x14ac:dyDescent="0.25">
      <c r="A577" s="10">
        <v>575</v>
      </c>
      <c r="B577" s="11">
        <v>19</v>
      </c>
      <c r="C577" s="11" t="s">
        <v>1720</v>
      </c>
      <c r="D577" s="11">
        <v>1107382</v>
      </c>
      <c r="E577" s="11">
        <v>29107466</v>
      </c>
      <c r="F577" s="12" t="s">
        <v>2117</v>
      </c>
      <c r="G577" s="11" t="s">
        <v>2118</v>
      </c>
      <c r="H577" t="s">
        <v>2119</v>
      </c>
      <c r="I577" s="13">
        <v>85988561500</v>
      </c>
      <c r="J577" s="14">
        <v>7932</v>
      </c>
      <c r="K577" s="14">
        <v>7932</v>
      </c>
      <c r="L577" s="10" t="s">
        <v>336</v>
      </c>
      <c r="M577" s="14">
        <v>0</v>
      </c>
      <c r="N577" s="15">
        <v>0</v>
      </c>
      <c r="O577" t="str">
        <f>IFERROR(VLOOKUP($I577,CHOOSE({1,2},'[1]DIRETORES NTE'!$H$5:$H$31,'[1]DIRETORES NTE'!$E$5:$E$31,),2,0),"-")</f>
        <v>-</v>
      </c>
    </row>
    <row r="578" spans="1:15" x14ac:dyDescent="0.25">
      <c r="A578" s="10">
        <v>576</v>
      </c>
      <c r="B578" s="11">
        <v>3</v>
      </c>
      <c r="C578" s="11" t="s">
        <v>128</v>
      </c>
      <c r="D578" s="11">
        <v>1179283</v>
      </c>
      <c r="E578" s="11">
        <v>29461502</v>
      </c>
      <c r="F578" s="12" t="s">
        <v>2120</v>
      </c>
      <c r="G578" s="11" t="s">
        <v>2121</v>
      </c>
      <c r="H578" t="s">
        <v>2122</v>
      </c>
      <c r="I578" s="13">
        <v>90020740182</v>
      </c>
      <c r="J578" s="14">
        <v>8630</v>
      </c>
      <c r="K578" s="14">
        <v>8630</v>
      </c>
      <c r="L578" s="10" t="s">
        <v>117</v>
      </c>
      <c r="M578" s="14">
        <v>0</v>
      </c>
      <c r="N578" s="15">
        <v>0</v>
      </c>
      <c r="O578" t="str">
        <f>IFERROR(VLOOKUP($I578,CHOOSE({1,2},'[1]DIRETORES NTE'!$H$5:$H$31,'[1]DIRETORES NTE'!$E$5:$E$31,),2,0),"-")</f>
        <v>-</v>
      </c>
    </row>
    <row r="579" spans="1:15" x14ac:dyDescent="0.25">
      <c r="A579" s="10">
        <v>577</v>
      </c>
      <c r="B579" s="11" t="s">
        <v>237</v>
      </c>
      <c r="C579" s="11" t="s">
        <v>237</v>
      </c>
      <c r="D579" s="11" t="s">
        <v>237</v>
      </c>
      <c r="E579" s="11" t="s">
        <v>237</v>
      </c>
      <c r="F579" s="12" t="s">
        <v>237</v>
      </c>
      <c r="G579" s="11" t="s">
        <v>237</v>
      </c>
      <c r="H579" t="s">
        <v>2123</v>
      </c>
      <c r="I579" s="13" t="s">
        <v>2124</v>
      </c>
      <c r="J579" s="14">
        <v>0</v>
      </c>
      <c r="K579" s="14">
        <v>0</v>
      </c>
      <c r="L579" s="10" t="s">
        <v>44</v>
      </c>
      <c r="M579" s="14">
        <v>0</v>
      </c>
      <c r="N579" s="15" t="e">
        <v>#DIV/0!</v>
      </c>
      <c r="O579" t="str">
        <f>IFERROR(VLOOKUP($I579,CHOOSE({1,2},'[1]DIRETORES NTE'!$H$5:$H$31,'[1]DIRETORES NTE'!$E$5:$E$31,),2,0),"-")</f>
        <v>LARISSA COSTA MELO (DIRETOR DE NTE)</v>
      </c>
    </row>
    <row r="580" spans="1:15" x14ac:dyDescent="0.25">
      <c r="A580" s="10">
        <v>578</v>
      </c>
      <c r="B580" s="11">
        <v>4</v>
      </c>
      <c r="C580" s="11" t="s">
        <v>675</v>
      </c>
      <c r="D580" s="11">
        <v>1178235</v>
      </c>
      <c r="E580" s="11">
        <v>29372895</v>
      </c>
      <c r="F580" s="12" t="s">
        <v>2125</v>
      </c>
      <c r="G580" s="11" t="s">
        <v>2126</v>
      </c>
      <c r="H580" t="s">
        <v>2127</v>
      </c>
      <c r="I580" s="13" t="s">
        <v>2128</v>
      </c>
      <c r="J580" s="14">
        <v>4677</v>
      </c>
      <c r="K580" s="14">
        <v>4677</v>
      </c>
      <c r="L580" s="10" t="s">
        <v>58</v>
      </c>
      <c r="M580" s="14">
        <v>0</v>
      </c>
      <c r="N580" s="15">
        <v>0</v>
      </c>
      <c r="O580" t="str">
        <f>IFERROR(VLOOKUP($I580,CHOOSE({1,2},'[1]DIRETORES NTE'!$H$5:$H$31,'[1]DIRETORES NTE'!$E$5:$E$31,),2,0),"-")</f>
        <v>-</v>
      </c>
    </row>
    <row r="581" spans="1:15" x14ac:dyDescent="0.25">
      <c r="A581" s="10">
        <v>579</v>
      </c>
      <c r="B581" s="11">
        <v>26</v>
      </c>
      <c r="C581" s="11" t="s">
        <v>95</v>
      </c>
      <c r="D581" s="11">
        <v>1176071</v>
      </c>
      <c r="E581" s="11">
        <v>29192331</v>
      </c>
      <c r="F581" s="12" t="s">
        <v>2129</v>
      </c>
      <c r="G581" s="11" t="s">
        <v>2130</v>
      </c>
      <c r="H581" t="s">
        <v>2131</v>
      </c>
      <c r="I581" s="13">
        <v>51403765553</v>
      </c>
      <c r="J581" s="14">
        <v>16543</v>
      </c>
      <c r="K581" s="14">
        <v>16543</v>
      </c>
      <c r="L581" s="10" t="s">
        <v>99</v>
      </c>
      <c r="M581" s="14">
        <v>0</v>
      </c>
      <c r="N581" s="15">
        <v>0</v>
      </c>
      <c r="O581" t="str">
        <f>IFERROR(VLOOKUP($I581,CHOOSE({1,2},'[1]DIRETORES NTE'!$H$5:$H$31,'[1]DIRETORES NTE'!$E$5:$E$31,),2,0),"-")</f>
        <v>-</v>
      </c>
    </row>
    <row r="582" spans="1:15" x14ac:dyDescent="0.25">
      <c r="A582" s="10">
        <v>580</v>
      </c>
      <c r="B582" s="11">
        <v>13</v>
      </c>
      <c r="C582" s="11" t="s">
        <v>28</v>
      </c>
      <c r="D582" s="11">
        <v>1178173</v>
      </c>
      <c r="E582" s="11">
        <v>29442095</v>
      </c>
      <c r="F582" s="12" t="s">
        <v>2132</v>
      </c>
      <c r="G582" s="11" t="s">
        <v>2133</v>
      </c>
      <c r="H582" t="s">
        <v>2134</v>
      </c>
      <c r="I582" s="13">
        <v>79910017504</v>
      </c>
      <c r="J582" s="14">
        <v>3581</v>
      </c>
      <c r="K582" s="14">
        <v>3581</v>
      </c>
      <c r="L582" s="10" t="s">
        <v>33</v>
      </c>
      <c r="M582" s="14">
        <v>0</v>
      </c>
      <c r="N582" s="15">
        <v>0</v>
      </c>
      <c r="O582" t="str">
        <f>IFERROR(VLOOKUP($I582,CHOOSE({1,2},'[1]DIRETORES NTE'!$H$5:$H$31,'[1]DIRETORES NTE'!$E$5:$E$31,),2,0),"-")</f>
        <v>-</v>
      </c>
    </row>
    <row r="583" spans="1:15" x14ac:dyDescent="0.25">
      <c r="A583" s="10">
        <v>581</v>
      </c>
      <c r="B583" s="11">
        <v>5</v>
      </c>
      <c r="C583" s="11" t="s">
        <v>1557</v>
      </c>
      <c r="D583" s="11">
        <v>1179595</v>
      </c>
      <c r="E583" s="11">
        <v>29470358</v>
      </c>
      <c r="F583" s="12" t="s">
        <v>2135</v>
      </c>
      <c r="G583" s="11" t="s">
        <v>2136</v>
      </c>
      <c r="H583" t="s">
        <v>2137</v>
      </c>
      <c r="I583" s="13" t="s">
        <v>2138</v>
      </c>
      <c r="J583" s="14">
        <v>6246</v>
      </c>
      <c r="K583" s="14">
        <v>6246</v>
      </c>
      <c r="L583" s="10" t="s">
        <v>44</v>
      </c>
      <c r="M583" s="14">
        <v>0</v>
      </c>
      <c r="N583" s="15">
        <v>0</v>
      </c>
      <c r="O583" t="str">
        <f>IFERROR(VLOOKUP($I583,CHOOSE({1,2},'[1]DIRETORES NTE'!$H$5:$H$31,'[1]DIRETORES NTE'!$E$5:$E$31,),2,0),"-")</f>
        <v>-</v>
      </c>
    </row>
    <row r="584" spans="1:15" x14ac:dyDescent="0.25">
      <c r="A584" s="10">
        <v>582</v>
      </c>
      <c r="B584" s="11">
        <v>19</v>
      </c>
      <c r="C584" s="11" t="s">
        <v>331</v>
      </c>
      <c r="D584" s="11">
        <v>1105959</v>
      </c>
      <c r="E584" s="11">
        <v>29096243</v>
      </c>
      <c r="F584" s="12" t="s">
        <v>2139</v>
      </c>
      <c r="G584" s="11" t="s">
        <v>2140</v>
      </c>
      <c r="H584" t="s">
        <v>2141</v>
      </c>
      <c r="I584" s="13">
        <v>80818471549</v>
      </c>
      <c r="J584" s="14">
        <v>38441</v>
      </c>
      <c r="K584" s="14">
        <v>38441</v>
      </c>
      <c r="L584" s="10" t="s">
        <v>336</v>
      </c>
      <c r="M584" s="14">
        <v>0</v>
      </c>
      <c r="N584" s="15">
        <v>0</v>
      </c>
      <c r="O584" t="str">
        <f>IFERROR(VLOOKUP($I584,CHOOSE({1,2},'[1]DIRETORES NTE'!$H$5:$H$31,'[1]DIRETORES NTE'!$E$5:$E$31,),2,0),"-")</f>
        <v>-</v>
      </c>
    </row>
    <row r="585" spans="1:15" x14ac:dyDescent="0.25">
      <c r="A585" s="10">
        <v>583</v>
      </c>
      <c r="B585" s="11">
        <v>1</v>
      </c>
      <c r="C585" s="11" t="s">
        <v>2142</v>
      </c>
      <c r="D585" s="11">
        <v>1137583</v>
      </c>
      <c r="E585" s="11">
        <v>29060206</v>
      </c>
      <c r="F585" s="12" t="s">
        <v>2143</v>
      </c>
      <c r="G585" s="11" t="s">
        <v>2144</v>
      </c>
      <c r="H585" t="s">
        <v>2145</v>
      </c>
      <c r="I585" s="13" t="s">
        <v>2146</v>
      </c>
      <c r="J585" s="14">
        <v>4473</v>
      </c>
      <c r="K585" s="14">
        <v>4473</v>
      </c>
      <c r="L585" s="10" t="s">
        <v>356</v>
      </c>
      <c r="M585" s="14">
        <v>0</v>
      </c>
      <c r="N585" s="15">
        <v>0</v>
      </c>
      <c r="O585" t="str">
        <f>IFERROR(VLOOKUP($I585,CHOOSE({1,2},'[1]DIRETORES NTE'!$H$5:$H$31,'[1]DIRETORES NTE'!$E$5:$E$31,),2,0),"-")</f>
        <v>-</v>
      </c>
    </row>
    <row r="586" spans="1:15" x14ac:dyDescent="0.25">
      <c r="A586" s="10">
        <v>584</v>
      </c>
      <c r="B586" s="11">
        <v>10</v>
      </c>
      <c r="C586" s="11" t="s">
        <v>16</v>
      </c>
      <c r="D586" s="11">
        <v>1161085</v>
      </c>
      <c r="E586" s="11">
        <v>29024641</v>
      </c>
      <c r="F586" s="12" t="s">
        <v>2147</v>
      </c>
      <c r="G586" s="11" t="s">
        <v>2148</v>
      </c>
      <c r="H586" t="s">
        <v>2149</v>
      </c>
      <c r="I586" s="13">
        <v>63876825504</v>
      </c>
      <c r="J586" s="14">
        <v>12597</v>
      </c>
      <c r="K586" s="14">
        <v>12597</v>
      </c>
      <c r="L586" s="10" t="s">
        <v>21</v>
      </c>
      <c r="M586" s="14">
        <v>0</v>
      </c>
      <c r="N586" s="15">
        <v>0</v>
      </c>
      <c r="O586" t="str">
        <f>IFERROR(VLOOKUP($I586,CHOOSE({1,2},'[1]DIRETORES NTE'!$H$5:$H$31,'[1]DIRETORES NTE'!$E$5:$E$31,),2,0),"-")</f>
        <v>-</v>
      </c>
    </row>
    <row r="587" spans="1:15" x14ac:dyDescent="0.25">
      <c r="A587" s="10">
        <v>585</v>
      </c>
      <c r="B587" s="11">
        <v>16</v>
      </c>
      <c r="C587" s="11" t="s">
        <v>2150</v>
      </c>
      <c r="D587" s="11">
        <v>1179205</v>
      </c>
      <c r="E587" s="11">
        <v>29441609</v>
      </c>
      <c r="F587" s="12" t="s">
        <v>2151</v>
      </c>
      <c r="G587" s="11" t="s">
        <v>2152</v>
      </c>
      <c r="H587" t="s">
        <v>2153</v>
      </c>
      <c r="I587" s="13">
        <v>85634484553</v>
      </c>
      <c r="J587" s="14">
        <v>13405</v>
      </c>
      <c r="K587" s="14">
        <v>13405</v>
      </c>
      <c r="L587" s="10" t="s">
        <v>74</v>
      </c>
      <c r="M587" s="14">
        <v>0</v>
      </c>
      <c r="N587" s="15">
        <v>0</v>
      </c>
      <c r="O587" t="str">
        <f>IFERROR(VLOOKUP($I587,CHOOSE({1,2},'[1]DIRETORES NTE'!$H$5:$H$31,'[1]DIRETORES NTE'!$E$5:$E$31,),2,0),"-")</f>
        <v>-</v>
      </c>
    </row>
    <row r="588" spans="1:15" x14ac:dyDescent="0.25">
      <c r="A588" s="10">
        <v>586</v>
      </c>
      <c r="B588" s="11">
        <v>6</v>
      </c>
      <c r="C588" s="11" t="s">
        <v>2154</v>
      </c>
      <c r="D588" s="11">
        <v>1110685</v>
      </c>
      <c r="E588" s="11">
        <v>29317134</v>
      </c>
      <c r="F588" s="12" t="s">
        <v>2155</v>
      </c>
      <c r="G588" s="11" t="s">
        <v>2156</v>
      </c>
      <c r="H588" t="s">
        <v>2157</v>
      </c>
      <c r="I588" s="13">
        <v>78273358534</v>
      </c>
      <c r="J588" s="14">
        <v>10241</v>
      </c>
      <c r="K588" s="14">
        <v>10241</v>
      </c>
      <c r="L588" s="10" t="s">
        <v>49</v>
      </c>
      <c r="M588" s="14">
        <v>0</v>
      </c>
      <c r="N588" s="15">
        <v>0</v>
      </c>
      <c r="O588" t="str">
        <f>IFERROR(VLOOKUP($I588,CHOOSE({1,2},'[1]DIRETORES NTE'!$H$5:$H$31,'[1]DIRETORES NTE'!$E$5:$E$31,),2,0),"-")</f>
        <v>-</v>
      </c>
    </row>
    <row r="589" spans="1:15" x14ac:dyDescent="0.25">
      <c r="A589" s="10">
        <v>587</v>
      </c>
      <c r="B589" s="11">
        <v>26</v>
      </c>
      <c r="C589" s="11" t="s">
        <v>95</v>
      </c>
      <c r="D589" s="11">
        <v>1104537</v>
      </c>
      <c r="E589" s="11">
        <v>29191149</v>
      </c>
      <c r="F589" s="12" t="s">
        <v>2158</v>
      </c>
      <c r="G589" s="11" t="s">
        <v>2159</v>
      </c>
      <c r="H589" t="s">
        <v>2160</v>
      </c>
      <c r="I589" s="13">
        <v>38851407568</v>
      </c>
      <c r="J589" s="14">
        <v>11611</v>
      </c>
      <c r="K589" s="14">
        <v>2.9</v>
      </c>
      <c r="L589" s="10" t="s">
        <v>99</v>
      </c>
      <c r="M589" s="14">
        <v>11608.1</v>
      </c>
      <c r="N589" s="15">
        <v>0.9997502368443717</v>
      </c>
      <c r="O589" t="str">
        <f>IFERROR(VLOOKUP($I589,CHOOSE({1,2},'[1]DIRETORES NTE'!$H$5:$H$31,'[1]DIRETORES NTE'!$E$5:$E$31,),2,0),"-")</f>
        <v>-</v>
      </c>
    </row>
    <row r="590" spans="1:15" x14ac:dyDescent="0.25">
      <c r="A590" s="10">
        <v>588</v>
      </c>
      <c r="B590" s="11">
        <v>19</v>
      </c>
      <c r="C590" s="11" t="s">
        <v>331</v>
      </c>
      <c r="D590" s="11">
        <v>1105754</v>
      </c>
      <c r="E590" s="11">
        <v>29093457</v>
      </c>
      <c r="F590" s="12" t="s">
        <v>2161</v>
      </c>
      <c r="G590" s="11" t="s">
        <v>2162</v>
      </c>
      <c r="H590" t="s">
        <v>2163</v>
      </c>
      <c r="I590" s="13">
        <v>56270720591</v>
      </c>
      <c r="J590" s="14">
        <v>47204</v>
      </c>
      <c r="K590" s="14">
        <v>9840.93</v>
      </c>
      <c r="L590" s="10" t="s">
        <v>336</v>
      </c>
      <c r="M590" s="14">
        <v>37363.07</v>
      </c>
      <c r="N590" s="15">
        <v>0.79152338784848741</v>
      </c>
      <c r="O590" t="str">
        <f>IFERROR(VLOOKUP($I590,CHOOSE({1,2},'[1]DIRETORES NTE'!$H$5:$H$31,'[1]DIRETORES NTE'!$E$5:$E$31,),2,0),"-")</f>
        <v>-</v>
      </c>
    </row>
    <row r="591" spans="1:15" x14ac:dyDescent="0.25">
      <c r="A591" s="10">
        <v>589</v>
      </c>
      <c r="B591" s="11">
        <v>5</v>
      </c>
      <c r="C591" s="11" t="s">
        <v>1310</v>
      </c>
      <c r="D591" s="11">
        <v>1178110</v>
      </c>
      <c r="E591" s="11">
        <v>29433886</v>
      </c>
      <c r="F591" s="12" t="s">
        <v>2164</v>
      </c>
      <c r="G591" s="11" t="s">
        <v>2165</v>
      </c>
      <c r="H591" t="s">
        <v>2166</v>
      </c>
      <c r="I591" s="13">
        <v>41148266534</v>
      </c>
      <c r="J591" s="14">
        <v>15403</v>
      </c>
      <c r="K591" s="14">
        <v>15403</v>
      </c>
      <c r="L591" s="10" t="s">
        <v>44</v>
      </c>
      <c r="M591" s="14">
        <v>0</v>
      </c>
      <c r="N591" s="15">
        <v>0</v>
      </c>
      <c r="O591" t="str">
        <f>IFERROR(VLOOKUP($I591,CHOOSE({1,2},'[1]DIRETORES NTE'!$H$5:$H$31,'[1]DIRETORES NTE'!$E$5:$E$31,),2,0),"-")</f>
        <v>-</v>
      </c>
    </row>
    <row r="592" spans="1:15" x14ac:dyDescent="0.25">
      <c r="A592" s="10">
        <v>590</v>
      </c>
      <c r="B592" s="11">
        <v>14</v>
      </c>
      <c r="C592" s="11" t="s">
        <v>497</v>
      </c>
      <c r="D592" s="11">
        <v>1179112</v>
      </c>
      <c r="E592" s="11">
        <v>29450837</v>
      </c>
      <c r="F592" s="12" t="s">
        <v>2167</v>
      </c>
      <c r="G592" s="11" t="s">
        <v>2168</v>
      </c>
      <c r="H592" t="s">
        <v>2169</v>
      </c>
      <c r="I592" s="13" t="s">
        <v>2170</v>
      </c>
      <c r="J592" s="14">
        <v>1015</v>
      </c>
      <c r="K592" s="14">
        <v>1015</v>
      </c>
      <c r="L592" s="10" t="s">
        <v>147</v>
      </c>
      <c r="M592" s="14">
        <v>0</v>
      </c>
      <c r="N592" s="15">
        <v>0</v>
      </c>
      <c r="O592" t="str">
        <f>IFERROR(VLOOKUP($I592,CHOOSE({1,2},'[1]DIRETORES NTE'!$H$5:$H$31,'[1]DIRETORES NTE'!$E$5:$E$31,),2,0),"-")</f>
        <v>-</v>
      </c>
    </row>
    <row r="593" spans="1:15" x14ac:dyDescent="0.25">
      <c r="A593" s="10">
        <v>591</v>
      </c>
      <c r="B593" s="11">
        <v>12</v>
      </c>
      <c r="C593" s="11" t="s">
        <v>2171</v>
      </c>
      <c r="D593" s="11">
        <v>1127960</v>
      </c>
      <c r="E593" s="11">
        <v>29206545</v>
      </c>
      <c r="F593" s="12" t="s">
        <v>2172</v>
      </c>
      <c r="G593" s="11" t="s">
        <v>2173</v>
      </c>
      <c r="H593" t="s">
        <v>2174</v>
      </c>
      <c r="I593" s="13">
        <v>57063613553</v>
      </c>
      <c r="J593" s="14">
        <v>9431</v>
      </c>
      <c r="K593" s="14">
        <v>9431</v>
      </c>
      <c r="L593" s="10" t="s">
        <v>90</v>
      </c>
      <c r="M593" s="14">
        <v>0</v>
      </c>
      <c r="N593" s="15">
        <v>0</v>
      </c>
      <c r="O593" t="str">
        <f>IFERROR(VLOOKUP($I593,CHOOSE({1,2},'[1]DIRETORES NTE'!$H$5:$H$31,'[1]DIRETORES NTE'!$E$5:$E$31,),2,0),"-")</f>
        <v>-</v>
      </c>
    </row>
    <row r="594" spans="1:15" x14ac:dyDescent="0.25">
      <c r="A594" s="10">
        <v>592</v>
      </c>
      <c r="B594" s="11" t="s">
        <v>237</v>
      </c>
      <c r="C594" s="11" t="s">
        <v>237</v>
      </c>
      <c r="D594" s="11" t="s">
        <v>237</v>
      </c>
      <c r="E594" s="11" t="s">
        <v>237</v>
      </c>
      <c r="F594" s="12" t="s">
        <v>237</v>
      </c>
      <c r="G594" s="11" t="s">
        <v>237</v>
      </c>
      <c r="H594" t="s">
        <v>2175</v>
      </c>
      <c r="I594" s="13">
        <v>45665818534</v>
      </c>
      <c r="J594" s="14">
        <v>0</v>
      </c>
      <c r="K594" s="14">
        <v>0</v>
      </c>
      <c r="L594" s="10" t="s">
        <v>27</v>
      </c>
      <c r="M594" s="14">
        <v>0</v>
      </c>
      <c r="N594" s="15" t="e">
        <v>#DIV/0!</v>
      </c>
      <c r="O594" t="str">
        <f>IFERROR(VLOOKUP($I594,CHOOSE({1,2},'[1]DIRETORES NTE'!$H$5:$H$31,'[1]DIRETORES NTE'!$E$5:$E$31,),2,0),"-")</f>
        <v>LENIRA MARIA DE FIGUEIREDO SOUZA (DIRETOR DE NTE)</v>
      </c>
    </row>
    <row r="595" spans="1:15" x14ac:dyDescent="0.25">
      <c r="A595" s="10">
        <v>593</v>
      </c>
      <c r="B595" s="11">
        <v>17</v>
      </c>
      <c r="C595" s="11" t="s">
        <v>2176</v>
      </c>
      <c r="D595" s="11">
        <v>1114478</v>
      </c>
      <c r="E595" s="11">
        <v>29128366</v>
      </c>
      <c r="F595" s="12" t="s">
        <v>2177</v>
      </c>
      <c r="G595" s="11" t="s">
        <v>2178</v>
      </c>
      <c r="H595" t="s">
        <v>2179</v>
      </c>
      <c r="I595" s="13" t="s">
        <v>2180</v>
      </c>
      <c r="J595" s="14">
        <v>17065</v>
      </c>
      <c r="K595" s="14">
        <v>17065</v>
      </c>
      <c r="L595" s="10" t="s">
        <v>455</v>
      </c>
      <c r="M595" s="14">
        <v>0</v>
      </c>
      <c r="N595" s="15">
        <v>0</v>
      </c>
      <c r="O595" t="str">
        <f>IFERROR(VLOOKUP($I595,CHOOSE({1,2},'[1]DIRETORES NTE'!$H$5:$H$31,'[1]DIRETORES NTE'!$E$5:$E$31,),2,0),"-")</f>
        <v>-</v>
      </c>
    </row>
    <row r="596" spans="1:15" x14ac:dyDescent="0.25">
      <c r="A596" s="10">
        <v>594</v>
      </c>
      <c r="B596" s="11">
        <v>5</v>
      </c>
      <c r="C596" s="11" t="s">
        <v>40</v>
      </c>
      <c r="D596" s="11">
        <v>1178075</v>
      </c>
      <c r="E596" s="11">
        <v>29431298</v>
      </c>
      <c r="F596" s="12" t="s">
        <v>2181</v>
      </c>
      <c r="G596" s="11" t="s">
        <v>2182</v>
      </c>
      <c r="H596" t="s">
        <v>2183</v>
      </c>
      <c r="I596" s="13" t="s">
        <v>2184</v>
      </c>
      <c r="J596" s="14">
        <v>10186</v>
      </c>
      <c r="K596" s="14">
        <v>10186</v>
      </c>
      <c r="L596" s="10" t="s">
        <v>44</v>
      </c>
      <c r="M596" s="14">
        <v>0</v>
      </c>
      <c r="N596" s="15">
        <v>0</v>
      </c>
      <c r="O596" t="str">
        <f>IFERROR(VLOOKUP($I596,CHOOSE({1,2},'[1]DIRETORES NTE'!$H$5:$H$31,'[1]DIRETORES NTE'!$E$5:$E$31,),2,0),"-")</f>
        <v>-</v>
      </c>
    </row>
    <row r="597" spans="1:15" x14ac:dyDescent="0.25">
      <c r="A597" s="10">
        <v>595</v>
      </c>
      <c r="B597" s="11">
        <v>5</v>
      </c>
      <c r="C597" s="11" t="s">
        <v>2185</v>
      </c>
      <c r="D597" s="11">
        <v>1159617</v>
      </c>
      <c r="E597" s="11">
        <v>29311500</v>
      </c>
      <c r="F597" s="12" t="s">
        <v>2186</v>
      </c>
      <c r="G597" s="11" t="s">
        <v>2187</v>
      </c>
      <c r="H597" t="s">
        <v>2188</v>
      </c>
      <c r="I597" s="13">
        <v>12380112762</v>
      </c>
      <c r="J597" s="14">
        <v>6500</v>
      </c>
      <c r="K597" s="14">
        <v>6500</v>
      </c>
      <c r="L597" s="10" t="s">
        <v>44</v>
      </c>
      <c r="M597" s="14">
        <v>0</v>
      </c>
      <c r="N597" s="15">
        <v>0</v>
      </c>
      <c r="O597" t="str">
        <f>IFERROR(VLOOKUP($I597,CHOOSE({1,2},'[1]DIRETORES NTE'!$H$5:$H$31,'[1]DIRETORES NTE'!$E$5:$E$31,),2,0),"-")</f>
        <v>-</v>
      </c>
    </row>
    <row r="598" spans="1:15" x14ac:dyDescent="0.25">
      <c r="A598" s="10">
        <v>596</v>
      </c>
      <c r="B598" s="11">
        <v>26</v>
      </c>
      <c r="C598" s="11" t="s">
        <v>95</v>
      </c>
      <c r="D598" s="11">
        <v>1176389</v>
      </c>
      <c r="E598" s="11">
        <v>29437377</v>
      </c>
      <c r="F598" s="12" t="s">
        <v>2189</v>
      </c>
      <c r="G598" s="11" t="s">
        <v>2190</v>
      </c>
      <c r="H598" t="s">
        <v>2191</v>
      </c>
      <c r="I598" s="13">
        <v>35848154520</v>
      </c>
      <c r="J598" s="14">
        <v>16564</v>
      </c>
      <c r="K598" s="14">
        <v>16564</v>
      </c>
      <c r="L598" s="10" t="s">
        <v>99</v>
      </c>
      <c r="M598" s="14">
        <v>0</v>
      </c>
      <c r="N598" s="15">
        <v>0</v>
      </c>
      <c r="O598" t="str">
        <f>IFERROR(VLOOKUP($I598,CHOOSE({1,2},'[1]DIRETORES NTE'!$H$5:$H$31,'[1]DIRETORES NTE'!$E$5:$E$31,),2,0),"-")</f>
        <v>-</v>
      </c>
    </row>
    <row r="599" spans="1:15" x14ac:dyDescent="0.25">
      <c r="A599" s="10">
        <v>597</v>
      </c>
      <c r="B599" s="11">
        <v>7</v>
      </c>
      <c r="C599" s="11" t="s">
        <v>201</v>
      </c>
      <c r="D599" s="11">
        <v>1179368</v>
      </c>
      <c r="E599" s="11">
        <v>29464390</v>
      </c>
      <c r="F599" s="12" t="s">
        <v>2192</v>
      </c>
      <c r="G599" s="11" t="s">
        <v>2193</v>
      </c>
      <c r="H599" t="s">
        <v>2194</v>
      </c>
      <c r="I599" s="13">
        <v>78931355572</v>
      </c>
      <c r="J599" s="14">
        <v>4944</v>
      </c>
      <c r="K599" s="14">
        <v>4944</v>
      </c>
      <c r="L599" s="10" t="s">
        <v>153</v>
      </c>
      <c r="M599" s="14">
        <v>0</v>
      </c>
      <c r="N599" s="15">
        <v>0</v>
      </c>
      <c r="O599" t="str">
        <f>IFERROR(VLOOKUP($I599,CHOOSE({1,2},'[1]DIRETORES NTE'!$H$5:$H$31,'[1]DIRETORES NTE'!$E$5:$E$31,),2,0),"-")</f>
        <v>-</v>
      </c>
    </row>
    <row r="600" spans="1:15" x14ac:dyDescent="0.25">
      <c r="A600" s="10">
        <v>598</v>
      </c>
      <c r="B600" s="11">
        <v>20</v>
      </c>
      <c r="C600" s="11" t="s">
        <v>2195</v>
      </c>
      <c r="D600" s="11">
        <v>1128460</v>
      </c>
      <c r="E600" s="11">
        <v>29249104</v>
      </c>
      <c r="F600" s="12" t="s">
        <v>2196</v>
      </c>
      <c r="G600" s="11" t="s">
        <v>2197</v>
      </c>
      <c r="H600" t="s">
        <v>2198</v>
      </c>
      <c r="I600" s="13" t="s">
        <v>2199</v>
      </c>
      <c r="J600" s="14">
        <v>7942</v>
      </c>
      <c r="K600" s="14">
        <v>7942</v>
      </c>
      <c r="L600" s="10" t="s">
        <v>27</v>
      </c>
      <c r="M600" s="14">
        <v>0</v>
      </c>
      <c r="N600" s="15">
        <v>0</v>
      </c>
      <c r="O600" t="str">
        <f>IFERROR(VLOOKUP($I600,CHOOSE({1,2},'[1]DIRETORES NTE'!$H$5:$H$31,'[1]DIRETORES NTE'!$E$5:$E$31,),2,0),"-")</f>
        <v>-</v>
      </c>
    </row>
    <row r="601" spans="1:15" x14ac:dyDescent="0.25">
      <c r="A601" s="10">
        <v>599</v>
      </c>
      <c r="B601" s="11">
        <v>8</v>
      </c>
      <c r="C601" s="11" t="s">
        <v>2200</v>
      </c>
      <c r="D601" s="11">
        <v>1118872</v>
      </c>
      <c r="E601" s="11">
        <v>29284767</v>
      </c>
      <c r="F601" s="12" t="s">
        <v>2201</v>
      </c>
      <c r="G601" s="11" t="s">
        <v>2202</v>
      </c>
      <c r="H601" t="s">
        <v>2203</v>
      </c>
      <c r="I601" s="13">
        <v>37356887568</v>
      </c>
      <c r="J601" s="14">
        <v>8516</v>
      </c>
      <c r="K601" s="14">
        <v>8516</v>
      </c>
      <c r="L601" s="10" t="s">
        <v>285</v>
      </c>
      <c r="M601" s="14">
        <v>0</v>
      </c>
      <c r="N601" s="15">
        <v>0</v>
      </c>
      <c r="O601" t="str">
        <f>IFERROR(VLOOKUP($I601,CHOOSE({1,2},'[1]DIRETORES NTE'!$H$5:$H$31,'[1]DIRETORES NTE'!$E$5:$E$31,),2,0),"-")</f>
        <v>-</v>
      </c>
    </row>
    <row r="602" spans="1:15" x14ac:dyDescent="0.25">
      <c r="A602" s="10">
        <v>600</v>
      </c>
      <c r="B602" s="11">
        <v>15</v>
      </c>
      <c r="C602" s="11" t="s">
        <v>695</v>
      </c>
      <c r="D602" s="11">
        <v>1160445</v>
      </c>
      <c r="E602" s="11">
        <v>29101719</v>
      </c>
      <c r="F602" s="12" t="s">
        <v>2204</v>
      </c>
      <c r="G602" s="11" t="s">
        <v>2205</v>
      </c>
      <c r="H602" t="s">
        <v>2206</v>
      </c>
      <c r="I602" s="13">
        <v>44816510591</v>
      </c>
      <c r="J602" s="14">
        <v>21674</v>
      </c>
      <c r="K602" s="14">
        <v>21674</v>
      </c>
      <c r="L602" s="10" t="s">
        <v>280</v>
      </c>
      <c r="M602" s="14">
        <v>0</v>
      </c>
      <c r="N602" s="15">
        <v>0</v>
      </c>
      <c r="O602" t="str">
        <f>IFERROR(VLOOKUP($I602,CHOOSE({1,2},'[1]DIRETORES NTE'!$H$5:$H$31,'[1]DIRETORES NTE'!$E$5:$E$31,),2,0),"-")</f>
        <v>-</v>
      </c>
    </row>
    <row r="603" spans="1:15" x14ac:dyDescent="0.25">
      <c r="A603" s="10">
        <v>601</v>
      </c>
      <c r="B603" s="11">
        <v>12</v>
      </c>
      <c r="C603" s="11" t="s">
        <v>2207</v>
      </c>
      <c r="D603" s="11">
        <v>1127707</v>
      </c>
      <c r="E603" s="11">
        <v>29240131</v>
      </c>
      <c r="F603" s="12" t="s">
        <v>2208</v>
      </c>
      <c r="G603" s="11" t="s">
        <v>2209</v>
      </c>
      <c r="H603" t="s">
        <v>2210</v>
      </c>
      <c r="I603" s="13">
        <v>44622406500</v>
      </c>
      <c r="J603" s="14">
        <v>8297</v>
      </c>
      <c r="K603" s="14">
        <v>8297</v>
      </c>
      <c r="L603" s="10" t="s">
        <v>90</v>
      </c>
      <c r="M603" s="14">
        <v>0</v>
      </c>
      <c r="N603" s="15">
        <v>0</v>
      </c>
      <c r="O603" t="str">
        <f>IFERROR(VLOOKUP($I603,CHOOSE({1,2},'[1]DIRETORES NTE'!$H$5:$H$31,'[1]DIRETORES NTE'!$E$5:$E$31,),2,0),"-")</f>
        <v>-</v>
      </c>
    </row>
    <row r="604" spans="1:15" x14ac:dyDescent="0.25">
      <c r="A604" s="10">
        <v>602</v>
      </c>
      <c r="B604" s="11" t="s">
        <v>237</v>
      </c>
      <c r="C604" s="11" t="s">
        <v>237</v>
      </c>
      <c r="D604" s="11" t="s">
        <v>237</v>
      </c>
      <c r="E604" s="11" t="s">
        <v>237</v>
      </c>
      <c r="F604" s="12" t="s">
        <v>237</v>
      </c>
      <c r="G604" s="11" t="s">
        <v>237</v>
      </c>
      <c r="H604" t="s">
        <v>2211</v>
      </c>
      <c r="I604" s="13">
        <v>40984761500</v>
      </c>
      <c r="J604" s="14">
        <v>0</v>
      </c>
      <c r="K604" s="14">
        <v>0</v>
      </c>
      <c r="L604" s="10" t="s">
        <v>63</v>
      </c>
      <c r="M604" s="14">
        <v>0</v>
      </c>
      <c r="N604" s="15" t="e">
        <v>#DIV/0!</v>
      </c>
      <c r="O604" t="str">
        <f>IFERROR(VLOOKUP($I604,CHOOSE({1,2},'[1]DIRETORES NTE'!$H$5:$H$31,'[1]DIRETORES NTE'!$E$5:$E$31,),2,0),"-")</f>
        <v>LILIA CRISTINA PEIXOTO DOS SANTOS SOUSA (DIRETOR DE NTE)</v>
      </c>
    </row>
    <row r="605" spans="1:15" x14ac:dyDescent="0.25">
      <c r="A605" s="10">
        <v>603</v>
      </c>
      <c r="B605" s="11">
        <v>21</v>
      </c>
      <c r="C605" s="11" t="s">
        <v>2212</v>
      </c>
      <c r="D605" s="11">
        <v>1109059</v>
      </c>
      <c r="E605" s="11">
        <v>29163374</v>
      </c>
      <c r="F605" s="12" t="s">
        <v>2213</v>
      </c>
      <c r="G605" s="11" t="s">
        <v>2214</v>
      </c>
      <c r="H605" t="s">
        <v>2215</v>
      </c>
      <c r="I605" s="13">
        <v>92060013534</v>
      </c>
      <c r="J605" s="14">
        <v>19923</v>
      </c>
      <c r="K605" s="14">
        <v>19923</v>
      </c>
      <c r="L605" s="10" t="s">
        <v>63</v>
      </c>
      <c r="M605" s="14">
        <v>0</v>
      </c>
      <c r="N605" s="15">
        <v>0</v>
      </c>
      <c r="O605" t="str">
        <f>IFERROR(VLOOKUP($I605,CHOOSE({1,2},'[1]DIRETORES NTE'!$H$5:$H$31,'[1]DIRETORES NTE'!$E$5:$E$31,),2,0),"-")</f>
        <v>-</v>
      </c>
    </row>
    <row r="606" spans="1:15" x14ac:dyDescent="0.25">
      <c r="A606" s="10">
        <v>604</v>
      </c>
      <c r="B606" s="11">
        <v>14</v>
      </c>
      <c r="C606" s="11" t="s">
        <v>2216</v>
      </c>
      <c r="D606" s="11">
        <v>1123310</v>
      </c>
      <c r="E606" s="11">
        <v>29082234</v>
      </c>
      <c r="F606" s="12" t="s">
        <v>2217</v>
      </c>
      <c r="G606" s="11" t="s">
        <v>2218</v>
      </c>
      <c r="H606" t="s">
        <v>2219</v>
      </c>
      <c r="I606" s="13" t="s">
        <v>2220</v>
      </c>
      <c r="J606" s="14">
        <v>16998</v>
      </c>
      <c r="K606" s="14">
        <v>16998</v>
      </c>
      <c r="L606" s="10" t="s">
        <v>147</v>
      </c>
      <c r="M606" s="14">
        <v>0</v>
      </c>
      <c r="N606" s="15">
        <v>0</v>
      </c>
      <c r="O606" t="str">
        <f>IFERROR(VLOOKUP($I606,CHOOSE({1,2},'[1]DIRETORES NTE'!$H$5:$H$31,'[1]DIRETORES NTE'!$E$5:$E$31,),2,0),"-")</f>
        <v>-</v>
      </c>
    </row>
    <row r="607" spans="1:15" x14ac:dyDescent="0.25">
      <c r="A607" s="10">
        <v>605</v>
      </c>
      <c r="B607" s="11">
        <v>25</v>
      </c>
      <c r="C607" s="11" t="s">
        <v>385</v>
      </c>
      <c r="D607" s="11">
        <v>1144261</v>
      </c>
      <c r="E607" s="11">
        <v>29056616</v>
      </c>
      <c r="F607" s="12" t="s">
        <v>2221</v>
      </c>
      <c r="G607" s="11" t="s">
        <v>2222</v>
      </c>
      <c r="H607" t="s">
        <v>2223</v>
      </c>
      <c r="I607" s="13">
        <v>77712170525</v>
      </c>
      <c r="J607" s="14">
        <v>2340</v>
      </c>
      <c r="K607" s="14">
        <v>2340</v>
      </c>
      <c r="L607" s="10" t="s">
        <v>80</v>
      </c>
      <c r="M607" s="14">
        <v>0</v>
      </c>
      <c r="N607" s="15">
        <v>0</v>
      </c>
      <c r="O607" t="str">
        <f>IFERROR(VLOOKUP($I607,CHOOSE({1,2},'[1]DIRETORES NTE'!$H$5:$H$31,'[1]DIRETORES NTE'!$E$5:$E$31,),2,0),"-")</f>
        <v>-</v>
      </c>
    </row>
    <row r="608" spans="1:15" x14ac:dyDescent="0.25">
      <c r="A608" s="10">
        <v>606</v>
      </c>
      <c r="B608" s="11">
        <v>26</v>
      </c>
      <c r="C608" s="11" t="s">
        <v>95</v>
      </c>
      <c r="D608" s="11">
        <v>1104600</v>
      </c>
      <c r="E608" s="11">
        <v>29182174</v>
      </c>
      <c r="F608" s="12" t="s">
        <v>2224</v>
      </c>
      <c r="G608" s="11" t="s">
        <v>2225</v>
      </c>
      <c r="H608" t="s">
        <v>2226</v>
      </c>
      <c r="I608" s="13">
        <v>78925460572</v>
      </c>
      <c r="J608" s="14">
        <v>31431</v>
      </c>
      <c r="K608" s="14">
        <v>0.68</v>
      </c>
      <c r="L608" s="10" t="s">
        <v>99</v>
      </c>
      <c r="M608" s="14">
        <v>31430.32</v>
      </c>
      <c r="N608" s="15">
        <v>0.99997836530813522</v>
      </c>
      <c r="O608" t="str">
        <f>IFERROR(VLOOKUP($I608,CHOOSE({1,2},'[1]DIRETORES NTE'!$H$5:$H$31,'[1]DIRETORES NTE'!$E$5:$E$31,),2,0),"-")</f>
        <v>-</v>
      </c>
    </row>
    <row r="609" spans="1:15" x14ac:dyDescent="0.25">
      <c r="A609" s="10">
        <v>607</v>
      </c>
      <c r="B609" s="11">
        <v>10</v>
      </c>
      <c r="C609" s="11" t="s">
        <v>16</v>
      </c>
      <c r="D609" s="11">
        <v>1120389</v>
      </c>
      <c r="E609" s="11">
        <v>29024862</v>
      </c>
      <c r="F609" s="12" t="s">
        <v>2227</v>
      </c>
      <c r="G609" s="11" t="s">
        <v>2228</v>
      </c>
      <c r="H609" t="s">
        <v>2229</v>
      </c>
      <c r="I609" s="13">
        <v>52026272549</v>
      </c>
      <c r="J609" s="14">
        <v>7199</v>
      </c>
      <c r="K609" s="14">
        <v>7199</v>
      </c>
      <c r="L609" s="10" t="s">
        <v>21</v>
      </c>
      <c r="M609" s="14">
        <v>0</v>
      </c>
      <c r="N609" s="15">
        <v>0</v>
      </c>
      <c r="O609" t="str">
        <f>IFERROR(VLOOKUP($I609,CHOOSE({1,2},'[1]DIRETORES NTE'!$H$5:$H$31,'[1]DIRETORES NTE'!$E$5:$E$31,),2,0),"-")</f>
        <v>-</v>
      </c>
    </row>
    <row r="610" spans="1:15" x14ac:dyDescent="0.25">
      <c r="A610" s="10">
        <v>608</v>
      </c>
      <c r="B610" s="11">
        <v>19</v>
      </c>
      <c r="C610" s="11" t="s">
        <v>2230</v>
      </c>
      <c r="D610" s="11">
        <v>1107420</v>
      </c>
      <c r="E610" s="11">
        <v>29108047</v>
      </c>
      <c r="F610" s="12" t="s">
        <v>2231</v>
      </c>
      <c r="G610" s="11" t="s">
        <v>2232</v>
      </c>
      <c r="H610" t="s">
        <v>2233</v>
      </c>
      <c r="I610" s="13">
        <v>84159308520</v>
      </c>
      <c r="J610" s="14">
        <v>7187</v>
      </c>
      <c r="K610" s="14">
        <v>7187</v>
      </c>
      <c r="L610" s="10" t="s">
        <v>336</v>
      </c>
      <c r="M610" s="14">
        <v>0</v>
      </c>
      <c r="N610" s="15">
        <v>0</v>
      </c>
      <c r="O610" t="str">
        <f>IFERROR(VLOOKUP($I610,CHOOSE({1,2},'[1]DIRETORES NTE'!$H$5:$H$31,'[1]DIRETORES NTE'!$E$5:$E$31,),2,0),"-")</f>
        <v>-</v>
      </c>
    </row>
    <row r="611" spans="1:15" x14ac:dyDescent="0.25">
      <c r="A611" s="10">
        <v>609</v>
      </c>
      <c r="B611" s="11">
        <v>6</v>
      </c>
      <c r="C611" s="11" t="s">
        <v>2234</v>
      </c>
      <c r="D611" s="11">
        <v>1142862</v>
      </c>
      <c r="E611" s="11">
        <v>29285534</v>
      </c>
      <c r="F611" s="12" t="s">
        <v>2235</v>
      </c>
      <c r="G611" s="11" t="s">
        <v>2236</v>
      </c>
      <c r="H611" t="s">
        <v>2237</v>
      </c>
      <c r="I611" s="13" t="s">
        <v>2238</v>
      </c>
      <c r="J611" s="14">
        <v>10328</v>
      </c>
      <c r="K611" s="14">
        <v>10328</v>
      </c>
      <c r="L611" s="10" t="s">
        <v>49</v>
      </c>
      <c r="M611" s="14">
        <v>0</v>
      </c>
      <c r="N611" s="15">
        <v>0</v>
      </c>
      <c r="O611" t="str">
        <f>IFERROR(VLOOKUP($I611,CHOOSE({1,2},'[1]DIRETORES NTE'!$H$5:$H$31,'[1]DIRETORES NTE'!$E$5:$E$31,),2,0),"-")</f>
        <v>-</v>
      </c>
    </row>
    <row r="612" spans="1:15" x14ac:dyDescent="0.25">
      <c r="A612" s="10">
        <v>610</v>
      </c>
      <c r="B612" s="11">
        <v>11</v>
      </c>
      <c r="C612" s="11" t="s">
        <v>188</v>
      </c>
      <c r="D612" s="11">
        <v>1129858</v>
      </c>
      <c r="E612" s="11">
        <v>29001773</v>
      </c>
      <c r="F612" s="12" t="s">
        <v>2239</v>
      </c>
      <c r="G612" s="11" t="s">
        <v>2240</v>
      </c>
      <c r="H612" t="s">
        <v>2241</v>
      </c>
      <c r="I612" s="13" t="s">
        <v>2242</v>
      </c>
      <c r="J612" s="14">
        <v>6234</v>
      </c>
      <c r="K612" s="14">
        <v>6234</v>
      </c>
      <c r="L612" s="10" t="s">
        <v>39</v>
      </c>
      <c r="M612" s="14">
        <v>0</v>
      </c>
      <c r="N612" s="15">
        <v>0</v>
      </c>
      <c r="O612" t="str">
        <f>IFERROR(VLOOKUP($I612,CHOOSE({1,2},'[1]DIRETORES NTE'!$H$5:$H$31,'[1]DIRETORES NTE'!$E$5:$E$31,),2,0),"-")</f>
        <v>-</v>
      </c>
    </row>
    <row r="613" spans="1:15" x14ac:dyDescent="0.25">
      <c r="A613" s="10">
        <v>611</v>
      </c>
      <c r="B613" s="11">
        <v>20</v>
      </c>
      <c r="C613" s="11" t="s">
        <v>50</v>
      </c>
      <c r="D613" s="11">
        <v>1125429</v>
      </c>
      <c r="E613" s="11">
        <v>29277990</v>
      </c>
      <c r="F613" s="12" t="s">
        <v>2243</v>
      </c>
      <c r="G613" s="11" t="s">
        <v>2244</v>
      </c>
      <c r="H613" t="s">
        <v>2245</v>
      </c>
      <c r="I613" s="13" t="s">
        <v>2246</v>
      </c>
      <c r="J613" s="14">
        <v>14760</v>
      </c>
      <c r="K613" s="14">
        <v>14760</v>
      </c>
      <c r="L613" s="10" t="s">
        <v>27</v>
      </c>
      <c r="M613" s="14">
        <v>0</v>
      </c>
      <c r="N613" s="15">
        <v>0</v>
      </c>
      <c r="O613" t="str">
        <f>IFERROR(VLOOKUP($I613,CHOOSE({1,2},'[1]DIRETORES NTE'!$H$5:$H$31,'[1]DIRETORES NTE'!$E$5:$E$31,),2,0),"-")</f>
        <v>-</v>
      </c>
    </row>
    <row r="614" spans="1:15" x14ac:dyDescent="0.25">
      <c r="A614" s="10">
        <v>612</v>
      </c>
      <c r="B614" s="11">
        <v>27</v>
      </c>
      <c r="C614" s="11" t="s">
        <v>924</v>
      </c>
      <c r="D614" s="11">
        <v>1177093</v>
      </c>
      <c r="E614" s="11">
        <v>29422345</v>
      </c>
      <c r="F614" s="12" t="s">
        <v>2247</v>
      </c>
      <c r="G614" s="11" t="s">
        <v>2248</v>
      </c>
      <c r="H614" t="s">
        <v>2249</v>
      </c>
      <c r="I614" s="13">
        <v>78471451549</v>
      </c>
      <c r="J614" s="14">
        <v>27525</v>
      </c>
      <c r="K614" s="14">
        <v>27525</v>
      </c>
      <c r="L614" s="10" t="s">
        <v>720</v>
      </c>
      <c r="M614" s="14">
        <v>0</v>
      </c>
      <c r="N614" s="15">
        <v>0</v>
      </c>
      <c r="O614" t="str">
        <f>IFERROR(VLOOKUP($I614,CHOOSE({1,2},'[1]DIRETORES NTE'!$H$5:$H$31,'[1]DIRETORES NTE'!$E$5:$E$31,),2,0),"-")</f>
        <v>-</v>
      </c>
    </row>
    <row r="615" spans="1:15" x14ac:dyDescent="0.25">
      <c r="A615" s="10">
        <v>613</v>
      </c>
      <c r="B615" s="11">
        <v>3</v>
      </c>
      <c r="C615" s="11" t="s">
        <v>2250</v>
      </c>
      <c r="D615" s="11">
        <v>1178403</v>
      </c>
      <c r="E615" s="11">
        <v>29397740</v>
      </c>
      <c r="F615" s="12" t="s">
        <v>2251</v>
      </c>
      <c r="G615" s="11" t="s">
        <v>2252</v>
      </c>
      <c r="H615" t="s">
        <v>2253</v>
      </c>
      <c r="I615" s="13" t="s">
        <v>2254</v>
      </c>
      <c r="J615" s="14">
        <v>9405</v>
      </c>
      <c r="K615" s="14">
        <v>9405</v>
      </c>
      <c r="L615" s="10" t="s">
        <v>117</v>
      </c>
      <c r="M615" s="14">
        <v>0</v>
      </c>
      <c r="N615" s="15">
        <v>0</v>
      </c>
      <c r="O615" t="str">
        <f>IFERROR(VLOOKUP($I615,CHOOSE({1,2},'[1]DIRETORES NTE'!$H$5:$H$31,'[1]DIRETORES NTE'!$E$5:$E$31,),2,0),"-")</f>
        <v>-</v>
      </c>
    </row>
    <row r="616" spans="1:15" x14ac:dyDescent="0.25">
      <c r="A616" s="10">
        <v>614</v>
      </c>
      <c r="B616" s="11">
        <v>26</v>
      </c>
      <c r="C616" s="11" t="s">
        <v>95</v>
      </c>
      <c r="D616" s="11">
        <v>1101490</v>
      </c>
      <c r="E616" s="11">
        <v>29179491</v>
      </c>
      <c r="F616" s="12" t="s">
        <v>2255</v>
      </c>
      <c r="G616" s="11" t="s">
        <v>2256</v>
      </c>
      <c r="H616" t="s">
        <v>2257</v>
      </c>
      <c r="I616" s="13">
        <v>68490224587</v>
      </c>
      <c r="J616" s="14">
        <v>5746</v>
      </c>
      <c r="K616" s="14">
        <v>5746</v>
      </c>
      <c r="L616" s="10" t="s">
        <v>99</v>
      </c>
      <c r="M616" s="14">
        <v>0</v>
      </c>
      <c r="N616" s="15">
        <v>0</v>
      </c>
      <c r="O616" t="str">
        <f>IFERROR(VLOOKUP($I616,CHOOSE({1,2},'[1]DIRETORES NTE'!$H$5:$H$31,'[1]DIRETORES NTE'!$E$5:$E$31,),2,0),"-")</f>
        <v>-</v>
      </c>
    </row>
    <row r="617" spans="1:15" x14ac:dyDescent="0.25">
      <c r="A617" s="10">
        <v>615</v>
      </c>
      <c r="B617" s="11">
        <v>22</v>
      </c>
      <c r="C617" s="11" t="s">
        <v>2258</v>
      </c>
      <c r="D617" s="11">
        <v>1117221</v>
      </c>
      <c r="E617" s="11">
        <v>29268524</v>
      </c>
      <c r="F617" s="12" t="s">
        <v>2259</v>
      </c>
      <c r="G617" s="11" t="s">
        <v>2260</v>
      </c>
      <c r="H617" t="s">
        <v>2261</v>
      </c>
      <c r="I617" s="13" t="s">
        <v>2262</v>
      </c>
      <c r="J617" s="14">
        <v>8484</v>
      </c>
      <c r="K617" s="14">
        <v>8484</v>
      </c>
      <c r="L617" s="10" t="s">
        <v>200</v>
      </c>
      <c r="M617" s="14">
        <v>0</v>
      </c>
      <c r="N617" s="15">
        <v>0</v>
      </c>
      <c r="O617" t="str">
        <f>IFERROR(VLOOKUP($I617,CHOOSE({1,2},'[1]DIRETORES NTE'!$H$5:$H$31,'[1]DIRETORES NTE'!$E$5:$E$31,),2,0),"-")</f>
        <v>-</v>
      </c>
    </row>
    <row r="618" spans="1:15" x14ac:dyDescent="0.25">
      <c r="A618" s="10">
        <v>616</v>
      </c>
      <c r="B618" s="11">
        <v>22</v>
      </c>
      <c r="C618" s="11" t="s">
        <v>889</v>
      </c>
      <c r="D618" s="11">
        <v>1117701</v>
      </c>
      <c r="E618" s="11">
        <v>29229324</v>
      </c>
      <c r="F618" s="12" t="s">
        <v>2263</v>
      </c>
      <c r="G618" s="11" t="s">
        <v>2264</v>
      </c>
      <c r="H618" t="s">
        <v>2265</v>
      </c>
      <c r="I618" s="13" t="s">
        <v>2266</v>
      </c>
      <c r="J618" s="14">
        <v>3277</v>
      </c>
      <c r="K618" s="14">
        <v>3277</v>
      </c>
      <c r="L618" s="10" t="s">
        <v>200</v>
      </c>
      <c r="M618" s="14">
        <v>0</v>
      </c>
      <c r="N618" s="15">
        <v>0</v>
      </c>
      <c r="O618" t="str">
        <f>IFERROR(VLOOKUP($I618,CHOOSE({1,2},'[1]DIRETORES NTE'!$H$5:$H$31,'[1]DIRETORES NTE'!$E$5:$E$31,),2,0),"-")</f>
        <v>-</v>
      </c>
    </row>
    <row r="619" spans="1:15" x14ac:dyDescent="0.25">
      <c r="A619" s="10">
        <v>617</v>
      </c>
      <c r="B619" s="11">
        <v>3</v>
      </c>
      <c r="C619" s="11" t="s">
        <v>2250</v>
      </c>
      <c r="D619" s="11">
        <v>1168411</v>
      </c>
      <c r="E619" s="11">
        <v>29214939</v>
      </c>
      <c r="F619" s="12" t="s">
        <v>2267</v>
      </c>
      <c r="G619" s="11" t="s">
        <v>2268</v>
      </c>
      <c r="H619" t="s">
        <v>2269</v>
      </c>
      <c r="I619" s="13">
        <v>99556278591</v>
      </c>
      <c r="J619" s="14">
        <v>12125</v>
      </c>
      <c r="K619" s="14">
        <v>12125</v>
      </c>
      <c r="L619" s="10" t="s">
        <v>117</v>
      </c>
      <c r="M619" s="14">
        <v>0</v>
      </c>
      <c r="N619" s="15">
        <v>0</v>
      </c>
      <c r="O619" t="str">
        <f>IFERROR(VLOOKUP($I619,CHOOSE({1,2},'[1]DIRETORES NTE'!$H$5:$H$31,'[1]DIRETORES NTE'!$E$5:$E$31,),2,0),"-")</f>
        <v>-</v>
      </c>
    </row>
    <row r="620" spans="1:15" x14ac:dyDescent="0.25">
      <c r="A620" s="10">
        <v>618</v>
      </c>
      <c r="B620" s="11">
        <v>5</v>
      </c>
      <c r="C620" s="11" t="s">
        <v>2270</v>
      </c>
      <c r="D620" s="11">
        <v>1112408</v>
      </c>
      <c r="E620" s="11">
        <v>29308747</v>
      </c>
      <c r="F620" s="12" t="s">
        <v>2271</v>
      </c>
      <c r="G620" s="11" t="s">
        <v>2272</v>
      </c>
      <c r="H620" t="s">
        <v>2273</v>
      </c>
      <c r="I620" s="13" t="s">
        <v>2274</v>
      </c>
      <c r="J620" s="14">
        <v>9475</v>
      </c>
      <c r="K620" s="14">
        <v>9475</v>
      </c>
      <c r="L620" s="10" t="s">
        <v>44</v>
      </c>
      <c r="M620" s="14">
        <v>0</v>
      </c>
      <c r="N620" s="15">
        <v>0</v>
      </c>
      <c r="O620" t="str">
        <f>IFERROR(VLOOKUP($I620,CHOOSE({1,2},'[1]DIRETORES NTE'!$H$5:$H$31,'[1]DIRETORES NTE'!$E$5:$E$31,),2,0),"-")</f>
        <v>-</v>
      </c>
    </row>
    <row r="621" spans="1:15" x14ac:dyDescent="0.25">
      <c r="A621" s="10">
        <v>619</v>
      </c>
      <c r="B621" s="11">
        <v>15</v>
      </c>
      <c r="C621" s="11" t="s">
        <v>2275</v>
      </c>
      <c r="D621" s="11">
        <v>1179030</v>
      </c>
      <c r="E621" s="11">
        <v>29398282</v>
      </c>
      <c r="F621" s="12" t="s">
        <v>2276</v>
      </c>
      <c r="G621" s="11" t="s">
        <v>2277</v>
      </c>
      <c r="H621" t="s">
        <v>2278</v>
      </c>
      <c r="I621" s="13">
        <v>96732172549</v>
      </c>
      <c r="J621" s="14">
        <v>8942</v>
      </c>
      <c r="K621" s="14">
        <v>8942</v>
      </c>
      <c r="L621" s="10" t="s">
        <v>280</v>
      </c>
      <c r="M621" s="14">
        <v>0</v>
      </c>
      <c r="N621" s="15">
        <v>0</v>
      </c>
      <c r="O621" t="str">
        <f>IFERROR(VLOOKUP($I621,CHOOSE({1,2},'[1]DIRETORES NTE'!$H$5:$H$31,'[1]DIRETORES NTE'!$E$5:$E$31,),2,0),"-")</f>
        <v>-</v>
      </c>
    </row>
    <row r="622" spans="1:15" x14ac:dyDescent="0.25">
      <c r="A622" s="10">
        <v>620</v>
      </c>
      <c r="B622" s="11">
        <v>26</v>
      </c>
      <c r="C622" s="11" t="s">
        <v>95</v>
      </c>
      <c r="D622" s="11">
        <v>1101872</v>
      </c>
      <c r="E622" s="11">
        <v>29182166</v>
      </c>
      <c r="F622" s="12" t="s">
        <v>2279</v>
      </c>
      <c r="G622" s="11" t="s">
        <v>2280</v>
      </c>
      <c r="H622" t="s">
        <v>2281</v>
      </c>
      <c r="I622" s="13">
        <v>21164380559</v>
      </c>
      <c r="J622" s="14">
        <v>10789</v>
      </c>
      <c r="K622" s="14">
        <v>10789</v>
      </c>
      <c r="L622" s="10" t="s">
        <v>99</v>
      </c>
      <c r="M622" s="14">
        <v>0</v>
      </c>
      <c r="N622" s="15">
        <v>0</v>
      </c>
      <c r="O622" t="str">
        <f>IFERROR(VLOOKUP($I622,CHOOSE({1,2},'[1]DIRETORES NTE'!$H$5:$H$31,'[1]DIRETORES NTE'!$E$5:$E$31,),2,0),"-")</f>
        <v>-</v>
      </c>
    </row>
    <row r="623" spans="1:15" x14ac:dyDescent="0.25">
      <c r="A623" s="10">
        <v>621</v>
      </c>
      <c r="B623" s="11">
        <v>8</v>
      </c>
      <c r="C623" s="11" t="s">
        <v>577</v>
      </c>
      <c r="D623" s="11">
        <v>1119119</v>
      </c>
      <c r="E623" s="11">
        <v>29282977</v>
      </c>
      <c r="F623" s="12" t="s">
        <v>2282</v>
      </c>
      <c r="G623" s="11" t="s">
        <v>2283</v>
      </c>
      <c r="H623" t="s">
        <v>2284</v>
      </c>
      <c r="I623" s="13">
        <v>44206887500</v>
      </c>
      <c r="J623" s="14">
        <v>8083</v>
      </c>
      <c r="K623" s="14">
        <v>8083</v>
      </c>
      <c r="L623" s="10" t="s">
        <v>285</v>
      </c>
      <c r="M623" s="14">
        <v>0</v>
      </c>
      <c r="N623" s="15">
        <v>0</v>
      </c>
      <c r="O623" t="str">
        <f>IFERROR(VLOOKUP($I623,CHOOSE({1,2},'[1]DIRETORES NTE'!$H$5:$H$31,'[1]DIRETORES NTE'!$E$5:$E$31,),2,0),"-")</f>
        <v>-</v>
      </c>
    </row>
    <row r="624" spans="1:15" x14ac:dyDescent="0.25">
      <c r="A624" s="10">
        <v>622</v>
      </c>
      <c r="B624" s="11">
        <v>9</v>
      </c>
      <c r="C624" s="11" t="s">
        <v>438</v>
      </c>
      <c r="D624" s="11">
        <v>1167180</v>
      </c>
      <c r="E624" s="11">
        <v>29223016</v>
      </c>
      <c r="F624" s="12" t="s">
        <v>2285</v>
      </c>
      <c r="G624" s="11" t="s">
        <v>2286</v>
      </c>
      <c r="H624" t="s">
        <v>2287</v>
      </c>
      <c r="I624" s="13" t="s">
        <v>2288</v>
      </c>
      <c r="J624" s="14">
        <v>11943</v>
      </c>
      <c r="K624" s="14">
        <v>11943</v>
      </c>
      <c r="L624" s="10" t="s">
        <v>167</v>
      </c>
      <c r="M624" s="14">
        <v>0</v>
      </c>
      <c r="N624" s="15">
        <v>0</v>
      </c>
      <c r="O624" t="str">
        <f>IFERROR(VLOOKUP($I624,CHOOSE({1,2},'[1]DIRETORES NTE'!$H$5:$H$31,'[1]DIRETORES NTE'!$E$5:$E$31,),2,0),"-")</f>
        <v>-</v>
      </c>
    </row>
    <row r="625" spans="1:15" x14ac:dyDescent="0.25">
      <c r="A625" s="10">
        <v>623</v>
      </c>
      <c r="B625" s="11">
        <v>19</v>
      </c>
      <c r="C625" s="11" t="s">
        <v>331</v>
      </c>
      <c r="D625" s="11">
        <v>1106297</v>
      </c>
      <c r="E625" s="11">
        <v>29094151</v>
      </c>
      <c r="F625" s="12" t="s">
        <v>2289</v>
      </c>
      <c r="G625" s="11" t="s">
        <v>2290</v>
      </c>
      <c r="H625" t="s">
        <v>2291</v>
      </c>
      <c r="I625" s="13">
        <v>63140012500</v>
      </c>
      <c r="J625" s="14">
        <v>7160</v>
      </c>
      <c r="K625" s="14">
        <v>22.9</v>
      </c>
      <c r="L625" s="10" t="s">
        <v>336</v>
      </c>
      <c r="M625" s="14">
        <v>7137.1</v>
      </c>
      <c r="N625" s="15">
        <v>0.99680167597765368</v>
      </c>
      <c r="O625" t="str">
        <f>IFERROR(VLOOKUP($I625,CHOOSE({1,2},'[1]DIRETORES NTE'!$H$5:$H$31,'[1]DIRETORES NTE'!$E$5:$E$31,),2,0),"-")</f>
        <v>-</v>
      </c>
    </row>
    <row r="626" spans="1:15" x14ac:dyDescent="0.25">
      <c r="A626" s="10">
        <v>624</v>
      </c>
      <c r="B626" s="11">
        <v>14</v>
      </c>
      <c r="C626" s="11" t="s">
        <v>2292</v>
      </c>
      <c r="D626" s="11">
        <v>1123043</v>
      </c>
      <c r="E626" s="11">
        <v>29088240</v>
      </c>
      <c r="F626" s="12" t="s">
        <v>2293</v>
      </c>
      <c r="G626" s="11" t="s">
        <v>2294</v>
      </c>
      <c r="H626" t="s">
        <v>2295</v>
      </c>
      <c r="I626" s="13">
        <v>68748183504</v>
      </c>
      <c r="J626" s="14">
        <v>11047</v>
      </c>
      <c r="K626" s="14">
        <v>11047</v>
      </c>
      <c r="L626" s="10" t="s">
        <v>147</v>
      </c>
      <c r="M626" s="14">
        <v>0</v>
      </c>
      <c r="N626" s="15">
        <v>0</v>
      </c>
      <c r="O626" t="str">
        <f>IFERROR(VLOOKUP($I626,CHOOSE({1,2},'[1]DIRETORES NTE'!$H$5:$H$31,'[1]DIRETORES NTE'!$E$5:$E$31,),2,0),"-")</f>
        <v>-</v>
      </c>
    </row>
    <row r="627" spans="1:15" x14ac:dyDescent="0.25">
      <c r="A627" s="10">
        <v>625</v>
      </c>
      <c r="B627" s="11">
        <v>22</v>
      </c>
      <c r="C627" s="11" t="s">
        <v>889</v>
      </c>
      <c r="D627" s="11">
        <v>1117892</v>
      </c>
      <c r="E627" s="11">
        <v>29229529</v>
      </c>
      <c r="F627" s="12" t="s">
        <v>2296</v>
      </c>
      <c r="G627" s="11" t="s">
        <v>2297</v>
      </c>
      <c r="H627" t="s">
        <v>2298</v>
      </c>
      <c r="I627" s="13">
        <v>52889769534</v>
      </c>
      <c r="J627" s="14">
        <v>18438</v>
      </c>
      <c r="K627" s="14">
        <v>18438</v>
      </c>
      <c r="L627" s="10" t="s">
        <v>200</v>
      </c>
      <c r="M627" s="14">
        <v>0</v>
      </c>
      <c r="N627" s="15">
        <v>0</v>
      </c>
      <c r="O627" t="str">
        <f>IFERROR(VLOOKUP($I627,CHOOSE({1,2},'[1]DIRETORES NTE'!$H$5:$H$31,'[1]DIRETORES NTE'!$E$5:$E$31,),2,0),"-")</f>
        <v>-</v>
      </c>
    </row>
    <row r="628" spans="1:15" x14ac:dyDescent="0.25">
      <c r="A628" s="10">
        <v>626</v>
      </c>
      <c r="B628" s="11">
        <v>5</v>
      </c>
      <c r="C628" s="11" t="s">
        <v>2299</v>
      </c>
      <c r="D628" s="11">
        <v>1112491</v>
      </c>
      <c r="E628" s="11">
        <v>29294037</v>
      </c>
      <c r="F628" s="12" t="s">
        <v>2300</v>
      </c>
      <c r="G628" s="11" t="s">
        <v>2301</v>
      </c>
      <c r="H628" t="s">
        <v>2302</v>
      </c>
      <c r="I628" s="13">
        <v>52975525591</v>
      </c>
      <c r="J628" s="14">
        <v>3999</v>
      </c>
      <c r="K628" s="14">
        <v>3999</v>
      </c>
      <c r="L628" s="10" t="s">
        <v>44</v>
      </c>
      <c r="M628" s="14">
        <v>0</v>
      </c>
      <c r="N628" s="15">
        <v>0</v>
      </c>
      <c r="O628" t="str">
        <f>IFERROR(VLOOKUP($I628,CHOOSE({1,2},'[1]DIRETORES NTE'!$H$5:$H$31,'[1]DIRETORES NTE'!$E$5:$E$31,),2,0),"-")</f>
        <v>-</v>
      </c>
    </row>
    <row r="629" spans="1:15" x14ac:dyDescent="0.25">
      <c r="A629" s="10">
        <v>627</v>
      </c>
      <c r="B629" s="11">
        <v>26</v>
      </c>
      <c r="C629" s="11" t="s">
        <v>95</v>
      </c>
      <c r="D629" s="11">
        <v>1102666</v>
      </c>
      <c r="E629" s="11">
        <v>29181500</v>
      </c>
      <c r="F629" s="12" t="s">
        <v>2303</v>
      </c>
      <c r="G629" s="11" t="s">
        <v>2304</v>
      </c>
      <c r="H629" t="s">
        <v>2305</v>
      </c>
      <c r="I629" s="13">
        <v>61415669520</v>
      </c>
      <c r="J629" s="14">
        <v>17990</v>
      </c>
      <c r="K629" s="14">
        <v>17990</v>
      </c>
      <c r="L629" s="10" t="s">
        <v>99</v>
      </c>
      <c r="M629" s="14">
        <v>0</v>
      </c>
      <c r="N629" s="15">
        <v>0</v>
      </c>
      <c r="O629" t="str">
        <f>IFERROR(VLOOKUP($I629,CHOOSE({1,2},'[1]DIRETORES NTE'!$H$5:$H$31,'[1]DIRETORES NTE'!$E$5:$E$31,),2,0),"-")</f>
        <v>-</v>
      </c>
    </row>
    <row r="630" spans="1:15" x14ac:dyDescent="0.25">
      <c r="A630" s="10">
        <v>628</v>
      </c>
      <c r="B630" s="11">
        <v>2</v>
      </c>
      <c r="C630" s="11" t="s">
        <v>2306</v>
      </c>
      <c r="D630" s="11">
        <v>1127855</v>
      </c>
      <c r="E630" s="11">
        <v>29210399</v>
      </c>
      <c r="F630" s="12" t="s">
        <v>2307</v>
      </c>
      <c r="G630" s="11" t="s">
        <v>2308</v>
      </c>
      <c r="H630" t="s">
        <v>2309</v>
      </c>
      <c r="I630" s="13" t="s">
        <v>2310</v>
      </c>
      <c r="J630" s="14">
        <v>11381</v>
      </c>
      <c r="K630" s="14">
        <v>11381</v>
      </c>
      <c r="L630" s="10" t="s">
        <v>105</v>
      </c>
      <c r="M630" s="14">
        <v>0</v>
      </c>
      <c r="N630" s="15">
        <v>0</v>
      </c>
      <c r="O630" t="str">
        <f>IFERROR(VLOOKUP($I630,CHOOSE({1,2},'[1]DIRETORES NTE'!$H$5:$H$31,'[1]DIRETORES NTE'!$E$5:$E$31,),2,0),"-")</f>
        <v>-</v>
      </c>
    </row>
    <row r="631" spans="1:15" x14ac:dyDescent="0.25">
      <c r="A631" s="10">
        <v>629</v>
      </c>
      <c r="B631" s="11">
        <v>26</v>
      </c>
      <c r="C631" s="11" t="s">
        <v>95</v>
      </c>
      <c r="D631" s="11">
        <v>1176660</v>
      </c>
      <c r="E631" s="11">
        <v>29404274</v>
      </c>
      <c r="F631" s="12" t="s">
        <v>2311</v>
      </c>
      <c r="G631" s="11" t="s">
        <v>2312</v>
      </c>
      <c r="H631" t="s">
        <v>2313</v>
      </c>
      <c r="I631" s="13">
        <v>74120077500</v>
      </c>
      <c r="J631" s="14">
        <v>34007</v>
      </c>
      <c r="K631" s="14">
        <v>0</v>
      </c>
      <c r="L631" s="10" t="s">
        <v>99</v>
      </c>
      <c r="M631" s="14">
        <v>34007</v>
      </c>
      <c r="N631" s="15">
        <v>1</v>
      </c>
      <c r="O631" t="str">
        <f>IFERROR(VLOOKUP($I631,CHOOSE({1,2},'[1]DIRETORES NTE'!$H$5:$H$31,'[1]DIRETORES NTE'!$E$5:$E$31,),2,0),"-")</f>
        <v>-</v>
      </c>
    </row>
    <row r="632" spans="1:15" x14ac:dyDescent="0.25">
      <c r="A632" s="10">
        <v>630</v>
      </c>
      <c r="B632" s="11">
        <v>20</v>
      </c>
      <c r="C632" s="11" t="s">
        <v>2314</v>
      </c>
      <c r="D632" s="11">
        <v>1156634</v>
      </c>
      <c r="E632" s="11">
        <v>29261953</v>
      </c>
      <c r="F632" s="12" t="s">
        <v>2315</v>
      </c>
      <c r="G632" s="11" t="s">
        <v>2316</v>
      </c>
      <c r="H632" t="s">
        <v>2317</v>
      </c>
      <c r="I632" s="13" t="s">
        <v>2318</v>
      </c>
      <c r="J632" s="14">
        <v>6293</v>
      </c>
      <c r="K632" s="14">
        <v>6293</v>
      </c>
      <c r="L632" s="10" t="s">
        <v>27</v>
      </c>
      <c r="M632" s="14">
        <v>0</v>
      </c>
      <c r="N632" s="15">
        <v>0</v>
      </c>
      <c r="O632" t="str">
        <f>IFERROR(VLOOKUP($I632,CHOOSE({1,2},'[1]DIRETORES NTE'!$H$5:$H$31,'[1]DIRETORES NTE'!$E$5:$E$31,),2,0),"-")</f>
        <v>-</v>
      </c>
    </row>
    <row r="633" spans="1:15" x14ac:dyDescent="0.25">
      <c r="A633" s="10">
        <v>631</v>
      </c>
      <c r="B633" s="11">
        <v>20</v>
      </c>
      <c r="C633" s="11" t="s">
        <v>2319</v>
      </c>
      <c r="D633" s="11">
        <v>1124872</v>
      </c>
      <c r="E633" s="11">
        <v>29268168</v>
      </c>
      <c r="F633" s="12" t="s">
        <v>2320</v>
      </c>
      <c r="G633" s="11" t="s">
        <v>2321</v>
      </c>
      <c r="H633" t="s">
        <v>2322</v>
      </c>
      <c r="I633" s="13">
        <v>68940467515</v>
      </c>
      <c r="J633" s="14">
        <v>15447</v>
      </c>
      <c r="K633" s="14">
        <v>15447</v>
      </c>
      <c r="L633" s="10" t="s">
        <v>27</v>
      </c>
      <c r="M633" s="14">
        <v>0</v>
      </c>
      <c r="N633" s="15">
        <v>0</v>
      </c>
      <c r="O633" t="str">
        <f>IFERROR(VLOOKUP($I633,CHOOSE({1,2},'[1]DIRETORES NTE'!$H$5:$H$31,'[1]DIRETORES NTE'!$E$5:$E$31,),2,0),"-")</f>
        <v>-</v>
      </c>
    </row>
    <row r="634" spans="1:15" x14ac:dyDescent="0.25">
      <c r="A634" s="10">
        <v>632</v>
      </c>
      <c r="B634" s="11">
        <v>19</v>
      </c>
      <c r="C634" s="11" t="s">
        <v>2323</v>
      </c>
      <c r="D634" s="11">
        <v>1105169</v>
      </c>
      <c r="E634" s="11">
        <v>29092191</v>
      </c>
      <c r="F634" s="12" t="s">
        <v>2324</v>
      </c>
      <c r="G634" s="11" t="s">
        <v>2325</v>
      </c>
      <c r="H634" t="s">
        <v>2326</v>
      </c>
      <c r="I634" s="13">
        <v>37254731534</v>
      </c>
      <c r="J634" s="14">
        <v>23661</v>
      </c>
      <c r="K634" s="14">
        <v>23661</v>
      </c>
      <c r="L634" s="10" t="s">
        <v>336</v>
      </c>
      <c r="M634" s="14">
        <v>0</v>
      </c>
      <c r="N634" s="15">
        <v>0</v>
      </c>
      <c r="O634" t="str">
        <f>IFERROR(VLOOKUP($I634,CHOOSE({1,2},'[1]DIRETORES NTE'!$H$5:$H$31,'[1]DIRETORES NTE'!$E$5:$E$31,),2,0),"-")</f>
        <v>-</v>
      </c>
    </row>
    <row r="635" spans="1:15" x14ac:dyDescent="0.25">
      <c r="A635" s="10">
        <v>633</v>
      </c>
      <c r="B635" s="11">
        <v>19</v>
      </c>
      <c r="C635" s="11" t="s">
        <v>2327</v>
      </c>
      <c r="D635" s="11">
        <v>1107536</v>
      </c>
      <c r="E635" s="11">
        <v>29110076</v>
      </c>
      <c r="F635" s="12" t="s">
        <v>2328</v>
      </c>
      <c r="G635" s="11" t="s">
        <v>2329</v>
      </c>
      <c r="H635" t="s">
        <v>2330</v>
      </c>
      <c r="I635" s="13">
        <v>64689395500</v>
      </c>
      <c r="J635" s="14">
        <v>19519</v>
      </c>
      <c r="K635" s="14">
        <v>4265.5</v>
      </c>
      <c r="L635" s="10" t="s">
        <v>336</v>
      </c>
      <c r="M635" s="14">
        <v>15253.5</v>
      </c>
      <c r="N635" s="15">
        <v>0.78146933756852299</v>
      </c>
      <c r="O635" t="str">
        <f>IFERROR(VLOOKUP($I635,CHOOSE({1,2},'[1]DIRETORES NTE'!$H$5:$H$31,'[1]DIRETORES NTE'!$E$5:$E$31,),2,0),"-")</f>
        <v>-</v>
      </c>
    </row>
    <row r="636" spans="1:15" x14ac:dyDescent="0.25">
      <c r="A636" s="10">
        <v>634</v>
      </c>
      <c r="B636" s="11">
        <v>19</v>
      </c>
      <c r="C636" s="11" t="s">
        <v>2331</v>
      </c>
      <c r="D636" s="11">
        <v>1105436</v>
      </c>
      <c r="E636" s="11">
        <v>29157803</v>
      </c>
      <c r="F636" s="12" t="s">
        <v>2332</v>
      </c>
      <c r="G636" s="11" t="s">
        <v>2333</v>
      </c>
      <c r="H636" t="s">
        <v>2334</v>
      </c>
      <c r="I636" s="13">
        <v>90907183549</v>
      </c>
      <c r="J636" s="14">
        <v>23972</v>
      </c>
      <c r="K636" s="14">
        <v>3896.46</v>
      </c>
      <c r="L636" s="10" t="s">
        <v>336</v>
      </c>
      <c r="M636" s="14">
        <v>20075.54</v>
      </c>
      <c r="N636" s="15">
        <v>0.8374578675120975</v>
      </c>
      <c r="O636" t="str">
        <f>IFERROR(VLOOKUP($I636,CHOOSE({1,2},'[1]DIRETORES NTE'!$H$5:$H$31,'[1]DIRETORES NTE'!$E$5:$E$31,),2,0),"-")</f>
        <v>-</v>
      </c>
    </row>
    <row r="637" spans="1:15" x14ac:dyDescent="0.25">
      <c r="A637" s="10">
        <v>635</v>
      </c>
      <c r="B637" s="11">
        <v>1</v>
      </c>
      <c r="C637" s="11" t="s">
        <v>2335</v>
      </c>
      <c r="D637" s="11">
        <v>1178040</v>
      </c>
      <c r="E637" s="11">
        <v>29428726</v>
      </c>
      <c r="F637" s="12" t="s">
        <v>2336</v>
      </c>
      <c r="G637" s="11" t="s">
        <v>2337</v>
      </c>
      <c r="H637" t="s">
        <v>2338</v>
      </c>
      <c r="I637" s="13" t="s">
        <v>2339</v>
      </c>
      <c r="J637" s="14">
        <v>17920</v>
      </c>
      <c r="K637" s="14">
        <v>17920</v>
      </c>
      <c r="L637" s="10" t="s">
        <v>356</v>
      </c>
      <c r="M637" s="14">
        <v>0</v>
      </c>
      <c r="N637" s="15">
        <v>0</v>
      </c>
      <c r="O637" t="str">
        <f>IFERROR(VLOOKUP($I637,CHOOSE({1,2},'[1]DIRETORES NTE'!$H$5:$H$31,'[1]DIRETORES NTE'!$E$5:$E$31,),2,0),"-")</f>
        <v>-</v>
      </c>
    </row>
    <row r="638" spans="1:15" x14ac:dyDescent="0.25">
      <c r="A638" s="10">
        <v>636</v>
      </c>
      <c r="B638" s="11">
        <v>26</v>
      </c>
      <c r="C638" s="11" t="s">
        <v>95</v>
      </c>
      <c r="D638" s="11">
        <v>1176074</v>
      </c>
      <c r="E638" s="11">
        <v>29185408</v>
      </c>
      <c r="F638" s="12" t="s">
        <v>2340</v>
      </c>
      <c r="G638" s="11" t="s">
        <v>2341</v>
      </c>
      <c r="H638" t="s">
        <v>2342</v>
      </c>
      <c r="I638" s="13">
        <v>42315336520</v>
      </c>
      <c r="J638" s="14">
        <v>15394</v>
      </c>
      <c r="K638" s="14">
        <v>15394</v>
      </c>
      <c r="L638" s="10" t="s">
        <v>99</v>
      </c>
      <c r="M638" s="14">
        <v>0</v>
      </c>
      <c r="N638" s="15">
        <v>0</v>
      </c>
      <c r="O638" t="str">
        <f>IFERROR(VLOOKUP($I638,CHOOSE({1,2},'[1]DIRETORES NTE'!$H$5:$H$31,'[1]DIRETORES NTE'!$E$5:$E$31,),2,0),"-")</f>
        <v>-</v>
      </c>
    </row>
    <row r="639" spans="1:15" x14ac:dyDescent="0.25">
      <c r="A639" s="10">
        <v>637</v>
      </c>
      <c r="B639" s="11">
        <v>20</v>
      </c>
      <c r="C639" s="11" t="s">
        <v>2343</v>
      </c>
      <c r="D639" s="11">
        <v>1179113</v>
      </c>
      <c r="E639" s="11">
        <v>29449332</v>
      </c>
      <c r="F639" s="12" t="s">
        <v>2344</v>
      </c>
      <c r="G639" s="11" t="s">
        <v>2345</v>
      </c>
      <c r="H639" t="s">
        <v>2346</v>
      </c>
      <c r="I639" s="13">
        <v>57841756534</v>
      </c>
      <c r="J639" s="14">
        <v>7657</v>
      </c>
      <c r="K639" s="14">
        <v>7657</v>
      </c>
      <c r="L639" s="10" t="s">
        <v>27</v>
      </c>
      <c r="M639" s="14">
        <v>0</v>
      </c>
      <c r="N639" s="15">
        <v>0</v>
      </c>
      <c r="O639" t="str">
        <f>IFERROR(VLOOKUP($I639,CHOOSE({1,2},'[1]DIRETORES NTE'!$H$5:$H$31,'[1]DIRETORES NTE'!$E$5:$E$31,),2,0),"-")</f>
        <v>-</v>
      </c>
    </row>
    <row r="640" spans="1:15" x14ac:dyDescent="0.25">
      <c r="A640" s="10">
        <v>638</v>
      </c>
      <c r="B640" s="11">
        <v>22</v>
      </c>
      <c r="C640" s="11" t="s">
        <v>2347</v>
      </c>
      <c r="D640" s="11">
        <v>1158882</v>
      </c>
      <c r="E640" s="11">
        <v>29299268</v>
      </c>
      <c r="F640" s="12" t="s">
        <v>2348</v>
      </c>
      <c r="G640" s="11" t="s">
        <v>891</v>
      </c>
      <c r="H640" t="s">
        <v>2349</v>
      </c>
      <c r="I640" s="13">
        <v>87520656500</v>
      </c>
      <c r="J640" s="14">
        <v>0</v>
      </c>
      <c r="K640" s="14">
        <v>0</v>
      </c>
      <c r="L640" s="10" t="s">
        <v>200</v>
      </c>
      <c r="M640" s="14">
        <v>0</v>
      </c>
      <c r="N640" s="15" t="e">
        <v>#DIV/0!</v>
      </c>
      <c r="O640" t="str">
        <f>IFERROR(VLOOKUP($I640,CHOOSE({1,2},'[1]DIRETORES NTE'!$H$5:$H$31,'[1]DIRETORES NTE'!$E$5:$E$31,),2,0),"-")</f>
        <v>-</v>
      </c>
    </row>
    <row r="641" spans="1:15" x14ac:dyDescent="0.25">
      <c r="A641" s="10">
        <v>639</v>
      </c>
      <c r="B641" s="11">
        <v>19</v>
      </c>
      <c r="C641" s="11" t="s">
        <v>331</v>
      </c>
      <c r="D641" s="11">
        <v>1142994</v>
      </c>
      <c r="E641" s="11">
        <v>29093295</v>
      </c>
      <c r="F641" s="12" t="s">
        <v>2350</v>
      </c>
      <c r="G641" s="11" t="s">
        <v>2351</v>
      </c>
      <c r="H641" t="s">
        <v>2352</v>
      </c>
      <c r="I641" s="13">
        <v>33988153591</v>
      </c>
      <c r="J641" s="14">
        <v>3055</v>
      </c>
      <c r="K641" s="14">
        <v>3055</v>
      </c>
      <c r="L641" s="10" t="s">
        <v>336</v>
      </c>
      <c r="M641" s="14">
        <v>0</v>
      </c>
      <c r="N641" s="15">
        <v>0</v>
      </c>
      <c r="O641" t="str">
        <f>IFERROR(VLOOKUP($I641,CHOOSE({1,2},'[1]DIRETORES NTE'!$H$5:$H$31,'[1]DIRETORES NTE'!$E$5:$E$31,),2,0),"-")</f>
        <v>-</v>
      </c>
    </row>
    <row r="642" spans="1:15" x14ac:dyDescent="0.25">
      <c r="A642" s="10">
        <v>640</v>
      </c>
      <c r="B642" s="11">
        <v>21</v>
      </c>
      <c r="C642" s="11" t="s">
        <v>2353</v>
      </c>
      <c r="D642" s="11">
        <v>1134665</v>
      </c>
      <c r="E642" s="11">
        <v>29170877</v>
      </c>
      <c r="F642" s="12" t="s">
        <v>2354</v>
      </c>
      <c r="G642" s="11" t="s">
        <v>2355</v>
      </c>
      <c r="H642" t="s">
        <v>2356</v>
      </c>
      <c r="I642" s="13">
        <v>64371212549</v>
      </c>
      <c r="J642" s="14">
        <v>7930</v>
      </c>
      <c r="K642" s="14">
        <v>7930</v>
      </c>
      <c r="L642" s="10" t="s">
        <v>63</v>
      </c>
      <c r="M642" s="14">
        <v>0</v>
      </c>
      <c r="N642" s="15">
        <v>0</v>
      </c>
      <c r="O642" t="str">
        <f>IFERROR(VLOOKUP($I642,CHOOSE({1,2},'[1]DIRETORES NTE'!$H$5:$H$31,'[1]DIRETORES NTE'!$E$5:$E$31,),2,0),"-")</f>
        <v>-</v>
      </c>
    </row>
    <row r="643" spans="1:15" x14ac:dyDescent="0.25">
      <c r="A643" s="10">
        <v>641</v>
      </c>
      <c r="B643" s="11">
        <v>10</v>
      </c>
      <c r="C643" s="11" t="s">
        <v>16</v>
      </c>
      <c r="D643" s="11">
        <v>1120915</v>
      </c>
      <c r="E643" s="11">
        <v>29024579</v>
      </c>
      <c r="F643" s="12" t="s">
        <v>2357</v>
      </c>
      <c r="G643" s="11" t="s">
        <v>2358</v>
      </c>
      <c r="H643" t="s">
        <v>2359</v>
      </c>
      <c r="I643" s="13">
        <v>90738780553</v>
      </c>
      <c r="J643" s="14">
        <v>21024</v>
      </c>
      <c r="K643" s="14">
        <v>21024</v>
      </c>
      <c r="L643" s="10" t="s">
        <v>21</v>
      </c>
      <c r="M643" s="14">
        <v>0</v>
      </c>
      <c r="N643" s="15">
        <v>0</v>
      </c>
      <c r="O643" t="str">
        <f>IFERROR(VLOOKUP($I643,CHOOSE({1,2},'[1]DIRETORES NTE'!$H$5:$H$31,'[1]DIRETORES NTE'!$E$5:$E$31,),2,0),"-")</f>
        <v>-</v>
      </c>
    </row>
    <row r="644" spans="1:15" x14ac:dyDescent="0.25">
      <c r="A644" s="10">
        <v>642</v>
      </c>
      <c r="B644" s="11">
        <v>18</v>
      </c>
      <c r="C644" s="11" t="s">
        <v>2360</v>
      </c>
      <c r="D644" s="11">
        <v>1114613</v>
      </c>
      <c r="E644" s="11">
        <v>29153190</v>
      </c>
      <c r="F644" s="12" t="s">
        <v>2361</v>
      </c>
      <c r="G644" s="11" t="s">
        <v>2362</v>
      </c>
      <c r="H644" t="s">
        <v>2363</v>
      </c>
      <c r="I644" s="13" t="s">
        <v>2364</v>
      </c>
      <c r="J644" s="14">
        <v>19057</v>
      </c>
      <c r="K644" s="14">
        <v>19057</v>
      </c>
      <c r="L644" s="10" t="s">
        <v>68</v>
      </c>
      <c r="M644" s="14">
        <v>0</v>
      </c>
      <c r="N644" s="15">
        <v>0</v>
      </c>
      <c r="O644" t="str">
        <f>IFERROR(VLOOKUP($I644,CHOOSE({1,2},'[1]DIRETORES NTE'!$H$5:$H$31,'[1]DIRETORES NTE'!$E$5:$E$31,),2,0),"-")</f>
        <v>-</v>
      </c>
    </row>
    <row r="645" spans="1:15" x14ac:dyDescent="0.25">
      <c r="A645" s="10">
        <v>643</v>
      </c>
      <c r="B645" s="11">
        <v>5</v>
      </c>
      <c r="C645" s="11" t="s">
        <v>2026</v>
      </c>
      <c r="D645" s="11">
        <v>1178751</v>
      </c>
      <c r="E645" s="11">
        <v>29449219</v>
      </c>
      <c r="F645" s="12" t="s">
        <v>2365</v>
      </c>
      <c r="G645" s="11" t="s">
        <v>2366</v>
      </c>
      <c r="H645" t="s">
        <v>2367</v>
      </c>
      <c r="I645" s="13" t="s">
        <v>2368</v>
      </c>
      <c r="J645" s="14">
        <v>4521</v>
      </c>
      <c r="K645" s="14">
        <v>4521</v>
      </c>
      <c r="L645" s="10" t="s">
        <v>44</v>
      </c>
      <c r="M645" s="14">
        <v>0</v>
      </c>
      <c r="N645" s="15">
        <v>0</v>
      </c>
      <c r="O645" t="str">
        <f>IFERROR(VLOOKUP($I645,CHOOSE({1,2},'[1]DIRETORES NTE'!$H$5:$H$31,'[1]DIRETORES NTE'!$E$5:$E$31,),2,0),"-")</f>
        <v>-</v>
      </c>
    </row>
    <row r="646" spans="1:15" x14ac:dyDescent="0.25">
      <c r="A646" s="10">
        <v>644</v>
      </c>
      <c r="B646" s="11">
        <v>7</v>
      </c>
      <c r="C646" s="11" t="s">
        <v>201</v>
      </c>
      <c r="D646" s="11">
        <v>1178182</v>
      </c>
      <c r="E646" s="11">
        <v>29440530</v>
      </c>
      <c r="F646" s="12" t="s">
        <v>2369</v>
      </c>
      <c r="G646" s="11" t="s">
        <v>2370</v>
      </c>
      <c r="H646" t="s">
        <v>2371</v>
      </c>
      <c r="I646" s="13">
        <v>15231265748</v>
      </c>
      <c r="J646" s="14">
        <v>1095</v>
      </c>
      <c r="K646" s="14">
        <v>1095</v>
      </c>
      <c r="L646" s="10" t="s">
        <v>153</v>
      </c>
      <c r="M646" s="14">
        <v>0</v>
      </c>
      <c r="N646" s="15">
        <v>0</v>
      </c>
      <c r="O646" t="str">
        <f>IFERROR(VLOOKUP($I646,CHOOSE({1,2},'[1]DIRETORES NTE'!$H$5:$H$31,'[1]DIRETORES NTE'!$E$5:$E$31,),2,0),"-")</f>
        <v>-</v>
      </c>
    </row>
    <row r="647" spans="1:15" x14ac:dyDescent="0.25">
      <c r="A647" s="10">
        <v>645</v>
      </c>
      <c r="B647" s="11">
        <v>4</v>
      </c>
      <c r="C647" s="11" t="s">
        <v>2372</v>
      </c>
      <c r="D647" s="11">
        <v>1115431</v>
      </c>
      <c r="E647" s="11">
        <v>29135710</v>
      </c>
      <c r="F647" s="12" t="s">
        <v>2373</v>
      </c>
      <c r="G647" s="11" t="s">
        <v>2374</v>
      </c>
      <c r="H647" t="s">
        <v>2375</v>
      </c>
      <c r="I647" s="13" t="s">
        <v>2376</v>
      </c>
      <c r="J647" s="14">
        <v>25335</v>
      </c>
      <c r="K647" s="14">
        <v>25335</v>
      </c>
      <c r="L647" s="10" t="s">
        <v>58</v>
      </c>
      <c r="M647" s="14">
        <v>0</v>
      </c>
      <c r="N647" s="15">
        <v>0</v>
      </c>
      <c r="O647" t="str">
        <f>IFERROR(VLOOKUP($I647,CHOOSE({1,2},'[1]DIRETORES NTE'!$H$5:$H$31,'[1]DIRETORES NTE'!$E$5:$E$31,),2,0),"-")</f>
        <v>-</v>
      </c>
    </row>
    <row r="648" spans="1:15" x14ac:dyDescent="0.25">
      <c r="A648" s="10">
        <v>646</v>
      </c>
      <c r="B648" s="11">
        <v>4</v>
      </c>
      <c r="C648" s="11" t="s">
        <v>54</v>
      </c>
      <c r="D648" s="11">
        <v>1178079</v>
      </c>
      <c r="E648" s="11">
        <v>29432154</v>
      </c>
      <c r="F648" s="12" t="s">
        <v>2377</v>
      </c>
      <c r="G648" s="11" t="s">
        <v>2378</v>
      </c>
      <c r="H648" t="s">
        <v>2379</v>
      </c>
      <c r="I648" s="13" t="s">
        <v>2380</v>
      </c>
      <c r="J648" s="14">
        <v>11136</v>
      </c>
      <c r="K648" s="14">
        <v>11136</v>
      </c>
      <c r="L648" s="10" t="s">
        <v>58</v>
      </c>
      <c r="M648" s="14">
        <v>0</v>
      </c>
      <c r="N648" s="15">
        <v>0</v>
      </c>
      <c r="O648" t="str">
        <f>IFERROR(VLOOKUP($I648,CHOOSE({1,2},'[1]DIRETORES NTE'!$H$5:$H$31,'[1]DIRETORES NTE'!$E$5:$E$31,),2,0),"-")</f>
        <v>-</v>
      </c>
    </row>
    <row r="649" spans="1:15" x14ac:dyDescent="0.25">
      <c r="A649" s="10">
        <v>647</v>
      </c>
      <c r="B649" s="11">
        <v>26</v>
      </c>
      <c r="C649" s="11" t="s">
        <v>95</v>
      </c>
      <c r="D649" s="11">
        <v>1104375</v>
      </c>
      <c r="E649" s="11">
        <v>29183839</v>
      </c>
      <c r="F649" s="12" t="s">
        <v>2381</v>
      </c>
      <c r="G649" s="11" t="s">
        <v>2382</v>
      </c>
      <c r="H649" t="s">
        <v>2383</v>
      </c>
      <c r="I649" s="13" t="s">
        <v>2384</v>
      </c>
      <c r="J649" s="14">
        <v>13387</v>
      </c>
      <c r="K649" s="14">
        <v>13387</v>
      </c>
      <c r="L649" s="10" t="s">
        <v>99</v>
      </c>
      <c r="M649" s="14">
        <v>0</v>
      </c>
      <c r="N649" s="15">
        <v>0</v>
      </c>
      <c r="O649" t="str">
        <f>IFERROR(VLOOKUP($I649,CHOOSE({1,2},'[1]DIRETORES NTE'!$H$5:$H$31,'[1]DIRETORES NTE'!$E$5:$E$31,),2,0),"-")</f>
        <v>-</v>
      </c>
    </row>
    <row r="650" spans="1:15" x14ac:dyDescent="0.25">
      <c r="A650" s="10">
        <v>648</v>
      </c>
      <c r="B650" s="11">
        <v>8</v>
      </c>
      <c r="C650" s="11" t="s">
        <v>2385</v>
      </c>
      <c r="D650" s="11">
        <v>1118619</v>
      </c>
      <c r="E650" s="11">
        <v>29272947</v>
      </c>
      <c r="F650" s="12" t="s">
        <v>1142</v>
      </c>
      <c r="G650" s="11" t="s">
        <v>2386</v>
      </c>
      <c r="H650" t="s">
        <v>2387</v>
      </c>
      <c r="I650" s="13">
        <v>73484849568</v>
      </c>
      <c r="J650" s="14">
        <v>10121</v>
      </c>
      <c r="K650" s="14">
        <v>10121</v>
      </c>
      <c r="L650" s="10" t="s">
        <v>285</v>
      </c>
      <c r="M650" s="14">
        <v>0</v>
      </c>
      <c r="N650" s="15">
        <v>0</v>
      </c>
      <c r="O650" t="str">
        <f>IFERROR(VLOOKUP($I650,CHOOSE({1,2},'[1]DIRETORES NTE'!$H$5:$H$31,'[1]DIRETORES NTE'!$E$5:$E$31,),2,0),"-")</f>
        <v>-</v>
      </c>
    </row>
    <row r="651" spans="1:15" x14ac:dyDescent="0.25">
      <c r="A651" s="10">
        <v>649</v>
      </c>
      <c r="B651" s="11">
        <v>15</v>
      </c>
      <c r="C651" s="11" t="s">
        <v>1005</v>
      </c>
      <c r="D651" s="11">
        <v>1137982</v>
      </c>
      <c r="E651" s="11">
        <v>29142997</v>
      </c>
      <c r="F651" s="12" t="s">
        <v>2388</v>
      </c>
      <c r="G651" s="11" t="s">
        <v>2389</v>
      </c>
      <c r="H651" t="s">
        <v>2390</v>
      </c>
      <c r="I651" s="13" t="s">
        <v>2391</v>
      </c>
      <c r="J651" s="14">
        <v>12576</v>
      </c>
      <c r="K651" s="14">
        <v>12576</v>
      </c>
      <c r="L651" s="10" t="s">
        <v>280</v>
      </c>
      <c r="M651" s="14">
        <v>0</v>
      </c>
      <c r="N651" s="15">
        <v>0</v>
      </c>
      <c r="O651" t="str">
        <f>IFERROR(VLOOKUP($I651,CHOOSE({1,2},'[1]DIRETORES NTE'!$H$5:$H$31,'[1]DIRETORES NTE'!$E$5:$E$31,),2,0),"-")</f>
        <v>-</v>
      </c>
    </row>
    <row r="652" spans="1:15" x14ac:dyDescent="0.25">
      <c r="A652" s="10">
        <v>650</v>
      </c>
      <c r="B652" s="11">
        <v>26</v>
      </c>
      <c r="C652" s="11" t="s">
        <v>95</v>
      </c>
      <c r="D652" s="11">
        <v>1176080</v>
      </c>
      <c r="E652" s="11">
        <v>29182115</v>
      </c>
      <c r="F652" s="12" t="s">
        <v>2392</v>
      </c>
      <c r="G652" s="11" t="s">
        <v>2393</v>
      </c>
      <c r="H652" t="s">
        <v>2394</v>
      </c>
      <c r="I652" s="13">
        <v>24764566591</v>
      </c>
      <c r="J652" s="14">
        <v>9143</v>
      </c>
      <c r="K652" s="14">
        <v>9143</v>
      </c>
      <c r="L652" s="10" t="s">
        <v>99</v>
      </c>
      <c r="M652" s="14">
        <v>0</v>
      </c>
      <c r="N652" s="15">
        <v>0</v>
      </c>
      <c r="O652" t="str">
        <f>IFERROR(VLOOKUP($I652,CHOOSE({1,2},'[1]DIRETORES NTE'!$H$5:$H$31,'[1]DIRETORES NTE'!$E$5:$E$31,),2,0),"-")</f>
        <v>-</v>
      </c>
    </row>
    <row r="653" spans="1:15" x14ac:dyDescent="0.25">
      <c r="A653" s="10">
        <v>651</v>
      </c>
      <c r="B653" s="11">
        <v>5</v>
      </c>
      <c r="C653" s="11" t="s">
        <v>2395</v>
      </c>
      <c r="D653" s="11">
        <v>1178142</v>
      </c>
      <c r="E653" s="11">
        <v>29886732</v>
      </c>
      <c r="F653" s="12" t="s">
        <v>2396</v>
      </c>
      <c r="G653" s="11" t="s">
        <v>2397</v>
      </c>
      <c r="H653" t="s">
        <v>2398</v>
      </c>
      <c r="I653" s="13">
        <v>40461130572</v>
      </c>
      <c r="J653" s="14">
        <v>3430</v>
      </c>
      <c r="K653" s="14">
        <v>3430</v>
      </c>
      <c r="L653" s="10" t="s">
        <v>44</v>
      </c>
      <c r="M653" s="14">
        <v>0</v>
      </c>
      <c r="N653" s="15">
        <v>0</v>
      </c>
      <c r="O653" t="str">
        <f>IFERROR(VLOOKUP($I653,CHOOSE({1,2},'[1]DIRETORES NTE'!$H$5:$H$31,'[1]DIRETORES NTE'!$E$5:$E$31,),2,0),"-")</f>
        <v>-</v>
      </c>
    </row>
    <row r="654" spans="1:15" x14ac:dyDescent="0.25">
      <c r="A654" s="10">
        <v>652</v>
      </c>
      <c r="B654" s="11">
        <v>7</v>
      </c>
      <c r="C654" s="11" t="s">
        <v>2399</v>
      </c>
      <c r="D654" s="11">
        <v>1113102</v>
      </c>
      <c r="E654" s="11">
        <v>29317789</v>
      </c>
      <c r="F654" s="12" t="s">
        <v>2400</v>
      </c>
      <c r="G654" s="11" t="s">
        <v>2401</v>
      </c>
      <c r="H654" t="s">
        <v>2402</v>
      </c>
      <c r="I654" s="13">
        <v>64623742504</v>
      </c>
      <c r="J654" s="14">
        <v>12870</v>
      </c>
      <c r="K654" s="14">
        <v>12870</v>
      </c>
      <c r="L654" s="10" t="s">
        <v>153</v>
      </c>
      <c r="M654" s="14">
        <v>0</v>
      </c>
      <c r="N654" s="15">
        <v>0</v>
      </c>
      <c r="O654" t="str">
        <f>IFERROR(VLOOKUP($I654,CHOOSE({1,2},'[1]DIRETORES NTE'!$H$5:$H$31,'[1]DIRETORES NTE'!$E$5:$E$31,),2,0),"-")</f>
        <v>-</v>
      </c>
    </row>
    <row r="655" spans="1:15" x14ac:dyDescent="0.25">
      <c r="A655" s="10">
        <v>653</v>
      </c>
      <c r="B655" s="11">
        <v>13</v>
      </c>
      <c r="C655" s="11" t="s">
        <v>2403</v>
      </c>
      <c r="D655" s="11">
        <v>1140606</v>
      </c>
      <c r="E655" s="11">
        <v>29248132</v>
      </c>
      <c r="F655" s="12" t="s">
        <v>2404</v>
      </c>
      <c r="G655" s="11" t="s">
        <v>2405</v>
      </c>
      <c r="H655" t="s">
        <v>2406</v>
      </c>
      <c r="I655" s="13">
        <v>62027140930</v>
      </c>
      <c r="J655" s="14">
        <v>7248</v>
      </c>
      <c r="K655" s="14">
        <v>7248</v>
      </c>
      <c r="L655" s="10" t="s">
        <v>33</v>
      </c>
      <c r="M655" s="14">
        <v>0</v>
      </c>
      <c r="N655" s="15">
        <v>0</v>
      </c>
      <c r="O655" t="str">
        <f>IFERROR(VLOOKUP($I655,CHOOSE({1,2},'[1]DIRETORES NTE'!$H$5:$H$31,'[1]DIRETORES NTE'!$E$5:$E$31,),2,0),"-")</f>
        <v>-</v>
      </c>
    </row>
    <row r="656" spans="1:15" x14ac:dyDescent="0.25">
      <c r="A656" s="10">
        <v>654</v>
      </c>
      <c r="B656" s="11">
        <v>15</v>
      </c>
      <c r="C656" s="11" t="s">
        <v>2407</v>
      </c>
      <c r="D656" s="11">
        <v>1122705</v>
      </c>
      <c r="E656" s="11">
        <v>29077540</v>
      </c>
      <c r="F656" s="12" t="s">
        <v>2408</v>
      </c>
      <c r="G656" s="11" t="s">
        <v>2409</v>
      </c>
      <c r="H656" t="s">
        <v>2410</v>
      </c>
      <c r="I656" s="13">
        <v>92235638520</v>
      </c>
      <c r="J656" s="14">
        <v>7106</v>
      </c>
      <c r="K656" s="14">
        <v>7106</v>
      </c>
      <c r="L656" s="10" t="s">
        <v>280</v>
      </c>
      <c r="M656" s="14">
        <v>0</v>
      </c>
      <c r="N656" s="15">
        <v>0</v>
      </c>
      <c r="O656" t="str">
        <f>IFERROR(VLOOKUP($I656,CHOOSE({1,2},'[1]DIRETORES NTE'!$H$5:$H$31,'[1]DIRETORES NTE'!$E$5:$E$31,),2,0),"-")</f>
        <v>-</v>
      </c>
    </row>
    <row r="657" spans="1:15" x14ac:dyDescent="0.25">
      <c r="A657" s="10">
        <v>655</v>
      </c>
      <c r="B657" s="11" t="s">
        <v>237</v>
      </c>
      <c r="C657" s="11" t="s">
        <v>237</v>
      </c>
      <c r="D657" s="11" t="s">
        <v>237</v>
      </c>
      <c r="E657" s="11" t="s">
        <v>237</v>
      </c>
      <c r="F657" s="12" t="s">
        <v>237</v>
      </c>
      <c r="G657" s="11" t="s">
        <v>237</v>
      </c>
      <c r="H657" t="s">
        <v>2411</v>
      </c>
      <c r="I657" s="13" t="s">
        <v>2412</v>
      </c>
      <c r="J657" s="14">
        <v>4960</v>
      </c>
      <c r="K657" s="14">
        <v>4960</v>
      </c>
      <c r="L657" s="10" t="s">
        <v>153</v>
      </c>
      <c r="M657" s="14">
        <v>0</v>
      </c>
      <c r="N657" s="15">
        <v>0</v>
      </c>
      <c r="O657" t="str">
        <f>IFERROR(VLOOKUP($I657,CHOOSE({1,2},'[1]DIRETORES NTE'!$H$5:$H$31,'[1]DIRETORES NTE'!$E$5:$E$31,),2,0),"-")</f>
        <v>-</v>
      </c>
    </row>
    <row r="658" spans="1:15" x14ac:dyDescent="0.25">
      <c r="A658" s="10">
        <v>656</v>
      </c>
      <c r="B658" s="11">
        <v>26</v>
      </c>
      <c r="C658" s="11" t="s">
        <v>95</v>
      </c>
      <c r="D658" s="11">
        <v>1179485</v>
      </c>
      <c r="E658" s="11">
        <v>29467934</v>
      </c>
      <c r="F658" s="12" t="s">
        <v>2413</v>
      </c>
      <c r="G658" s="11" t="s">
        <v>2414</v>
      </c>
      <c r="H658" t="s">
        <v>2415</v>
      </c>
      <c r="I658" s="13">
        <v>67808980587</v>
      </c>
      <c r="J658" s="14">
        <v>10306</v>
      </c>
      <c r="K658" s="14">
        <v>10306</v>
      </c>
      <c r="L658" s="10" t="s">
        <v>99</v>
      </c>
      <c r="M658" s="14">
        <v>0</v>
      </c>
      <c r="N658" s="15">
        <v>0</v>
      </c>
      <c r="O658" t="str">
        <f>IFERROR(VLOOKUP($I658,CHOOSE({1,2},'[1]DIRETORES NTE'!$H$5:$H$31,'[1]DIRETORES NTE'!$E$5:$E$31,),2,0),"-")</f>
        <v>-</v>
      </c>
    </row>
    <row r="659" spans="1:15" x14ac:dyDescent="0.25">
      <c r="A659" s="10">
        <v>657</v>
      </c>
      <c r="B659" s="11">
        <v>11</v>
      </c>
      <c r="C659" s="11" t="s">
        <v>1095</v>
      </c>
      <c r="D659" s="11">
        <v>1179440</v>
      </c>
      <c r="E659" s="11">
        <v>29464773</v>
      </c>
      <c r="F659" s="12" t="s">
        <v>2416</v>
      </c>
      <c r="G659" s="11" t="s">
        <v>2417</v>
      </c>
      <c r="H659" t="s">
        <v>2418</v>
      </c>
      <c r="I659" s="13" t="s">
        <v>2419</v>
      </c>
      <c r="J659" s="14">
        <v>16147</v>
      </c>
      <c r="K659" s="14">
        <v>16147</v>
      </c>
      <c r="L659" s="10" t="s">
        <v>39</v>
      </c>
      <c r="M659" s="14">
        <v>0</v>
      </c>
      <c r="N659" s="15">
        <v>0</v>
      </c>
      <c r="O659" t="str">
        <f>IFERROR(VLOOKUP($I659,CHOOSE({1,2},'[1]DIRETORES NTE'!$H$5:$H$31,'[1]DIRETORES NTE'!$E$5:$E$31,),2,0),"-")</f>
        <v>-</v>
      </c>
    </row>
    <row r="660" spans="1:15" x14ac:dyDescent="0.25">
      <c r="A660" s="10">
        <v>658</v>
      </c>
      <c r="B660" s="11">
        <v>9</v>
      </c>
      <c r="C660" s="11" t="s">
        <v>2420</v>
      </c>
      <c r="D660" s="11">
        <v>1119470</v>
      </c>
      <c r="E660" s="11">
        <v>29226040</v>
      </c>
      <c r="F660" s="12" t="s">
        <v>2421</v>
      </c>
      <c r="G660" s="11" t="s">
        <v>2422</v>
      </c>
      <c r="H660" t="s">
        <v>2423</v>
      </c>
      <c r="I660" s="13" t="s">
        <v>2424</v>
      </c>
      <c r="J660" s="14">
        <v>5086</v>
      </c>
      <c r="K660" s="14">
        <v>5086</v>
      </c>
      <c r="L660" s="10" t="s">
        <v>167</v>
      </c>
      <c r="M660" s="14">
        <v>0</v>
      </c>
      <c r="N660" s="15">
        <v>0</v>
      </c>
      <c r="O660" t="str">
        <f>IFERROR(VLOOKUP($I660,CHOOSE({1,2},'[1]DIRETORES NTE'!$H$5:$H$31,'[1]DIRETORES NTE'!$E$5:$E$31,),2,0),"-")</f>
        <v>-</v>
      </c>
    </row>
    <row r="661" spans="1:15" x14ac:dyDescent="0.25">
      <c r="A661" s="10">
        <v>659</v>
      </c>
      <c r="B661" s="11">
        <v>10</v>
      </c>
      <c r="C661" s="11" t="s">
        <v>16</v>
      </c>
      <c r="D661" s="11">
        <v>1120761</v>
      </c>
      <c r="E661" s="11">
        <v>29024722</v>
      </c>
      <c r="F661" s="12" t="s">
        <v>2425</v>
      </c>
      <c r="G661" s="11" t="s">
        <v>2426</v>
      </c>
      <c r="H661" t="s">
        <v>2427</v>
      </c>
      <c r="I661" s="13">
        <v>60767391004</v>
      </c>
      <c r="J661" s="14">
        <v>8391</v>
      </c>
      <c r="K661" s="14">
        <v>8391</v>
      </c>
      <c r="L661" s="10" t="s">
        <v>21</v>
      </c>
      <c r="M661" s="14">
        <v>0</v>
      </c>
      <c r="N661" s="15">
        <v>0</v>
      </c>
      <c r="O661" t="str">
        <f>IFERROR(VLOOKUP($I661,CHOOSE({1,2},'[1]DIRETORES NTE'!$H$5:$H$31,'[1]DIRETORES NTE'!$E$5:$E$31,),2,0),"-")</f>
        <v>-</v>
      </c>
    </row>
    <row r="662" spans="1:15" x14ac:dyDescent="0.25">
      <c r="A662" s="10">
        <v>660</v>
      </c>
      <c r="B662" s="11">
        <v>5</v>
      </c>
      <c r="C662" s="11" t="s">
        <v>209</v>
      </c>
      <c r="D662" s="11">
        <v>1112084</v>
      </c>
      <c r="E662" s="11">
        <v>29304776</v>
      </c>
      <c r="F662" s="12" t="s">
        <v>2428</v>
      </c>
      <c r="G662" s="11" t="s">
        <v>2429</v>
      </c>
      <c r="H662" t="s">
        <v>2430</v>
      </c>
      <c r="I662" s="13">
        <v>28709918515</v>
      </c>
      <c r="J662" s="14">
        <v>8852</v>
      </c>
      <c r="K662" s="14">
        <v>8852</v>
      </c>
      <c r="L662" s="10" t="s">
        <v>44</v>
      </c>
      <c r="M662" s="14">
        <v>0</v>
      </c>
      <c r="N662" s="15">
        <v>0</v>
      </c>
      <c r="O662" t="str">
        <f>IFERROR(VLOOKUP($I662,CHOOSE({1,2},'[1]DIRETORES NTE'!$H$5:$H$31,'[1]DIRETORES NTE'!$E$5:$E$31,),2,0),"-")</f>
        <v>-</v>
      </c>
    </row>
    <row r="663" spans="1:15" x14ac:dyDescent="0.25">
      <c r="A663" s="10">
        <v>661</v>
      </c>
      <c r="B663" s="11">
        <v>18</v>
      </c>
      <c r="C663" s="11" t="s">
        <v>754</v>
      </c>
      <c r="D663" s="11">
        <v>1108753</v>
      </c>
      <c r="E663" s="11">
        <v>29156211</v>
      </c>
      <c r="F663" s="12" t="s">
        <v>2431</v>
      </c>
      <c r="G663" s="11" t="s">
        <v>2432</v>
      </c>
      <c r="H663" t="s">
        <v>2433</v>
      </c>
      <c r="I663" s="13">
        <v>46569685520</v>
      </c>
      <c r="J663" s="14">
        <v>16444</v>
      </c>
      <c r="K663" s="14">
        <v>16444</v>
      </c>
      <c r="L663" s="10" t="s">
        <v>68</v>
      </c>
      <c r="M663" s="14">
        <v>0</v>
      </c>
      <c r="N663" s="15">
        <v>0</v>
      </c>
      <c r="O663" t="str">
        <f>IFERROR(VLOOKUP($I663,CHOOSE({1,2},'[1]DIRETORES NTE'!$H$5:$H$31,'[1]DIRETORES NTE'!$E$5:$E$31,),2,0),"-")</f>
        <v>-</v>
      </c>
    </row>
    <row r="664" spans="1:15" x14ac:dyDescent="0.25">
      <c r="A664" s="10">
        <v>662</v>
      </c>
      <c r="B664" s="11">
        <v>16</v>
      </c>
      <c r="C664" s="11" t="s">
        <v>869</v>
      </c>
      <c r="D664" s="11">
        <v>1121962</v>
      </c>
      <c r="E664" s="11">
        <v>29070350</v>
      </c>
      <c r="F664" s="12" t="s">
        <v>2434</v>
      </c>
      <c r="G664" s="11" t="s">
        <v>2435</v>
      </c>
      <c r="H664" t="s">
        <v>2436</v>
      </c>
      <c r="I664" s="13">
        <v>93800940515</v>
      </c>
      <c r="J664" s="14">
        <v>30200</v>
      </c>
      <c r="K664" s="14">
        <v>30200</v>
      </c>
      <c r="L664" s="10" t="s">
        <v>74</v>
      </c>
      <c r="M664" s="14">
        <v>0</v>
      </c>
      <c r="N664" s="15">
        <v>0</v>
      </c>
      <c r="O664" t="str">
        <f>IFERROR(VLOOKUP($I664,CHOOSE({1,2},'[1]DIRETORES NTE'!$H$5:$H$31,'[1]DIRETORES NTE'!$E$5:$E$31,),2,0),"-")</f>
        <v>-</v>
      </c>
    </row>
    <row r="665" spans="1:15" x14ac:dyDescent="0.25">
      <c r="A665" s="10">
        <v>663</v>
      </c>
      <c r="B665" s="11">
        <v>18</v>
      </c>
      <c r="C665" s="11" t="s">
        <v>2437</v>
      </c>
      <c r="D665" s="11">
        <v>1108273</v>
      </c>
      <c r="E665" s="11">
        <v>29154707</v>
      </c>
      <c r="F665" s="12" t="s">
        <v>2438</v>
      </c>
      <c r="G665" s="11" t="s">
        <v>2439</v>
      </c>
      <c r="H665" t="s">
        <v>2440</v>
      </c>
      <c r="I665" s="13">
        <v>90573390568</v>
      </c>
      <c r="J665" s="14">
        <v>10875</v>
      </c>
      <c r="K665" s="14">
        <v>10875</v>
      </c>
      <c r="L665" s="10" t="s">
        <v>68</v>
      </c>
      <c r="M665" s="14">
        <v>0</v>
      </c>
      <c r="N665" s="15">
        <v>0</v>
      </c>
      <c r="O665" t="str">
        <f>IFERROR(VLOOKUP($I665,CHOOSE({1,2},'[1]DIRETORES NTE'!$H$5:$H$31,'[1]DIRETORES NTE'!$E$5:$E$31,),2,0),"-")</f>
        <v>-</v>
      </c>
    </row>
    <row r="666" spans="1:15" x14ac:dyDescent="0.25">
      <c r="A666" s="10">
        <v>664</v>
      </c>
      <c r="B666" s="11">
        <v>5</v>
      </c>
      <c r="C666" s="11" t="s">
        <v>2441</v>
      </c>
      <c r="D666" s="11">
        <v>1178186</v>
      </c>
      <c r="E666" s="11">
        <v>29446570</v>
      </c>
      <c r="F666" s="12" t="s">
        <v>2442</v>
      </c>
      <c r="G666" s="11" t="s">
        <v>2443</v>
      </c>
      <c r="H666" t="s">
        <v>2444</v>
      </c>
      <c r="I666" s="13">
        <v>65836502587</v>
      </c>
      <c r="J666" s="14">
        <v>3904</v>
      </c>
      <c r="K666" s="14">
        <v>3904</v>
      </c>
      <c r="L666" s="10" t="s">
        <v>44</v>
      </c>
      <c r="M666" s="14">
        <v>0</v>
      </c>
      <c r="N666" s="15">
        <v>0</v>
      </c>
      <c r="O666" t="str">
        <f>IFERROR(VLOOKUP($I666,CHOOSE({1,2},'[1]DIRETORES NTE'!$H$5:$H$31,'[1]DIRETORES NTE'!$E$5:$E$31,),2,0),"-")</f>
        <v>-</v>
      </c>
    </row>
    <row r="667" spans="1:15" x14ac:dyDescent="0.25">
      <c r="A667" s="10">
        <v>665</v>
      </c>
      <c r="B667" s="11">
        <v>7</v>
      </c>
      <c r="C667" s="11" t="s">
        <v>201</v>
      </c>
      <c r="D667" s="11">
        <v>1178127</v>
      </c>
      <c r="E667" s="11">
        <v>29327059</v>
      </c>
      <c r="F667" s="12" t="s">
        <v>2445</v>
      </c>
      <c r="G667" s="11" t="s">
        <v>2446</v>
      </c>
      <c r="H667" t="s">
        <v>2447</v>
      </c>
      <c r="I667" s="13" t="s">
        <v>2448</v>
      </c>
      <c r="J667" s="14">
        <v>3607</v>
      </c>
      <c r="K667" s="14">
        <v>3607</v>
      </c>
      <c r="L667" s="10" t="s">
        <v>153</v>
      </c>
      <c r="M667" s="14">
        <v>0</v>
      </c>
      <c r="N667" s="15">
        <v>0</v>
      </c>
      <c r="O667" t="str">
        <f>IFERROR(VLOOKUP($I667,CHOOSE({1,2},'[1]DIRETORES NTE'!$H$5:$H$31,'[1]DIRETORES NTE'!$E$5:$E$31,),2,0),"-")</f>
        <v>-</v>
      </c>
    </row>
    <row r="668" spans="1:15" x14ac:dyDescent="0.25">
      <c r="A668" s="10">
        <v>666</v>
      </c>
      <c r="B668" s="11">
        <v>26</v>
      </c>
      <c r="C668" s="11" t="s">
        <v>95</v>
      </c>
      <c r="D668" s="11">
        <v>1102984</v>
      </c>
      <c r="E668" s="11">
        <v>29193699</v>
      </c>
      <c r="F668" s="12" t="s">
        <v>2449</v>
      </c>
      <c r="G668" s="11" t="s">
        <v>2450</v>
      </c>
      <c r="H668" t="s">
        <v>2451</v>
      </c>
      <c r="I668" s="13">
        <v>36582654500</v>
      </c>
      <c r="J668" s="14">
        <v>9957</v>
      </c>
      <c r="K668" s="14">
        <v>9957</v>
      </c>
      <c r="L668" s="10" t="s">
        <v>99</v>
      </c>
      <c r="M668" s="14">
        <v>0</v>
      </c>
      <c r="N668" s="15">
        <v>0</v>
      </c>
      <c r="O668" t="str">
        <f>IFERROR(VLOOKUP($I668,CHOOSE({1,2},'[1]DIRETORES NTE'!$H$5:$H$31,'[1]DIRETORES NTE'!$E$5:$E$31,),2,0),"-")</f>
        <v>-</v>
      </c>
    </row>
    <row r="669" spans="1:15" x14ac:dyDescent="0.25">
      <c r="A669" s="10">
        <v>667</v>
      </c>
      <c r="B669" s="11">
        <v>26</v>
      </c>
      <c r="C669" s="11" t="s">
        <v>305</v>
      </c>
      <c r="D669" s="11">
        <v>1104669</v>
      </c>
      <c r="E669" s="11">
        <v>29176409</v>
      </c>
      <c r="F669" s="12" t="s">
        <v>2452</v>
      </c>
      <c r="G669" s="11" t="s">
        <v>2453</v>
      </c>
      <c r="H669" t="s">
        <v>2454</v>
      </c>
      <c r="I669" s="13">
        <v>15260593553</v>
      </c>
      <c r="J669" s="14">
        <v>12691</v>
      </c>
      <c r="K669" s="14">
        <v>12691</v>
      </c>
      <c r="L669" s="10" t="s">
        <v>99</v>
      </c>
      <c r="M669" s="14">
        <v>0</v>
      </c>
      <c r="N669" s="15">
        <v>0</v>
      </c>
      <c r="O669" t="str">
        <f>IFERROR(VLOOKUP($I669,CHOOSE({1,2},'[1]DIRETORES NTE'!$H$5:$H$31,'[1]DIRETORES NTE'!$E$5:$E$31,),2,0),"-")</f>
        <v>-</v>
      </c>
    </row>
    <row r="670" spans="1:15" x14ac:dyDescent="0.25">
      <c r="A670" s="10">
        <v>668</v>
      </c>
      <c r="B670" s="11">
        <v>26</v>
      </c>
      <c r="C670" s="11" t="s">
        <v>95</v>
      </c>
      <c r="D670" s="11">
        <v>1100485</v>
      </c>
      <c r="E670" s="11">
        <v>29192013</v>
      </c>
      <c r="F670" s="12" t="s">
        <v>2455</v>
      </c>
      <c r="G670" s="11" t="s">
        <v>2456</v>
      </c>
      <c r="H670" t="s">
        <v>2457</v>
      </c>
      <c r="I670" s="13">
        <v>53494059500</v>
      </c>
      <c r="J670" s="14">
        <v>13236</v>
      </c>
      <c r="K670" s="14">
        <v>13236</v>
      </c>
      <c r="L670" s="10" t="s">
        <v>99</v>
      </c>
      <c r="M670" s="14">
        <v>0</v>
      </c>
      <c r="N670" s="15">
        <v>0</v>
      </c>
      <c r="O670" t="str">
        <f>IFERROR(VLOOKUP($I670,CHOOSE({1,2},'[1]DIRETORES NTE'!$H$5:$H$31,'[1]DIRETORES NTE'!$E$5:$E$31,),2,0),"-")</f>
        <v>-</v>
      </c>
    </row>
    <row r="671" spans="1:15" x14ac:dyDescent="0.25">
      <c r="A671" s="10">
        <v>669</v>
      </c>
      <c r="B671" s="11">
        <v>2</v>
      </c>
      <c r="C671" s="11" t="s">
        <v>132</v>
      </c>
      <c r="D671" s="11">
        <v>1176437</v>
      </c>
      <c r="E671" s="11">
        <v>29385334</v>
      </c>
      <c r="F671" s="12" t="s">
        <v>2458</v>
      </c>
      <c r="G671" s="11" t="s">
        <v>2459</v>
      </c>
      <c r="H671" t="s">
        <v>2460</v>
      </c>
      <c r="I671" s="13" t="s">
        <v>2461</v>
      </c>
      <c r="J671" s="14">
        <v>13023</v>
      </c>
      <c r="K671" s="14">
        <v>13023</v>
      </c>
      <c r="L671" s="10" t="s">
        <v>105</v>
      </c>
      <c r="M671" s="14">
        <v>0</v>
      </c>
      <c r="N671" s="15">
        <v>0</v>
      </c>
      <c r="O671" t="str">
        <f>IFERROR(VLOOKUP($I671,CHOOSE({1,2},'[1]DIRETORES NTE'!$H$5:$H$31,'[1]DIRETORES NTE'!$E$5:$E$31,),2,0),"-")</f>
        <v>-</v>
      </c>
    </row>
    <row r="672" spans="1:15" x14ac:dyDescent="0.25">
      <c r="A672" s="10">
        <v>670</v>
      </c>
      <c r="B672" s="11">
        <v>9</v>
      </c>
      <c r="C672" s="11" t="s">
        <v>2462</v>
      </c>
      <c r="D672" s="11">
        <v>1118066</v>
      </c>
      <c r="E672" s="11">
        <v>29230985</v>
      </c>
      <c r="F672" s="12" t="s">
        <v>2463</v>
      </c>
      <c r="G672" s="11" t="s">
        <v>2464</v>
      </c>
      <c r="H672" t="s">
        <v>2465</v>
      </c>
      <c r="I672" s="13" t="s">
        <v>2466</v>
      </c>
      <c r="J672" s="14">
        <v>3522</v>
      </c>
      <c r="K672" s="14">
        <v>3522</v>
      </c>
      <c r="L672" s="10" t="s">
        <v>167</v>
      </c>
      <c r="M672" s="14">
        <v>0</v>
      </c>
      <c r="N672" s="15">
        <v>0</v>
      </c>
      <c r="O672" t="str">
        <f>IFERROR(VLOOKUP($I672,CHOOSE({1,2},'[1]DIRETORES NTE'!$H$5:$H$31,'[1]DIRETORES NTE'!$E$5:$E$31,),2,0),"-")</f>
        <v>-</v>
      </c>
    </row>
    <row r="673" spans="1:15" x14ac:dyDescent="0.25">
      <c r="A673" s="10">
        <v>671</v>
      </c>
      <c r="B673" s="11">
        <v>20</v>
      </c>
      <c r="C673" s="11" t="s">
        <v>50</v>
      </c>
      <c r="D673" s="11">
        <v>1178119</v>
      </c>
      <c r="E673" s="11">
        <v>29433410</v>
      </c>
      <c r="F673" s="12" t="s">
        <v>2467</v>
      </c>
      <c r="G673" s="11" t="s">
        <v>2468</v>
      </c>
      <c r="H673" t="s">
        <v>2469</v>
      </c>
      <c r="I673" s="13">
        <v>85685283504</v>
      </c>
      <c r="J673" s="14">
        <v>15648</v>
      </c>
      <c r="K673" s="14">
        <v>15648</v>
      </c>
      <c r="L673" s="10" t="s">
        <v>27</v>
      </c>
      <c r="M673" s="14">
        <v>0</v>
      </c>
      <c r="N673" s="15">
        <v>0</v>
      </c>
      <c r="O673" t="str">
        <f>IFERROR(VLOOKUP($I673,CHOOSE({1,2},'[1]DIRETORES NTE'!$H$5:$H$31,'[1]DIRETORES NTE'!$E$5:$E$31,),2,0),"-")</f>
        <v>-</v>
      </c>
    </row>
    <row r="674" spans="1:15" x14ac:dyDescent="0.25">
      <c r="A674" s="10">
        <v>672</v>
      </c>
      <c r="B674" s="11">
        <v>26</v>
      </c>
      <c r="C674" s="11" t="s">
        <v>95</v>
      </c>
      <c r="D674" s="11">
        <v>1174721</v>
      </c>
      <c r="E674" s="11">
        <v>29195462</v>
      </c>
      <c r="F674" s="12" t="s">
        <v>2470</v>
      </c>
      <c r="G674" s="11" t="s">
        <v>2471</v>
      </c>
      <c r="H674" t="s">
        <v>2472</v>
      </c>
      <c r="I674" s="13">
        <v>51222698587</v>
      </c>
      <c r="J674" s="14">
        <v>8447</v>
      </c>
      <c r="K674" s="14">
        <v>8447</v>
      </c>
      <c r="L674" s="10" t="s">
        <v>99</v>
      </c>
      <c r="M674" s="14">
        <v>0</v>
      </c>
      <c r="N674" s="15">
        <v>0</v>
      </c>
      <c r="O674" t="str">
        <f>IFERROR(VLOOKUP($I674,CHOOSE({1,2},'[1]DIRETORES NTE'!$H$5:$H$31,'[1]DIRETORES NTE'!$E$5:$E$31,),2,0),"-")</f>
        <v>-</v>
      </c>
    </row>
    <row r="675" spans="1:15" x14ac:dyDescent="0.25">
      <c r="A675" s="10">
        <v>673</v>
      </c>
      <c r="B675" s="11">
        <v>26</v>
      </c>
      <c r="C675" s="11" t="s">
        <v>916</v>
      </c>
      <c r="D675" s="11">
        <v>1144520</v>
      </c>
      <c r="E675" s="11">
        <v>29201020</v>
      </c>
      <c r="F675" s="12" t="s">
        <v>2473</v>
      </c>
      <c r="G675" s="11" t="s">
        <v>2474</v>
      </c>
      <c r="H675" t="s">
        <v>2475</v>
      </c>
      <c r="I675" s="13">
        <v>54669944568</v>
      </c>
      <c r="J675" s="14">
        <v>6407</v>
      </c>
      <c r="K675" s="14">
        <v>6407</v>
      </c>
      <c r="L675" s="10" t="s">
        <v>99</v>
      </c>
      <c r="M675" s="14">
        <v>0</v>
      </c>
      <c r="N675" s="15">
        <v>0</v>
      </c>
      <c r="O675" t="str">
        <f>IFERROR(VLOOKUP($I675,CHOOSE({1,2},'[1]DIRETORES NTE'!$H$5:$H$31,'[1]DIRETORES NTE'!$E$5:$E$31,),2,0),"-")</f>
        <v>-</v>
      </c>
    </row>
    <row r="676" spans="1:15" x14ac:dyDescent="0.25">
      <c r="A676" s="10">
        <v>674</v>
      </c>
      <c r="B676" s="11">
        <v>26</v>
      </c>
      <c r="C676" s="11" t="s">
        <v>95</v>
      </c>
      <c r="D676" s="11">
        <v>1100434</v>
      </c>
      <c r="E676" s="11">
        <v>29182077</v>
      </c>
      <c r="F676" s="12" t="s">
        <v>2476</v>
      </c>
      <c r="G676" s="11" t="s">
        <v>2477</v>
      </c>
      <c r="H676" t="s">
        <v>2478</v>
      </c>
      <c r="I676" s="13">
        <v>54890829504</v>
      </c>
      <c r="J676" s="14">
        <v>18902</v>
      </c>
      <c r="K676" s="14">
        <v>2633.34</v>
      </c>
      <c r="L676" s="10" t="s">
        <v>99</v>
      </c>
      <c r="M676" s="14">
        <v>16268.66</v>
      </c>
      <c r="N676" s="15">
        <v>0.86068458364194267</v>
      </c>
      <c r="O676" t="str">
        <f>IFERROR(VLOOKUP($I676,CHOOSE({1,2},'[1]DIRETORES NTE'!$H$5:$H$31,'[1]DIRETORES NTE'!$E$5:$E$31,),2,0),"-")</f>
        <v>-</v>
      </c>
    </row>
    <row r="677" spans="1:15" x14ac:dyDescent="0.25">
      <c r="A677" s="10">
        <v>675</v>
      </c>
      <c r="B677" s="11">
        <v>20</v>
      </c>
      <c r="C677" s="11" t="s">
        <v>2479</v>
      </c>
      <c r="D677" s="11">
        <v>1178438</v>
      </c>
      <c r="E677" s="11">
        <v>29434734</v>
      </c>
      <c r="F677" s="12" t="s">
        <v>2480</v>
      </c>
      <c r="G677" s="11" t="s">
        <v>2481</v>
      </c>
      <c r="H677" t="s">
        <v>2482</v>
      </c>
      <c r="I677" s="13" t="s">
        <v>2483</v>
      </c>
      <c r="J677" s="14">
        <v>10339</v>
      </c>
      <c r="K677" s="14">
        <v>10339</v>
      </c>
      <c r="L677" s="10" t="s">
        <v>27</v>
      </c>
      <c r="M677" s="14">
        <v>0</v>
      </c>
      <c r="N677" s="15">
        <v>0</v>
      </c>
      <c r="O677" t="str">
        <f>IFERROR(VLOOKUP($I677,CHOOSE({1,2},'[1]DIRETORES NTE'!$H$5:$H$31,'[1]DIRETORES NTE'!$E$5:$E$31,),2,0),"-")</f>
        <v>-</v>
      </c>
    </row>
    <row r="678" spans="1:15" x14ac:dyDescent="0.25">
      <c r="A678" s="10">
        <v>676</v>
      </c>
      <c r="B678" s="11">
        <v>20</v>
      </c>
      <c r="C678" s="11" t="s">
        <v>267</v>
      </c>
      <c r="D678" s="11">
        <v>1165277</v>
      </c>
      <c r="E678" s="11">
        <v>29281261</v>
      </c>
      <c r="F678" s="12" t="s">
        <v>2484</v>
      </c>
      <c r="G678" s="11" t="s">
        <v>2485</v>
      </c>
      <c r="H678" t="s">
        <v>2486</v>
      </c>
      <c r="I678" s="13">
        <v>10182918572</v>
      </c>
      <c r="J678" s="14">
        <v>7570</v>
      </c>
      <c r="K678" s="14">
        <v>7570</v>
      </c>
      <c r="L678" s="10" t="s">
        <v>27</v>
      </c>
      <c r="M678" s="14">
        <v>0</v>
      </c>
      <c r="N678" s="15">
        <v>0</v>
      </c>
      <c r="O678" t="str">
        <f>IFERROR(VLOOKUP($I678,CHOOSE({1,2},'[1]DIRETORES NTE'!$H$5:$H$31,'[1]DIRETORES NTE'!$E$5:$E$31,),2,0),"-")</f>
        <v>-</v>
      </c>
    </row>
    <row r="679" spans="1:15" x14ac:dyDescent="0.25">
      <c r="A679" s="10">
        <v>677</v>
      </c>
      <c r="B679" s="11">
        <v>20</v>
      </c>
      <c r="C679" s="11" t="s">
        <v>2487</v>
      </c>
      <c r="D679" s="11">
        <v>1176160</v>
      </c>
      <c r="E679" s="11">
        <v>29335132</v>
      </c>
      <c r="F679" s="12" t="s">
        <v>2488</v>
      </c>
      <c r="G679" s="11" t="s">
        <v>2489</v>
      </c>
      <c r="H679" t="s">
        <v>2490</v>
      </c>
      <c r="I679" s="13" t="s">
        <v>2491</v>
      </c>
      <c r="J679" s="14">
        <v>11661</v>
      </c>
      <c r="K679" s="14">
        <v>11661</v>
      </c>
      <c r="L679" s="10" t="s">
        <v>27</v>
      </c>
      <c r="M679" s="14">
        <v>0</v>
      </c>
      <c r="N679" s="15">
        <v>0</v>
      </c>
      <c r="O679" t="str">
        <f>IFERROR(VLOOKUP($I679,CHOOSE({1,2},'[1]DIRETORES NTE'!$H$5:$H$31,'[1]DIRETORES NTE'!$E$5:$E$31,),2,0),"-")</f>
        <v>-</v>
      </c>
    </row>
    <row r="680" spans="1:15" x14ac:dyDescent="0.25">
      <c r="A680" s="10">
        <v>678</v>
      </c>
      <c r="B680" s="11">
        <v>26</v>
      </c>
      <c r="C680" s="11" t="s">
        <v>95</v>
      </c>
      <c r="D680" s="11">
        <v>1176206</v>
      </c>
      <c r="E680" s="11">
        <v>29357829</v>
      </c>
      <c r="F680" s="12" t="s">
        <v>2492</v>
      </c>
      <c r="G680" s="11" t="s">
        <v>2493</v>
      </c>
      <c r="H680" t="s">
        <v>2494</v>
      </c>
      <c r="I680" s="13">
        <v>78270685534</v>
      </c>
      <c r="J680" s="14">
        <v>9295</v>
      </c>
      <c r="K680" s="14">
        <v>0.6</v>
      </c>
      <c r="L680" s="10" t="s">
        <v>99</v>
      </c>
      <c r="M680" s="14">
        <v>9294.4</v>
      </c>
      <c r="N680" s="15">
        <v>0.99993544916621835</v>
      </c>
      <c r="O680" t="str">
        <f>IFERROR(VLOOKUP($I680,CHOOSE({1,2},'[1]DIRETORES NTE'!$H$5:$H$31,'[1]DIRETORES NTE'!$E$5:$E$31,),2,0),"-")</f>
        <v>-</v>
      </c>
    </row>
    <row r="681" spans="1:15" x14ac:dyDescent="0.25">
      <c r="A681" s="10">
        <v>679</v>
      </c>
      <c r="B681" s="11">
        <v>26</v>
      </c>
      <c r="C681" s="11" t="s">
        <v>95</v>
      </c>
      <c r="D681" s="11">
        <v>1100167</v>
      </c>
      <c r="E681" s="11">
        <v>29188903</v>
      </c>
      <c r="F681" s="12" t="s">
        <v>2495</v>
      </c>
      <c r="G681" s="11" t="s">
        <v>2496</v>
      </c>
      <c r="H681" t="s">
        <v>2497</v>
      </c>
      <c r="I681" s="13">
        <v>51542110572</v>
      </c>
      <c r="J681" s="14">
        <v>9316</v>
      </c>
      <c r="K681" s="14">
        <v>9316</v>
      </c>
      <c r="L681" s="10" t="s">
        <v>99</v>
      </c>
      <c r="M681" s="14">
        <v>0</v>
      </c>
      <c r="N681" s="15">
        <v>0</v>
      </c>
      <c r="O681" t="str">
        <f>IFERROR(VLOOKUP($I681,CHOOSE({1,2},'[1]DIRETORES NTE'!$H$5:$H$31,'[1]DIRETORES NTE'!$E$5:$E$31,),2,0),"-")</f>
        <v>-</v>
      </c>
    </row>
    <row r="682" spans="1:15" x14ac:dyDescent="0.25">
      <c r="A682" s="10">
        <v>680</v>
      </c>
      <c r="B682" s="11">
        <v>19</v>
      </c>
      <c r="C682" s="11" t="s">
        <v>331</v>
      </c>
      <c r="D682" s="11">
        <v>1106270</v>
      </c>
      <c r="E682" s="11">
        <v>29095140</v>
      </c>
      <c r="F682" s="12" t="s">
        <v>2498</v>
      </c>
      <c r="G682" s="11" t="s">
        <v>2499</v>
      </c>
      <c r="H682" t="s">
        <v>2500</v>
      </c>
      <c r="I682" s="13">
        <v>47997591591</v>
      </c>
      <c r="J682" s="14">
        <v>9311</v>
      </c>
      <c r="K682" s="14">
        <v>9311</v>
      </c>
      <c r="L682" s="10" t="s">
        <v>336</v>
      </c>
      <c r="M682" s="14">
        <v>0</v>
      </c>
      <c r="N682" s="15">
        <v>0</v>
      </c>
      <c r="O682" t="str">
        <f>IFERROR(VLOOKUP($I682,CHOOSE({1,2},'[1]DIRETORES NTE'!$H$5:$H$31,'[1]DIRETORES NTE'!$E$5:$E$31,),2,0),"-")</f>
        <v>-</v>
      </c>
    </row>
    <row r="683" spans="1:15" x14ac:dyDescent="0.25">
      <c r="A683" s="10">
        <v>681</v>
      </c>
      <c r="B683" s="11">
        <v>26</v>
      </c>
      <c r="C683" s="11" t="s">
        <v>95</v>
      </c>
      <c r="D683" s="11">
        <v>1176422</v>
      </c>
      <c r="E683" s="11">
        <v>29392861</v>
      </c>
      <c r="F683" s="12" t="s">
        <v>649</v>
      </c>
      <c r="G683" s="11" t="s">
        <v>2501</v>
      </c>
      <c r="H683" t="s">
        <v>2502</v>
      </c>
      <c r="I683" s="13">
        <v>40503216534</v>
      </c>
      <c r="J683" s="14">
        <v>12428</v>
      </c>
      <c r="K683" s="14">
        <v>12428</v>
      </c>
      <c r="L683" s="10" t="s">
        <v>99</v>
      </c>
      <c r="M683" s="14">
        <v>0</v>
      </c>
      <c r="N683" s="15">
        <v>0</v>
      </c>
      <c r="O683" t="str">
        <f>IFERROR(VLOOKUP($I683,CHOOSE({1,2},'[1]DIRETORES NTE'!$H$5:$H$31,'[1]DIRETORES NTE'!$E$5:$E$31,),2,0),"-")</f>
        <v>-</v>
      </c>
    </row>
    <row r="684" spans="1:15" x14ac:dyDescent="0.25">
      <c r="A684" s="10">
        <v>682</v>
      </c>
      <c r="B684" s="11">
        <v>18</v>
      </c>
      <c r="C684" s="11" t="s">
        <v>64</v>
      </c>
      <c r="D684" s="11">
        <v>1169809</v>
      </c>
      <c r="E684" s="11">
        <v>29150442</v>
      </c>
      <c r="F684" s="12" t="s">
        <v>2503</v>
      </c>
      <c r="G684" s="11" t="s">
        <v>2504</v>
      </c>
      <c r="H684" t="s">
        <v>2505</v>
      </c>
      <c r="I684" s="13">
        <v>54582091504</v>
      </c>
      <c r="J684" s="14">
        <v>9405</v>
      </c>
      <c r="K684" s="14">
        <v>9405</v>
      </c>
      <c r="L684" s="10" t="s">
        <v>68</v>
      </c>
      <c r="M684" s="14">
        <v>0</v>
      </c>
      <c r="N684" s="15">
        <v>0</v>
      </c>
      <c r="O684" t="str">
        <f>IFERROR(VLOOKUP($I684,CHOOSE({1,2},'[1]DIRETORES NTE'!$H$5:$H$31,'[1]DIRETORES NTE'!$E$5:$E$31,),2,0),"-")</f>
        <v>-</v>
      </c>
    </row>
    <row r="685" spans="1:15" x14ac:dyDescent="0.25">
      <c r="A685" s="10">
        <v>683</v>
      </c>
      <c r="B685" s="11">
        <v>21</v>
      </c>
      <c r="C685" s="11" t="s">
        <v>136</v>
      </c>
      <c r="D685" s="11">
        <v>1133863</v>
      </c>
      <c r="E685" s="11">
        <v>29167388</v>
      </c>
      <c r="F685" s="12" t="s">
        <v>2506</v>
      </c>
      <c r="G685" s="11" t="s">
        <v>2507</v>
      </c>
      <c r="H685" t="s">
        <v>2508</v>
      </c>
      <c r="I685" s="13">
        <v>91940664500</v>
      </c>
      <c r="J685" s="14">
        <v>14528</v>
      </c>
      <c r="K685" s="14">
        <v>14528</v>
      </c>
      <c r="L685" s="10" t="s">
        <v>63</v>
      </c>
      <c r="M685" s="14">
        <v>0</v>
      </c>
      <c r="N685" s="15">
        <v>0</v>
      </c>
      <c r="O685" t="str">
        <f>IFERROR(VLOOKUP($I685,CHOOSE({1,2},'[1]DIRETORES NTE'!$H$5:$H$31,'[1]DIRETORES NTE'!$E$5:$E$31,),2,0),"-")</f>
        <v>-</v>
      </c>
    </row>
    <row r="686" spans="1:15" x14ac:dyDescent="0.25">
      <c r="A686" s="10">
        <v>684</v>
      </c>
      <c r="B686" s="11">
        <v>26</v>
      </c>
      <c r="C686" s="11" t="s">
        <v>95</v>
      </c>
      <c r="D686" s="11">
        <v>1102542</v>
      </c>
      <c r="E686" s="11">
        <v>29190908</v>
      </c>
      <c r="F686" s="12" t="s">
        <v>2509</v>
      </c>
      <c r="G686" s="11" t="s">
        <v>2510</v>
      </c>
      <c r="H686" t="s">
        <v>2511</v>
      </c>
      <c r="I686" s="13">
        <v>46741054553</v>
      </c>
      <c r="J686" s="14">
        <v>5385</v>
      </c>
      <c r="K686" s="14">
        <v>5385</v>
      </c>
      <c r="L686" s="10" t="s">
        <v>99</v>
      </c>
      <c r="M686" s="14">
        <v>0</v>
      </c>
      <c r="N686" s="15">
        <v>0</v>
      </c>
      <c r="O686" t="str">
        <f>IFERROR(VLOOKUP($I686,CHOOSE({1,2},'[1]DIRETORES NTE'!$H$5:$H$31,'[1]DIRETORES NTE'!$E$5:$E$31,),2,0),"-")</f>
        <v>-</v>
      </c>
    </row>
    <row r="687" spans="1:15" x14ac:dyDescent="0.25">
      <c r="A687" s="10">
        <v>685</v>
      </c>
      <c r="B687" s="11" t="s">
        <v>237</v>
      </c>
      <c r="C687" s="11" t="s">
        <v>237</v>
      </c>
      <c r="D687" s="11" t="s">
        <v>237</v>
      </c>
      <c r="E687" s="11" t="s">
        <v>237</v>
      </c>
      <c r="F687" s="12" t="s">
        <v>237</v>
      </c>
      <c r="G687" s="11" t="s">
        <v>237</v>
      </c>
      <c r="H687" t="s">
        <v>2512</v>
      </c>
      <c r="I687" s="13">
        <v>44255314500</v>
      </c>
      <c r="J687" s="14">
        <v>0</v>
      </c>
      <c r="K687" s="14">
        <v>0</v>
      </c>
      <c r="L687" s="10" t="s">
        <v>266</v>
      </c>
      <c r="M687" s="14">
        <v>0</v>
      </c>
      <c r="N687" s="15" t="e">
        <v>#DIV/0!</v>
      </c>
      <c r="O687" t="str">
        <f>IFERROR(VLOOKUP($I687,CHOOSE({1,2},'[1]DIRETORES NTE'!$H$5:$H$31,'[1]DIRETORES NTE'!$E$5:$E$31,),2,0),"-")</f>
        <v>MARCOS ANTONIO QUEIROZ PIRES (DIRETOR DE NTE)</v>
      </c>
    </row>
    <row r="688" spans="1:15" x14ac:dyDescent="0.25">
      <c r="A688" s="10">
        <v>686</v>
      </c>
      <c r="B688" s="11">
        <v>26</v>
      </c>
      <c r="C688" s="11" t="s">
        <v>95</v>
      </c>
      <c r="D688" s="11">
        <v>1102534</v>
      </c>
      <c r="E688" s="11">
        <v>29191378</v>
      </c>
      <c r="F688" s="12" t="s">
        <v>2513</v>
      </c>
      <c r="G688" s="11" t="s">
        <v>2514</v>
      </c>
      <c r="H688" t="s">
        <v>2515</v>
      </c>
      <c r="I688" s="13">
        <v>78230870578</v>
      </c>
      <c r="J688" s="14">
        <v>17147</v>
      </c>
      <c r="K688" s="14">
        <v>11.27</v>
      </c>
      <c r="L688" s="10" t="s">
        <v>99</v>
      </c>
      <c r="M688" s="14">
        <v>17135.73</v>
      </c>
      <c r="N688" s="15">
        <v>0.99934274217064212</v>
      </c>
      <c r="O688" t="str">
        <f>IFERROR(VLOOKUP($I688,CHOOSE({1,2},'[1]DIRETORES NTE'!$H$5:$H$31,'[1]DIRETORES NTE'!$E$5:$E$31,),2,0),"-")</f>
        <v>-</v>
      </c>
    </row>
    <row r="689" spans="1:15" x14ac:dyDescent="0.25">
      <c r="A689" s="10">
        <v>687</v>
      </c>
      <c r="B689" s="11">
        <v>1</v>
      </c>
      <c r="C689" s="11" t="s">
        <v>1839</v>
      </c>
      <c r="D689" s="11">
        <v>1179281</v>
      </c>
      <c r="E689" s="11">
        <v>29459141</v>
      </c>
      <c r="F689" s="12" t="s">
        <v>2516</v>
      </c>
      <c r="G689" s="11" t="s">
        <v>2517</v>
      </c>
      <c r="H689" t="s">
        <v>2518</v>
      </c>
      <c r="I689" s="13">
        <v>94756392504</v>
      </c>
      <c r="J689" s="14">
        <v>12320</v>
      </c>
      <c r="K689" s="14">
        <v>12320</v>
      </c>
      <c r="L689" s="10" t="s">
        <v>356</v>
      </c>
      <c r="M689" s="14">
        <v>0</v>
      </c>
      <c r="N689" s="15">
        <v>0</v>
      </c>
      <c r="O689" t="str">
        <f>IFERROR(VLOOKUP($I689,CHOOSE({1,2},'[1]DIRETORES NTE'!$H$5:$H$31,'[1]DIRETORES NTE'!$E$5:$E$31,),2,0),"-")</f>
        <v>-</v>
      </c>
    </row>
    <row r="690" spans="1:15" x14ac:dyDescent="0.25">
      <c r="A690" s="10">
        <v>688</v>
      </c>
      <c r="B690" s="11">
        <v>7</v>
      </c>
      <c r="C690" s="11" t="s">
        <v>148</v>
      </c>
      <c r="D690" s="11">
        <v>1178093</v>
      </c>
      <c r="E690" s="11">
        <v>29433843</v>
      </c>
      <c r="F690" s="12" t="s">
        <v>2519</v>
      </c>
      <c r="G690" s="11" t="s">
        <v>2520</v>
      </c>
      <c r="H690" t="s">
        <v>2521</v>
      </c>
      <c r="I690" s="13">
        <v>57806896520</v>
      </c>
      <c r="J690" s="14">
        <v>10272</v>
      </c>
      <c r="K690" s="14">
        <v>10272</v>
      </c>
      <c r="L690" s="10" t="s">
        <v>153</v>
      </c>
      <c r="M690" s="14">
        <v>0</v>
      </c>
      <c r="N690" s="15">
        <v>0</v>
      </c>
      <c r="O690" t="str">
        <f>IFERROR(VLOOKUP($I690,CHOOSE({1,2},'[1]DIRETORES NTE'!$H$5:$H$31,'[1]DIRETORES NTE'!$E$5:$E$31,),2,0),"-")</f>
        <v>-</v>
      </c>
    </row>
    <row r="691" spans="1:15" x14ac:dyDescent="0.25">
      <c r="A691" s="10">
        <v>689</v>
      </c>
      <c r="B691" s="11">
        <v>17</v>
      </c>
      <c r="C691" s="11" t="s">
        <v>450</v>
      </c>
      <c r="D691" s="11">
        <v>1178443</v>
      </c>
      <c r="E691" s="11">
        <v>29449340</v>
      </c>
      <c r="F691" s="12" t="s">
        <v>2522</v>
      </c>
      <c r="G691" s="11" t="s">
        <v>2523</v>
      </c>
      <c r="H691" t="s">
        <v>2524</v>
      </c>
      <c r="I691" s="13">
        <v>29614295449</v>
      </c>
      <c r="J691" s="14">
        <v>6331</v>
      </c>
      <c r="K691" s="14">
        <v>6331</v>
      </c>
      <c r="L691" s="10" t="s">
        <v>455</v>
      </c>
      <c r="M691" s="14">
        <v>0</v>
      </c>
      <c r="N691" s="15">
        <v>0</v>
      </c>
      <c r="O691" t="str">
        <f>IFERROR(VLOOKUP($I691,CHOOSE({1,2},'[1]DIRETORES NTE'!$H$5:$H$31,'[1]DIRETORES NTE'!$E$5:$E$31,),2,0),"-")</f>
        <v>-</v>
      </c>
    </row>
    <row r="692" spans="1:15" x14ac:dyDescent="0.25">
      <c r="A692" s="10">
        <v>690</v>
      </c>
      <c r="B692" s="11">
        <v>5</v>
      </c>
      <c r="C692" s="11" t="s">
        <v>2525</v>
      </c>
      <c r="D692" s="11">
        <v>1139136</v>
      </c>
      <c r="E692" s="11">
        <v>29315492</v>
      </c>
      <c r="F692" s="12" t="s">
        <v>2526</v>
      </c>
      <c r="G692" s="11" t="s">
        <v>2527</v>
      </c>
      <c r="H692" t="s">
        <v>2528</v>
      </c>
      <c r="I692" s="13">
        <v>28081250549</v>
      </c>
      <c r="J692" s="14">
        <v>8531</v>
      </c>
      <c r="K692" s="14">
        <v>8531</v>
      </c>
      <c r="L692" s="10" t="s">
        <v>44</v>
      </c>
      <c r="M692" s="14">
        <v>0</v>
      </c>
      <c r="N692" s="15">
        <v>0</v>
      </c>
      <c r="O692" t="str">
        <f>IFERROR(VLOOKUP($I692,CHOOSE({1,2},'[1]DIRETORES NTE'!$H$5:$H$31,'[1]DIRETORES NTE'!$E$5:$E$31,),2,0),"-")</f>
        <v>-</v>
      </c>
    </row>
    <row r="693" spans="1:15" x14ac:dyDescent="0.25">
      <c r="A693" s="10">
        <v>691</v>
      </c>
      <c r="B693" s="11">
        <v>14</v>
      </c>
      <c r="C693" s="11" t="s">
        <v>2529</v>
      </c>
      <c r="D693" s="11">
        <v>1123957</v>
      </c>
      <c r="E693" s="11">
        <v>29087236</v>
      </c>
      <c r="F693" s="12" t="s">
        <v>2530</v>
      </c>
      <c r="G693" s="11" t="s">
        <v>2531</v>
      </c>
      <c r="H693" t="s">
        <v>2532</v>
      </c>
      <c r="I693" s="13">
        <v>33474206591</v>
      </c>
      <c r="J693" s="14">
        <v>22410</v>
      </c>
      <c r="K693" s="14">
        <v>22410</v>
      </c>
      <c r="L693" s="10" t="s">
        <v>147</v>
      </c>
      <c r="M693" s="14">
        <v>0</v>
      </c>
      <c r="N693" s="15">
        <v>0</v>
      </c>
      <c r="O693" t="str">
        <f>IFERROR(VLOOKUP($I693,CHOOSE({1,2},'[1]DIRETORES NTE'!$H$5:$H$31,'[1]DIRETORES NTE'!$E$5:$E$31,),2,0),"-")</f>
        <v>-</v>
      </c>
    </row>
    <row r="694" spans="1:15" x14ac:dyDescent="0.25">
      <c r="A694" s="10">
        <v>692</v>
      </c>
      <c r="B694" s="11">
        <v>10</v>
      </c>
      <c r="C694" s="11" t="s">
        <v>16</v>
      </c>
      <c r="D694" s="11">
        <v>1120494</v>
      </c>
      <c r="E694" s="11">
        <v>29024803</v>
      </c>
      <c r="F694" s="12" t="s">
        <v>2533</v>
      </c>
      <c r="G694" s="11" t="s">
        <v>2534</v>
      </c>
      <c r="H694" t="s">
        <v>2535</v>
      </c>
      <c r="I694" s="13">
        <v>47596643515</v>
      </c>
      <c r="J694" s="14">
        <v>6420</v>
      </c>
      <c r="K694" s="14">
        <v>6420</v>
      </c>
      <c r="L694" s="10" t="s">
        <v>21</v>
      </c>
      <c r="M694" s="14">
        <v>0</v>
      </c>
      <c r="N694" s="15">
        <v>0</v>
      </c>
      <c r="O694" t="str">
        <f>IFERROR(VLOOKUP($I694,CHOOSE({1,2},'[1]DIRETORES NTE'!$H$5:$H$31,'[1]DIRETORES NTE'!$E$5:$E$31,),2,0),"-")</f>
        <v>-</v>
      </c>
    </row>
    <row r="695" spans="1:15" x14ac:dyDescent="0.25">
      <c r="A695" s="10">
        <v>693</v>
      </c>
      <c r="B695" s="11">
        <v>13</v>
      </c>
      <c r="C695" s="11" t="s">
        <v>2536</v>
      </c>
      <c r="D695" s="11">
        <v>1168039</v>
      </c>
      <c r="E695" s="11">
        <v>29260256</v>
      </c>
      <c r="F695" s="12" t="s">
        <v>2537</v>
      </c>
      <c r="G695" s="11" t="s">
        <v>2538</v>
      </c>
      <c r="H695" t="s">
        <v>2539</v>
      </c>
      <c r="I695" s="13">
        <v>16686950572</v>
      </c>
      <c r="J695" s="14">
        <v>12761</v>
      </c>
      <c r="K695" s="14">
        <v>12761</v>
      </c>
      <c r="L695" s="10" t="s">
        <v>33</v>
      </c>
      <c r="M695" s="14">
        <v>0</v>
      </c>
      <c r="N695" s="15">
        <v>0</v>
      </c>
      <c r="O695" t="str">
        <f>IFERROR(VLOOKUP($I695,CHOOSE({1,2},'[1]DIRETORES NTE'!$H$5:$H$31,'[1]DIRETORES NTE'!$E$5:$E$31,),2,0),"-")</f>
        <v>-</v>
      </c>
    </row>
    <row r="696" spans="1:15" x14ac:dyDescent="0.25">
      <c r="A696" s="10">
        <v>694</v>
      </c>
      <c r="B696" s="11">
        <v>26</v>
      </c>
      <c r="C696" s="11" t="s">
        <v>95</v>
      </c>
      <c r="D696" s="11">
        <v>1104731</v>
      </c>
      <c r="E696" s="11">
        <v>29187001</v>
      </c>
      <c r="F696" s="12" t="s">
        <v>2540</v>
      </c>
      <c r="G696" s="11" t="s">
        <v>2541</v>
      </c>
      <c r="H696" t="s">
        <v>2542</v>
      </c>
      <c r="I696" s="13">
        <v>35395141553</v>
      </c>
      <c r="J696" s="14">
        <v>7215</v>
      </c>
      <c r="K696" s="14">
        <v>0.55000000000000004</v>
      </c>
      <c r="L696" s="10" t="s">
        <v>99</v>
      </c>
      <c r="M696" s="14">
        <v>7214.45</v>
      </c>
      <c r="N696" s="15">
        <v>0.99992376992376986</v>
      </c>
      <c r="O696" t="str">
        <f>IFERROR(VLOOKUP($I696,CHOOSE({1,2},'[1]DIRETORES NTE'!$H$5:$H$31,'[1]DIRETORES NTE'!$E$5:$E$31,),2,0),"-")</f>
        <v>-</v>
      </c>
    </row>
    <row r="697" spans="1:15" x14ac:dyDescent="0.25">
      <c r="A697" s="10">
        <v>695</v>
      </c>
      <c r="B697" s="11">
        <v>4</v>
      </c>
      <c r="C697" s="11" t="s">
        <v>2543</v>
      </c>
      <c r="D697" s="11">
        <v>1105606</v>
      </c>
      <c r="E697" s="11">
        <v>29136571</v>
      </c>
      <c r="F697" s="12" t="s">
        <v>2544</v>
      </c>
      <c r="G697" s="11" t="s">
        <v>2545</v>
      </c>
      <c r="H697" t="s">
        <v>2546</v>
      </c>
      <c r="I697" s="13">
        <v>35349166549</v>
      </c>
      <c r="J697" s="14">
        <v>6195</v>
      </c>
      <c r="K697" s="14">
        <v>6195</v>
      </c>
      <c r="L697" s="10" t="s">
        <v>58</v>
      </c>
      <c r="M697" s="14">
        <v>0</v>
      </c>
      <c r="N697" s="15">
        <v>0</v>
      </c>
      <c r="O697" t="str">
        <f>IFERROR(VLOOKUP($I697,CHOOSE({1,2},'[1]DIRETORES NTE'!$H$5:$H$31,'[1]DIRETORES NTE'!$E$5:$E$31,),2,0),"-")</f>
        <v>-</v>
      </c>
    </row>
    <row r="698" spans="1:15" x14ac:dyDescent="0.25">
      <c r="A698" s="10">
        <v>696</v>
      </c>
      <c r="B698" s="11">
        <v>26</v>
      </c>
      <c r="C698" s="11" t="s">
        <v>95</v>
      </c>
      <c r="D698" s="11">
        <v>1100540</v>
      </c>
      <c r="E698" s="11">
        <v>29189241</v>
      </c>
      <c r="F698" s="12" t="s">
        <v>2547</v>
      </c>
      <c r="G698" s="11" t="s">
        <v>2548</v>
      </c>
      <c r="H698" t="s">
        <v>2549</v>
      </c>
      <c r="I698" s="13">
        <v>54675499520</v>
      </c>
      <c r="J698" s="14">
        <v>11482</v>
      </c>
      <c r="K698" s="14">
        <v>11482</v>
      </c>
      <c r="L698" s="10" t="s">
        <v>99</v>
      </c>
      <c r="M698" s="14">
        <v>0</v>
      </c>
      <c r="N698" s="15">
        <v>0</v>
      </c>
      <c r="O698" t="str">
        <f>IFERROR(VLOOKUP($I698,CHOOSE({1,2},'[1]DIRETORES NTE'!$H$5:$H$31,'[1]DIRETORES NTE'!$E$5:$E$31,),2,0),"-")</f>
        <v>-</v>
      </c>
    </row>
    <row r="699" spans="1:15" x14ac:dyDescent="0.25">
      <c r="A699" s="10">
        <v>697</v>
      </c>
      <c r="B699" s="11">
        <v>18</v>
      </c>
      <c r="C699" s="11" t="s">
        <v>327</v>
      </c>
      <c r="D699" s="11">
        <v>1179754</v>
      </c>
      <c r="E699" s="11">
        <v>29487900</v>
      </c>
      <c r="F699" s="12" t="s">
        <v>2550</v>
      </c>
      <c r="G699" s="11" t="s">
        <v>2551</v>
      </c>
      <c r="H699" t="s">
        <v>2552</v>
      </c>
      <c r="I699" s="13">
        <v>37625152472</v>
      </c>
      <c r="J699" s="14">
        <v>8660</v>
      </c>
      <c r="K699" s="14">
        <v>8660</v>
      </c>
      <c r="L699" s="10" t="s">
        <v>68</v>
      </c>
      <c r="M699" s="14">
        <v>0</v>
      </c>
      <c r="N699" s="15">
        <v>0</v>
      </c>
      <c r="O699" t="str">
        <f>IFERROR(VLOOKUP($I699,CHOOSE({1,2},'[1]DIRETORES NTE'!$H$5:$H$31,'[1]DIRETORES NTE'!$E$5:$E$31,),2,0),"-")</f>
        <v>-</v>
      </c>
    </row>
    <row r="700" spans="1:15" x14ac:dyDescent="0.25">
      <c r="A700" s="10">
        <v>698</v>
      </c>
      <c r="B700" s="11">
        <v>2</v>
      </c>
      <c r="C700" s="11" t="s">
        <v>2553</v>
      </c>
      <c r="D700" s="11">
        <v>1178280</v>
      </c>
      <c r="E700" s="11">
        <v>29455405</v>
      </c>
      <c r="F700" s="12" t="s">
        <v>2554</v>
      </c>
      <c r="G700" s="11" t="s">
        <v>2555</v>
      </c>
      <c r="H700" t="s">
        <v>2556</v>
      </c>
      <c r="I700" s="13" t="s">
        <v>2557</v>
      </c>
      <c r="J700" s="14">
        <v>4955</v>
      </c>
      <c r="K700" s="14">
        <v>4955</v>
      </c>
      <c r="L700" s="10" t="s">
        <v>105</v>
      </c>
      <c r="M700" s="14">
        <v>0</v>
      </c>
      <c r="N700" s="15">
        <v>0</v>
      </c>
      <c r="O700" t="str">
        <f>IFERROR(VLOOKUP($I700,CHOOSE({1,2},'[1]DIRETORES NTE'!$H$5:$H$31,'[1]DIRETORES NTE'!$E$5:$E$31,),2,0),"-")</f>
        <v>-</v>
      </c>
    </row>
    <row r="701" spans="1:15" x14ac:dyDescent="0.25">
      <c r="A701" s="10">
        <v>699</v>
      </c>
      <c r="B701" s="11">
        <v>26</v>
      </c>
      <c r="C701" s="11" t="s">
        <v>95</v>
      </c>
      <c r="D701" s="11">
        <v>1102836</v>
      </c>
      <c r="E701" s="11">
        <v>29193656</v>
      </c>
      <c r="F701" s="12" t="s">
        <v>2558</v>
      </c>
      <c r="G701" s="11" t="s">
        <v>2559</v>
      </c>
      <c r="H701" t="s">
        <v>2560</v>
      </c>
      <c r="I701" s="13">
        <v>36467189515</v>
      </c>
      <c r="J701" s="14">
        <v>4697</v>
      </c>
      <c r="K701" s="14">
        <v>4697</v>
      </c>
      <c r="L701" s="10" t="s">
        <v>99</v>
      </c>
      <c r="M701" s="14">
        <v>0</v>
      </c>
      <c r="N701" s="15">
        <v>0</v>
      </c>
      <c r="O701" t="str">
        <f>IFERROR(VLOOKUP($I701,CHOOSE({1,2},'[1]DIRETORES NTE'!$H$5:$H$31,'[1]DIRETORES NTE'!$E$5:$E$31,),2,0),"-")</f>
        <v>-</v>
      </c>
    </row>
    <row r="702" spans="1:15" x14ac:dyDescent="0.25">
      <c r="A702" s="10">
        <v>700</v>
      </c>
      <c r="B702" s="11">
        <v>2</v>
      </c>
      <c r="C702" s="11" t="s">
        <v>132</v>
      </c>
      <c r="D702" s="11">
        <v>1178018</v>
      </c>
      <c r="E702" s="11">
        <v>29427940</v>
      </c>
      <c r="F702" s="12" t="s">
        <v>2561</v>
      </c>
      <c r="G702" s="11" t="s">
        <v>2562</v>
      </c>
      <c r="H702" t="s">
        <v>2563</v>
      </c>
      <c r="I702" s="13">
        <v>90369130553</v>
      </c>
      <c r="J702" s="14">
        <v>2159</v>
      </c>
      <c r="K702" s="14">
        <v>2159</v>
      </c>
      <c r="L702" s="10" t="s">
        <v>105</v>
      </c>
      <c r="M702" s="14">
        <v>0</v>
      </c>
      <c r="N702" s="15">
        <v>0</v>
      </c>
      <c r="O702" t="str">
        <f>IFERROR(VLOOKUP($I702,CHOOSE({1,2},'[1]DIRETORES NTE'!$H$5:$H$31,'[1]DIRETORES NTE'!$E$5:$E$31,),2,0),"-")</f>
        <v>-</v>
      </c>
    </row>
    <row r="703" spans="1:15" x14ac:dyDescent="0.25">
      <c r="A703" s="10">
        <v>701</v>
      </c>
      <c r="B703" s="11">
        <v>26</v>
      </c>
      <c r="C703" s="11" t="s">
        <v>916</v>
      </c>
      <c r="D703" s="11">
        <v>1100655</v>
      </c>
      <c r="E703" s="11">
        <v>29201608</v>
      </c>
      <c r="F703" s="12" t="s">
        <v>2564</v>
      </c>
      <c r="G703" s="11" t="s">
        <v>2565</v>
      </c>
      <c r="H703" t="s">
        <v>2566</v>
      </c>
      <c r="I703" s="13">
        <v>25026240534</v>
      </c>
      <c r="J703" s="14">
        <v>7388</v>
      </c>
      <c r="K703" s="14">
        <v>0</v>
      </c>
      <c r="L703" s="10" t="s">
        <v>99</v>
      </c>
      <c r="M703" s="14">
        <v>7388</v>
      </c>
      <c r="N703" s="15">
        <v>1</v>
      </c>
      <c r="O703" t="str">
        <f>IFERROR(VLOOKUP($I703,CHOOSE({1,2},'[1]DIRETORES NTE'!$H$5:$H$31,'[1]DIRETORES NTE'!$E$5:$E$31,),2,0),"-")</f>
        <v>-</v>
      </c>
    </row>
    <row r="704" spans="1:15" x14ac:dyDescent="0.25">
      <c r="A704" s="10">
        <v>702</v>
      </c>
      <c r="B704" s="11" t="s">
        <v>237</v>
      </c>
      <c r="C704" s="11" t="s">
        <v>237</v>
      </c>
      <c r="D704" s="11" t="s">
        <v>237</v>
      </c>
      <c r="E704" s="11" t="s">
        <v>237</v>
      </c>
      <c r="F704" s="12" t="s">
        <v>237</v>
      </c>
      <c r="G704" s="11" t="s">
        <v>237</v>
      </c>
      <c r="H704" t="s">
        <v>2567</v>
      </c>
      <c r="I704" s="13">
        <v>25411330572</v>
      </c>
      <c r="J704" s="14">
        <v>0</v>
      </c>
      <c r="K704" s="14">
        <v>0</v>
      </c>
      <c r="L704" s="10" t="s">
        <v>99</v>
      </c>
      <c r="M704" s="14">
        <v>0</v>
      </c>
      <c r="N704" s="15" t="e">
        <v>#DIV/0!</v>
      </c>
      <c r="O704" t="str">
        <f>IFERROR(VLOOKUP($I704,CHOOSE({1,2},'[1]DIRETORES NTE'!$H$5:$H$31,'[1]DIRETORES NTE'!$E$5:$E$31,),2,0),"-")</f>
        <v>MARIA DE FATIMA COSTA (DIRETOR DE NTE)</v>
      </c>
    </row>
    <row r="705" spans="1:15" x14ac:dyDescent="0.25">
      <c r="A705" s="10">
        <v>703</v>
      </c>
      <c r="B705" s="11">
        <v>17</v>
      </c>
      <c r="C705" s="11" t="s">
        <v>1951</v>
      </c>
      <c r="D705" s="11">
        <v>1179120</v>
      </c>
      <c r="E705" s="11">
        <v>29117194</v>
      </c>
      <c r="F705" s="12" t="s">
        <v>2568</v>
      </c>
      <c r="G705" s="11" t="s">
        <v>2569</v>
      </c>
      <c r="H705" t="s">
        <v>2570</v>
      </c>
      <c r="I705" s="13">
        <v>67314880549</v>
      </c>
      <c r="J705" s="14">
        <v>7586</v>
      </c>
      <c r="K705" s="14">
        <v>7586</v>
      </c>
      <c r="L705" s="10" t="s">
        <v>455</v>
      </c>
      <c r="M705" s="14">
        <v>0</v>
      </c>
      <c r="N705" s="15">
        <v>0</v>
      </c>
      <c r="O705" t="str">
        <f>IFERROR(VLOOKUP($I705,CHOOSE({1,2},'[1]DIRETORES NTE'!$H$5:$H$31,'[1]DIRETORES NTE'!$E$5:$E$31,),2,0),"-")</f>
        <v>-</v>
      </c>
    </row>
    <row r="706" spans="1:15" x14ac:dyDescent="0.25">
      <c r="A706" s="10">
        <v>704</v>
      </c>
      <c r="B706" s="11">
        <v>18</v>
      </c>
      <c r="C706" s="11" t="s">
        <v>1039</v>
      </c>
      <c r="D706" s="11">
        <v>1108311</v>
      </c>
      <c r="E706" s="11">
        <v>29154618</v>
      </c>
      <c r="F706" s="12" t="s">
        <v>2571</v>
      </c>
      <c r="G706" s="11" t="s">
        <v>2572</v>
      </c>
      <c r="H706" t="s">
        <v>2573</v>
      </c>
      <c r="I706" s="13" t="s">
        <v>2574</v>
      </c>
      <c r="J706" s="14">
        <v>5171</v>
      </c>
      <c r="K706" s="14">
        <v>5171</v>
      </c>
      <c r="L706" s="10" t="s">
        <v>68</v>
      </c>
      <c r="M706" s="14">
        <v>0</v>
      </c>
      <c r="N706" s="15">
        <v>0</v>
      </c>
      <c r="O706" t="str">
        <f>IFERROR(VLOOKUP($I706,CHOOSE({1,2},'[1]DIRETORES NTE'!$H$5:$H$31,'[1]DIRETORES NTE'!$E$5:$E$31,),2,0),"-")</f>
        <v>-</v>
      </c>
    </row>
    <row r="707" spans="1:15" x14ac:dyDescent="0.25">
      <c r="A707" s="10">
        <v>705</v>
      </c>
      <c r="B707" s="11">
        <v>7</v>
      </c>
      <c r="C707" s="11" t="s">
        <v>2575</v>
      </c>
      <c r="D707" s="11">
        <v>1113200</v>
      </c>
      <c r="E707" s="11">
        <v>29322480</v>
      </c>
      <c r="F707" s="12" t="s">
        <v>2576</v>
      </c>
      <c r="G707" s="11" t="s">
        <v>2577</v>
      </c>
      <c r="H707" t="s">
        <v>2578</v>
      </c>
      <c r="I707" s="13">
        <v>65538145549</v>
      </c>
      <c r="J707" s="14">
        <v>10852</v>
      </c>
      <c r="K707" s="14">
        <v>10852</v>
      </c>
      <c r="L707" s="10" t="s">
        <v>153</v>
      </c>
      <c r="M707" s="14">
        <v>0</v>
      </c>
      <c r="N707" s="15">
        <v>0</v>
      </c>
      <c r="O707" t="str">
        <f>IFERROR(VLOOKUP($I707,CHOOSE({1,2},'[1]DIRETORES NTE'!$H$5:$H$31,'[1]DIRETORES NTE'!$E$5:$E$31,),2,0),"-")</f>
        <v>-</v>
      </c>
    </row>
    <row r="708" spans="1:15" x14ac:dyDescent="0.25">
      <c r="A708" s="10">
        <v>706</v>
      </c>
      <c r="B708" s="11">
        <v>7</v>
      </c>
      <c r="C708" s="11" t="s">
        <v>820</v>
      </c>
      <c r="D708" s="11">
        <v>1179713</v>
      </c>
      <c r="E708" s="11">
        <v>29483247</v>
      </c>
      <c r="F708" s="12" t="s">
        <v>2579</v>
      </c>
      <c r="G708" s="11" t="s">
        <v>2580</v>
      </c>
      <c r="H708" t="s">
        <v>2581</v>
      </c>
      <c r="I708" s="13">
        <v>68618913553</v>
      </c>
      <c r="J708" s="14">
        <v>6339</v>
      </c>
      <c r="K708" s="14">
        <v>6339</v>
      </c>
      <c r="L708" s="10" t="s">
        <v>153</v>
      </c>
      <c r="M708" s="14">
        <v>0</v>
      </c>
      <c r="N708" s="15">
        <v>0</v>
      </c>
      <c r="O708" t="str">
        <f>IFERROR(VLOOKUP($I708,CHOOSE({1,2},'[1]DIRETORES NTE'!$H$5:$H$31,'[1]DIRETORES NTE'!$E$5:$E$31,),2,0),"-")</f>
        <v>MARIA DIAS ASSUNCAO (DIRETOR DE NTE)</v>
      </c>
    </row>
    <row r="709" spans="1:15" x14ac:dyDescent="0.25">
      <c r="A709" s="10">
        <v>707</v>
      </c>
      <c r="B709" s="11">
        <v>26</v>
      </c>
      <c r="C709" s="11" t="s">
        <v>95</v>
      </c>
      <c r="D709" s="11">
        <v>1104650</v>
      </c>
      <c r="E709" s="11">
        <v>29181429</v>
      </c>
      <c r="F709" s="12" t="s">
        <v>2582</v>
      </c>
      <c r="G709" s="11" t="s">
        <v>2583</v>
      </c>
      <c r="H709" t="s">
        <v>2584</v>
      </c>
      <c r="I709" s="13">
        <v>44018720530</v>
      </c>
      <c r="J709" s="14">
        <v>18841</v>
      </c>
      <c r="K709" s="14">
        <v>2770.92</v>
      </c>
      <c r="L709" s="10" t="s">
        <v>99</v>
      </c>
      <c r="M709" s="14">
        <v>16070.08</v>
      </c>
      <c r="N709" s="15">
        <v>0.85293137306936995</v>
      </c>
      <c r="O709" t="str">
        <f>IFERROR(VLOOKUP($I709,CHOOSE({1,2},'[1]DIRETORES NTE'!$H$5:$H$31,'[1]DIRETORES NTE'!$E$5:$E$31,),2,0),"-")</f>
        <v>-</v>
      </c>
    </row>
    <row r="710" spans="1:15" x14ac:dyDescent="0.25">
      <c r="A710" s="10">
        <v>708</v>
      </c>
      <c r="B710" s="11">
        <v>15</v>
      </c>
      <c r="C710" s="11" t="s">
        <v>2585</v>
      </c>
      <c r="D710" s="11">
        <v>1122730</v>
      </c>
      <c r="E710" s="11">
        <v>29080533</v>
      </c>
      <c r="F710" s="12" t="s">
        <v>2586</v>
      </c>
      <c r="G710" s="11" t="s">
        <v>2587</v>
      </c>
      <c r="H710" t="s">
        <v>2588</v>
      </c>
      <c r="I710" s="13">
        <v>24429996504</v>
      </c>
      <c r="J710" s="14">
        <v>24695</v>
      </c>
      <c r="K710" s="14">
        <v>17743</v>
      </c>
      <c r="L710" s="10" t="s">
        <v>280</v>
      </c>
      <c r="M710" s="14">
        <v>6952</v>
      </c>
      <c r="N710" s="15">
        <v>0.2815144766146993</v>
      </c>
      <c r="O710" t="str">
        <f>IFERROR(VLOOKUP($I710,CHOOSE({1,2},'[1]DIRETORES NTE'!$H$5:$H$31,'[1]DIRETORES NTE'!$E$5:$E$31,),2,0),"-")</f>
        <v>-</v>
      </c>
    </row>
    <row r="711" spans="1:15" x14ac:dyDescent="0.25">
      <c r="A711" s="10">
        <v>709</v>
      </c>
      <c r="B711" s="11">
        <v>20</v>
      </c>
      <c r="C711" s="11" t="s">
        <v>50</v>
      </c>
      <c r="D711" s="11">
        <v>1179223</v>
      </c>
      <c r="E711" s="11">
        <v>29456479</v>
      </c>
      <c r="F711" s="12" t="s">
        <v>2589</v>
      </c>
      <c r="G711" s="11" t="s">
        <v>2590</v>
      </c>
      <c r="H711" t="s">
        <v>2591</v>
      </c>
      <c r="I711" s="13">
        <v>60086173553</v>
      </c>
      <c r="J711" s="14">
        <v>21138</v>
      </c>
      <c r="K711" s="14">
        <v>21138</v>
      </c>
      <c r="L711" s="10" t="s">
        <v>27</v>
      </c>
      <c r="M711" s="14">
        <v>0</v>
      </c>
      <c r="N711" s="15">
        <v>0</v>
      </c>
      <c r="O711" t="str">
        <f>IFERROR(VLOOKUP($I711,CHOOSE({1,2},'[1]DIRETORES NTE'!$H$5:$H$31,'[1]DIRETORES NTE'!$E$5:$E$31,),2,0),"-")</f>
        <v>-</v>
      </c>
    </row>
    <row r="712" spans="1:15" x14ac:dyDescent="0.25">
      <c r="A712" s="10">
        <v>710</v>
      </c>
      <c r="B712" s="11">
        <v>10</v>
      </c>
      <c r="C712" s="11" t="s">
        <v>1394</v>
      </c>
      <c r="D712" s="11">
        <v>1121474</v>
      </c>
      <c r="E712" s="11">
        <v>29124506</v>
      </c>
      <c r="F712" s="12" t="s">
        <v>2592</v>
      </c>
      <c r="G712" s="11" t="s">
        <v>2593</v>
      </c>
      <c r="H712" t="s">
        <v>2594</v>
      </c>
      <c r="I712" s="13">
        <v>33140391587</v>
      </c>
      <c r="J712" s="14">
        <v>2474</v>
      </c>
      <c r="K712" s="14">
        <v>2474</v>
      </c>
      <c r="L712" s="10" t="s">
        <v>21</v>
      </c>
      <c r="M712" s="14">
        <v>0</v>
      </c>
      <c r="N712" s="15">
        <v>0</v>
      </c>
      <c r="O712" t="str">
        <f>IFERROR(VLOOKUP($I712,CHOOSE({1,2},'[1]DIRETORES NTE'!$H$5:$H$31,'[1]DIRETORES NTE'!$E$5:$E$31,),2,0),"-")</f>
        <v>-</v>
      </c>
    </row>
    <row r="713" spans="1:15" x14ac:dyDescent="0.25">
      <c r="A713" s="10">
        <v>711</v>
      </c>
      <c r="B713" s="11">
        <v>13</v>
      </c>
      <c r="C713" s="11" t="s">
        <v>809</v>
      </c>
      <c r="D713" s="11">
        <v>1129416</v>
      </c>
      <c r="E713" s="11">
        <v>29264049</v>
      </c>
      <c r="F713" s="12" t="s">
        <v>2595</v>
      </c>
      <c r="G713" s="11" t="s">
        <v>2596</v>
      </c>
      <c r="H713" t="s">
        <v>2597</v>
      </c>
      <c r="I713" s="13">
        <v>82064938591</v>
      </c>
      <c r="J713" s="14">
        <v>6413</v>
      </c>
      <c r="K713" s="14">
        <v>6413</v>
      </c>
      <c r="L713" s="10" t="s">
        <v>33</v>
      </c>
      <c r="M713" s="14">
        <v>0</v>
      </c>
      <c r="N713" s="15">
        <v>0</v>
      </c>
      <c r="O713" t="str">
        <f>IFERROR(VLOOKUP($I713,CHOOSE({1,2},'[1]DIRETORES NTE'!$H$5:$H$31,'[1]DIRETORES NTE'!$E$5:$E$31,),2,0),"-")</f>
        <v>-</v>
      </c>
    </row>
    <row r="714" spans="1:15" x14ac:dyDescent="0.25">
      <c r="A714" s="10">
        <v>712</v>
      </c>
      <c r="B714" s="11">
        <v>26</v>
      </c>
      <c r="C714" s="11" t="s">
        <v>95</v>
      </c>
      <c r="D714" s="11">
        <v>1104049</v>
      </c>
      <c r="E714" s="11">
        <v>29200342</v>
      </c>
      <c r="F714" s="12" t="s">
        <v>2598</v>
      </c>
      <c r="G714" s="11" t="s">
        <v>2599</v>
      </c>
      <c r="H714" t="s">
        <v>2600</v>
      </c>
      <c r="I714" s="13">
        <v>39733319520</v>
      </c>
      <c r="J714" s="14">
        <v>5998</v>
      </c>
      <c r="K714" s="14">
        <v>5998</v>
      </c>
      <c r="L714" s="10" t="s">
        <v>99</v>
      </c>
      <c r="M714" s="14">
        <v>0</v>
      </c>
      <c r="N714" s="15">
        <v>0</v>
      </c>
      <c r="O714" t="str">
        <f>IFERROR(VLOOKUP($I714,CHOOSE({1,2},'[1]DIRETORES NTE'!$H$5:$H$31,'[1]DIRETORES NTE'!$E$5:$E$31,),2,0),"-")</f>
        <v>-</v>
      </c>
    </row>
    <row r="715" spans="1:15" x14ac:dyDescent="0.25">
      <c r="A715" s="10">
        <v>713</v>
      </c>
      <c r="B715" s="11">
        <v>1</v>
      </c>
      <c r="C715" s="11" t="s">
        <v>1043</v>
      </c>
      <c r="D715" s="11">
        <v>1126808</v>
      </c>
      <c r="E715" s="11">
        <v>29041333</v>
      </c>
      <c r="F715" s="12" t="s">
        <v>2601</v>
      </c>
      <c r="G715" s="11" t="s">
        <v>2602</v>
      </c>
      <c r="H715" t="s">
        <v>2603</v>
      </c>
      <c r="I715" s="13">
        <v>52357880520</v>
      </c>
      <c r="J715" s="14">
        <v>13076</v>
      </c>
      <c r="K715" s="14">
        <v>13076</v>
      </c>
      <c r="L715" s="10" t="s">
        <v>356</v>
      </c>
      <c r="M715" s="14">
        <v>0</v>
      </c>
      <c r="N715" s="15">
        <v>0</v>
      </c>
      <c r="O715" t="str">
        <f>IFERROR(VLOOKUP($I715,CHOOSE({1,2},'[1]DIRETORES NTE'!$H$5:$H$31,'[1]DIRETORES NTE'!$E$5:$E$31,),2,0),"-")</f>
        <v>-</v>
      </c>
    </row>
    <row r="716" spans="1:15" x14ac:dyDescent="0.25">
      <c r="A716" s="10">
        <v>714</v>
      </c>
      <c r="B716" s="11">
        <v>19</v>
      </c>
      <c r="C716" s="11" t="s">
        <v>2323</v>
      </c>
      <c r="D716" s="11">
        <v>1105100</v>
      </c>
      <c r="E716" s="11">
        <v>29092213</v>
      </c>
      <c r="F716" s="12" t="s">
        <v>2604</v>
      </c>
      <c r="G716" s="11" t="s">
        <v>2605</v>
      </c>
      <c r="H716" t="s">
        <v>2606</v>
      </c>
      <c r="I716" s="13" t="s">
        <v>2607</v>
      </c>
      <c r="J716" s="14">
        <v>5272</v>
      </c>
      <c r="K716" s="14">
        <v>5272</v>
      </c>
      <c r="L716" s="10" t="s">
        <v>336</v>
      </c>
      <c r="M716" s="14">
        <v>0</v>
      </c>
      <c r="N716" s="15">
        <v>0</v>
      </c>
      <c r="O716" t="str">
        <f>IFERROR(VLOOKUP($I716,CHOOSE({1,2},'[1]DIRETORES NTE'!$H$5:$H$31,'[1]DIRETORES NTE'!$E$5:$E$31,),2,0),"-")</f>
        <v>-</v>
      </c>
    </row>
    <row r="717" spans="1:15" x14ac:dyDescent="0.25">
      <c r="A717" s="10">
        <v>715</v>
      </c>
      <c r="B717" s="11">
        <v>2</v>
      </c>
      <c r="C717" s="11" t="s">
        <v>876</v>
      </c>
      <c r="D717" s="11">
        <v>1179772</v>
      </c>
      <c r="E717" s="11">
        <v>29487110</v>
      </c>
      <c r="F717" s="12" t="s">
        <v>2608</v>
      </c>
      <c r="G717" s="11" t="s">
        <v>2609</v>
      </c>
      <c r="H717" t="s">
        <v>2610</v>
      </c>
      <c r="I717" s="13">
        <v>40734447515</v>
      </c>
      <c r="J717" s="14">
        <v>5024</v>
      </c>
      <c r="K717" s="14">
        <v>5024</v>
      </c>
      <c r="L717" s="10" t="s">
        <v>105</v>
      </c>
      <c r="M717" s="14">
        <v>0</v>
      </c>
      <c r="N717" s="15">
        <v>0</v>
      </c>
      <c r="O717" t="str">
        <f>IFERROR(VLOOKUP($I717,CHOOSE({1,2},'[1]DIRETORES NTE'!$H$5:$H$31,'[1]DIRETORES NTE'!$E$5:$E$31,),2,0),"-")</f>
        <v>-</v>
      </c>
    </row>
    <row r="718" spans="1:15" x14ac:dyDescent="0.25">
      <c r="A718" s="10">
        <v>716</v>
      </c>
      <c r="B718" s="11">
        <v>21</v>
      </c>
      <c r="C718" s="11" t="s">
        <v>2611</v>
      </c>
      <c r="D718" s="11">
        <v>1133715</v>
      </c>
      <c r="E718" s="11">
        <v>29162610</v>
      </c>
      <c r="F718" s="12" t="s">
        <v>2612</v>
      </c>
      <c r="G718" s="11" t="s">
        <v>2613</v>
      </c>
      <c r="H718" t="s">
        <v>2614</v>
      </c>
      <c r="I718" s="13">
        <v>26868288549</v>
      </c>
      <c r="J718" s="14">
        <v>15006</v>
      </c>
      <c r="K718" s="14">
        <v>1</v>
      </c>
      <c r="L718" s="10" t="s">
        <v>63</v>
      </c>
      <c r="M718" s="14">
        <v>15005</v>
      </c>
      <c r="N718" s="15">
        <v>0.99993335998933763</v>
      </c>
      <c r="O718" t="str">
        <f>IFERROR(VLOOKUP($I718,CHOOSE({1,2},'[1]DIRETORES NTE'!$H$5:$H$31,'[1]DIRETORES NTE'!$E$5:$E$31,),2,0),"-")</f>
        <v>-</v>
      </c>
    </row>
    <row r="719" spans="1:15" x14ac:dyDescent="0.25">
      <c r="A719" s="10">
        <v>717</v>
      </c>
      <c r="B719" s="11">
        <v>17</v>
      </c>
      <c r="C719" s="11" t="s">
        <v>2615</v>
      </c>
      <c r="D719" s="11">
        <v>1178049</v>
      </c>
      <c r="E719" s="11">
        <v>29423805</v>
      </c>
      <c r="F719" s="12" t="s">
        <v>2616</v>
      </c>
      <c r="G719" s="11" t="s">
        <v>2617</v>
      </c>
      <c r="H719" t="s">
        <v>2618</v>
      </c>
      <c r="I719" s="13">
        <v>31186602520</v>
      </c>
      <c r="J719" s="14">
        <v>15020</v>
      </c>
      <c r="K719" s="14">
        <v>15020</v>
      </c>
      <c r="L719" s="10" t="s">
        <v>455</v>
      </c>
      <c r="M719" s="14">
        <v>0</v>
      </c>
      <c r="N719" s="15">
        <v>0</v>
      </c>
      <c r="O719" t="str">
        <f>IFERROR(VLOOKUP($I719,CHOOSE({1,2},'[1]DIRETORES NTE'!$H$5:$H$31,'[1]DIRETORES NTE'!$E$5:$E$31,),2,0),"-")</f>
        <v>-</v>
      </c>
    </row>
    <row r="720" spans="1:15" x14ac:dyDescent="0.25">
      <c r="A720" s="10">
        <v>718</v>
      </c>
      <c r="B720" s="11">
        <v>26</v>
      </c>
      <c r="C720" s="11" t="s">
        <v>95</v>
      </c>
      <c r="D720" s="11">
        <v>1101333</v>
      </c>
      <c r="E720" s="11">
        <v>29185351</v>
      </c>
      <c r="F720" s="12" t="s">
        <v>2619</v>
      </c>
      <c r="G720" s="11" t="s">
        <v>2620</v>
      </c>
      <c r="H720" t="s">
        <v>2621</v>
      </c>
      <c r="I720" s="13" t="s">
        <v>2622</v>
      </c>
      <c r="J720" s="14">
        <v>7385</v>
      </c>
      <c r="K720" s="14">
        <v>7385</v>
      </c>
      <c r="L720" s="10" t="s">
        <v>99</v>
      </c>
      <c r="M720" s="14">
        <v>0</v>
      </c>
      <c r="N720" s="15">
        <v>0</v>
      </c>
      <c r="O720" t="str">
        <f>IFERROR(VLOOKUP($I720,CHOOSE({1,2},'[1]DIRETORES NTE'!$H$5:$H$31,'[1]DIRETORES NTE'!$E$5:$E$31,),2,0),"-")</f>
        <v>-</v>
      </c>
    </row>
    <row r="721" spans="1:15" x14ac:dyDescent="0.25">
      <c r="A721" s="10">
        <v>719</v>
      </c>
      <c r="B721" s="11">
        <v>26</v>
      </c>
      <c r="C721" s="11" t="s">
        <v>712</v>
      </c>
      <c r="D721" s="11">
        <v>1101961</v>
      </c>
      <c r="E721" s="11">
        <v>29175771</v>
      </c>
      <c r="F721" s="12" t="s">
        <v>2623</v>
      </c>
      <c r="G721" s="11" t="s">
        <v>2624</v>
      </c>
      <c r="H721" t="s">
        <v>2625</v>
      </c>
      <c r="I721" s="13">
        <v>51104733587</v>
      </c>
      <c r="J721" s="14">
        <v>31522</v>
      </c>
      <c r="K721" s="14">
        <v>31522</v>
      </c>
      <c r="L721" s="10" t="s">
        <v>99</v>
      </c>
      <c r="M721" s="14">
        <v>0</v>
      </c>
      <c r="N721" s="15">
        <v>0</v>
      </c>
      <c r="O721" t="str">
        <f>IFERROR(VLOOKUP($I721,CHOOSE({1,2},'[1]DIRETORES NTE'!$H$5:$H$31,'[1]DIRETORES NTE'!$E$5:$E$31,),2,0),"-")</f>
        <v>-</v>
      </c>
    </row>
    <row r="722" spans="1:15" x14ac:dyDescent="0.25">
      <c r="A722" s="10">
        <v>720</v>
      </c>
      <c r="B722" s="11">
        <v>15</v>
      </c>
      <c r="C722" s="11" t="s">
        <v>1005</v>
      </c>
      <c r="D722" s="11">
        <v>1160828</v>
      </c>
      <c r="E722" s="11">
        <v>29143942</v>
      </c>
      <c r="F722" s="12" t="s">
        <v>2626</v>
      </c>
      <c r="G722" s="11" t="s">
        <v>2627</v>
      </c>
      <c r="H722" t="s">
        <v>2628</v>
      </c>
      <c r="I722" s="13">
        <v>25264842515</v>
      </c>
      <c r="J722" s="14">
        <v>2023</v>
      </c>
      <c r="K722" s="14">
        <v>2023</v>
      </c>
      <c r="L722" s="10" t="s">
        <v>280</v>
      </c>
      <c r="M722" s="14">
        <v>0</v>
      </c>
      <c r="N722" s="15">
        <v>0</v>
      </c>
      <c r="O722" t="str">
        <f>IFERROR(VLOOKUP($I722,CHOOSE({1,2},'[1]DIRETORES NTE'!$H$5:$H$31,'[1]DIRETORES NTE'!$E$5:$E$31,),2,0),"-")</f>
        <v>-</v>
      </c>
    </row>
    <row r="723" spans="1:15" x14ac:dyDescent="0.25">
      <c r="A723" s="10">
        <v>721</v>
      </c>
      <c r="B723" s="11">
        <v>26</v>
      </c>
      <c r="C723" s="11" t="s">
        <v>95</v>
      </c>
      <c r="D723" s="11">
        <v>1102151</v>
      </c>
      <c r="E723" s="11">
        <v>29182697</v>
      </c>
      <c r="F723" s="12" t="s">
        <v>2629</v>
      </c>
      <c r="G723" s="11" t="s">
        <v>2630</v>
      </c>
      <c r="H723" t="s">
        <v>2631</v>
      </c>
      <c r="I723" s="13">
        <v>12301663515</v>
      </c>
      <c r="J723" s="14">
        <v>16683</v>
      </c>
      <c r="K723" s="14">
        <v>16683</v>
      </c>
      <c r="L723" s="10" t="s">
        <v>99</v>
      </c>
      <c r="M723" s="14">
        <v>0</v>
      </c>
      <c r="N723" s="15">
        <v>0</v>
      </c>
      <c r="O723" t="str">
        <f>IFERROR(VLOOKUP($I723,CHOOSE({1,2},'[1]DIRETORES NTE'!$H$5:$H$31,'[1]DIRETORES NTE'!$E$5:$E$31,),2,0),"-")</f>
        <v>-</v>
      </c>
    </row>
    <row r="724" spans="1:15" x14ac:dyDescent="0.25">
      <c r="A724" s="10">
        <v>722</v>
      </c>
      <c r="B724" s="11">
        <v>11</v>
      </c>
      <c r="C724" s="11" t="s">
        <v>816</v>
      </c>
      <c r="D724" s="11">
        <v>1179619</v>
      </c>
      <c r="E724" s="11">
        <v>29470501</v>
      </c>
      <c r="F724" s="12" t="s">
        <v>2632</v>
      </c>
      <c r="G724" s="11" t="s">
        <v>2633</v>
      </c>
      <c r="H724" t="s">
        <v>2634</v>
      </c>
      <c r="I724" s="13" t="s">
        <v>2635</v>
      </c>
      <c r="J724" s="14">
        <v>4230</v>
      </c>
      <c r="K724" s="14">
        <v>4230</v>
      </c>
      <c r="L724" s="10" t="s">
        <v>39</v>
      </c>
      <c r="M724" s="14">
        <v>0</v>
      </c>
      <c r="N724" s="15">
        <v>0</v>
      </c>
      <c r="O724" t="str">
        <f>IFERROR(VLOOKUP($I724,CHOOSE({1,2},'[1]DIRETORES NTE'!$H$5:$H$31,'[1]DIRETORES NTE'!$E$5:$E$31,),2,0),"-")</f>
        <v>-</v>
      </c>
    </row>
    <row r="725" spans="1:15" x14ac:dyDescent="0.25">
      <c r="A725" s="10">
        <v>723</v>
      </c>
      <c r="B725" s="11">
        <v>15</v>
      </c>
      <c r="C725" s="11" t="s">
        <v>2636</v>
      </c>
      <c r="D725" s="11">
        <v>1107234</v>
      </c>
      <c r="E725" s="11">
        <v>29105684</v>
      </c>
      <c r="F725" s="12" t="s">
        <v>2637</v>
      </c>
      <c r="G725" s="11" t="s">
        <v>2638</v>
      </c>
      <c r="H725" t="s">
        <v>2639</v>
      </c>
      <c r="I725" s="13">
        <v>35548878549</v>
      </c>
      <c r="J725" s="14">
        <v>9905</v>
      </c>
      <c r="K725" s="14">
        <v>9905</v>
      </c>
      <c r="L725" s="10" t="s">
        <v>280</v>
      </c>
      <c r="M725" s="14">
        <v>0</v>
      </c>
      <c r="N725" s="15">
        <v>0</v>
      </c>
      <c r="O725" t="str">
        <f>IFERROR(VLOOKUP($I725,CHOOSE({1,2},'[1]DIRETORES NTE'!$H$5:$H$31,'[1]DIRETORES NTE'!$E$5:$E$31,),2,0),"-")</f>
        <v>-</v>
      </c>
    </row>
    <row r="726" spans="1:15" x14ac:dyDescent="0.25">
      <c r="A726" s="10">
        <v>724</v>
      </c>
      <c r="B726" s="11">
        <v>10</v>
      </c>
      <c r="C726" s="11" t="s">
        <v>16</v>
      </c>
      <c r="D726" s="11">
        <v>1120893</v>
      </c>
      <c r="E726" s="11">
        <v>29025001</v>
      </c>
      <c r="F726" s="12" t="s">
        <v>2640</v>
      </c>
      <c r="G726" s="11" t="s">
        <v>2641</v>
      </c>
      <c r="H726" t="s">
        <v>2642</v>
      </c>
      <c r="I726" s="13">
        <v>30352592400</v>
      </c>
      <c r="J726" s="14">
        <v>6033</v>
      </c>
      <c r="K726" s="14">
        <v>6033</v>
      </c>
      <c r="L726" s="10" t="s">
        <v>21</v>
      </c>
      <c r="M726" s="14">
        <v>0</v>
      </c>
      <c r="N726" s="15">
        <v>0</v>
      </c>
      <c r="O726" t="str">
        <f>IFERROR(VLOOKUP($I726,CHOOSE({1,2},'[1]DIRETORES NTE'!$H$5:$H$31,'[1]DIRETORES NTE'!$E$5:$E$31,),2,0),"-")</f>
        <v>-</v>
      </c>
    </row>
    <row r="727" spans="1:15" x14ac:dyDescent="0.25">
      <c r="A727" s="10">
        <v>725</v>
      </c>
      <c r="B727" s="11">
        <v>19</v>
      </c>
      <c r="C727" s="11" t="s">
        <v>2643</v>
      </c>
      <c r="D727" s="11">
        <v>1107706</v>
      </c>
      <c r="E727" s="11">
        <v>29111730</v>
      </c>
      <c r="F727" s="12" t="s">
        <v>2644</v>
      </c>
      <c r="G727" s="11" t="s">
        <v>2645</v>
      </c>
      <c r="H727" t="s">
        <v>2646</v>
      </c>
      <c r="I727" s="13">
        <v>12494968534</v>
      </c>
      <c r="J727" s="14">
        <v>6451</v>
      </c>
      <c r="K727" s="14">
        <v>6451</v>
      </c>
      <c r="L727" s="10" t="s">
        <v>336</v>
      </c>
      <c r="M727" s="14">
        <v>0</v>
      </c>
      <c r="N727" s="15">
        <v>0</v>
      </c>
      <c r="O727" t="str">
        <f>IFERROR(VLOOKUP($I727,CHOOSE({1,2},'[1]DIRETORES NTE'!$H$5:$H$31,'[1]DIRETORES NTE'!$E$5:$E$31,),2,0),"-")</f>
        <v>-</v>
      </c>
    </row>
    <row r="728" spans="1:15" x14ac:dyDescent="0.25">
      <c r="A728" s="10">
        <v>726</v>
      </c>
      <c r="B728" s="11">
        <v>17</v>
      </c>
      <c r="C728" s="11" t="s">
        <v>2647</v>
      </c>
      <c r="D728" s="11">
        <v>1114729</v>
      </c>
      <c r="E728" s="11">
        <v>29126991</v>
      </c>
      <c r="F728" s="12" t="s">
        <v>2648</v>
      </c>
      <c r="G728" s="11" t="s">
        <v>2649</v>
      </c>
      <c r="H728" t="s">
        <v>2650</v>
      </c>
      <c r="I728" s="13">
        <v>15348970549</v>
      </c>
      <c r="J728" s="14">
        <v>4232</v>
      </c>
      <c r="K728" s="14">
        <v>4232</v>
      </c>
      <c r="L728" s="10" t="s">
        <v>455</v>
      </c>
      <c r="M728" s="14">
        <v>0</v>
      </c>
      <c r="N728" s="15">
        <v>0</v>
      </c>
      <c r="O728" t="str">
        <f>IFERROR(VLOOKUP($I728,CHOOSE({1,2},'[1]DIRETORES NTE'!$H$5:$H$31,'[1]DIRETORES NTE'!$E$5:$E$31,),2,0),"-")</f>
        <v>-</v>
      </c>
    </row>
    <row r="729" spans="1:15" x14ac:dyDescent="0.25">
      <c r="A729" s="10">
        <v>727</v>
      </c>
      <c r="B729" s="11">
        <v>11</v>
      </c>
      <c r="C729" s="11" t="s">
        <v>188</v>
      </c>
      <c r="D729" s="11">
        <v>1165382</v>
      </c>
      <c r="E729" s="11">
        <v>29000831</v>
      </c>
      <c r="F729" s="12" t="s">
        <v>2651</v>
      </c>
      <c r="G729" s="11" t="s">
        <v>2652</v>
      </c>
      <c r="H729" t="s">
        <v>2653</v>
      </c>
      <c r="I729" s="13">
        <v>77964977504</v>
      </c>
      <c r="J729" s="14">
        <v>4144</v>
      </c>
      <c r="K729" s="14">
        <v>4144</v>
      </c>
      <c r="L729" s="10" t="s">
        <v>39</v>
      </c>
      <c r="M729" s="14">
        <v>0</v>
      </c>
      <c r="N729" s="15">
        <v>0</v>
      </c>
      <c r="O729" t="str">
        <f>IFERROR(VLOOKUP($I729,CHOOSE({1,2},'[1]DIRETORES NTE'!$H$5:$H$31,'[1]DIRETORES NTE'!$E$5:$E$31,),2,0),"-")</f>
        <v>-</v>
      </c>
    </row>
    <row r="730" spans="1:15" x14ac:dyDescent="0.25">
      <c r="A730" s="10">
        <v>728</v>
      </c>
      <c r="B730" s="11">
        <v>7</v>
      </c>
      <c r="C730" s="11" t="s">
        <v>1244</v>
      </c>
      <c r="D730" s="11">
        <v>1179481</v>
      </c>
      <c r="E730" s="11">
        <v>29469066</v>
      </c>
      <c r="F730" s="12" t="s">
        <v>2654</v>
      </c>
      <c r="G730" s="11" t="s">
        <v>2655</v>
      </c>
      <c r="H730" t="s">
        <v>2656</v>
      </c>
      <c r="I730" s="13">
        <v>96357622591</v>
      </c>
      <c r="J730" s="14">
        <v>16699</v>
      </c>
      <c r="K730" s="14">
        <v>16699</v>
      </c>
      <c r="L730" s="10" t="s">
        <v>153</v>
      </c>
      <c r="M730" s="14">
        <v>0</v>
      </c>
      <c r="N730" s="15">
        <v>0</v>
      </c>
      <c r="O730" t="str">
        <f>IFERROR(VLOOKUP($I730,CHOOSE({1,2},'[1]DIRETORES NTE'!$H$5:$H$31,'[1]DIRETORES NTE'!$E$5:$E$31,),2,0),"-")</f>
        <v>-</v>
      </c>
    </row>
    <row r="731" spans="1:15" x14ac:dyDescent="0.25">
      <c r="A731" s="10">
        <v>729</v>
      </c>
      <c r="B731" s="11">
        <v>15</v>
      </c>
      <c r="C731" s="11" t="s">
        <v>2657</v>
      </c>
      <c r="D731" s="11">
        <v>1160771</v>
      </c>
      <c r="E731" s="11">
        <v>29140633</v>
      </c>
      <c r="F731" s="12" t="s">
        <v>2658</v>
      </c>
      <c r="G731" s="11" t="s">
        <v>2659</v>
      </c>
      <c r="H731" t="s">
        <v>2660</v>
      </c>
      <c r="I731" s="13" t="s">
        <v>2661</v>
      </c>
      <c r="J731" s="14">
        <v>7296</v>
      </c>
      <c r="K731" s="14">
        <v>7296</v>
      </c>
      <c r="L731" s="10" t="s">
        <v>280</v>
      </c>
      <c r="M731" s="14">
        <v>0</v>
      </c>
      <c r="N731" s="15">
        <v>0</v>
      </c>
      <c r="O731" t="str">
        <f>IFERROR(VLOOKUP($I731,CHOOSE({1,2},'[1]DIRETORES NTE'!$H$5:$H$31,'[1]DIRETORES NTE'!$E$5:$E$31,),2,0),"-")</f>
        <v>-</v>
      </c>
    </row>
    <row r="732" spans="1:15" x14ac:dyDescent="0.25">
      <c r="A732" s="10">
        <v>730</v>
      </c>
      <c r="B732" s="11">
        <v>26</v>
      </c>
      <c r="C732" s="11" t="s">
        <v>95</v>
      </c>
      <c r="D732" s="11">
        <v>1103778</v>
      </c>
      <c r="E732" s="11">
        <v>29199387</v>
      </c>
      <c r="F732" s="12" t="s">
        <v>2662</v>
      </c>
      <c r="G732" s="11" t="s">
        <v>2663</v>
      </c>
      <c r="H732" t="s">
        <v>2664</v>
      </c>
      <c r="I732" s="13">
        <v>90863763553</v>
      </c>
      <c r="J732" s="14">
        <v>17898</v>
      </c>
      <c r="K732" s="14">
        <v>17898</v>
      </c>
      <c r="L732" s="10" t="s">
        <v>99</v>
      </c>
      <c r="M732" s="14">
        <v>0</v>
      </c>
      <c r="N732" s="15">
        <v>0</v>
      </c>
      <c r="O732" t="str">
        <f>IFERROR(VLOOKUP($I732,CHOOSE({1,2},'[1]DIRETORES NTE'!$H$5:$H$31,'[1]DIRETORES NTE'!$E$5:$E$31,),2,0),"-")</f>
        <v>-</v>
      </c>
    </row>
    <row r="733" spans="1:15" x14ac:dyDescent="0.25">
      <c r="A733" s="10">
        <v>731</v>
      </c>
      <c r="B733" s="11">
        <v>5</v>
      </c>
      <c r="C733" s="11" t="s">
        <v>40</v>
      </c>
      <c r="D733" s="11">
        <v>1159838</v>
      </c>
      <c r="E733" s="11">
        <v>29302293</v>
      </c>
      <c r="F733" s="12" t="s">
        <v>2665</v>
      </c>
      <c r="G733" s="11" t="s">
        <v>2666</v>
      </c>
      <c r="H733" t="s">
        <v>2667</v>
      </c>
      <c r="I733" s="13">
        <v>91549043587</v>
      </c>
      <c r="J733" s="14">
        <v>19806</v>
      </c>
      <c r="K733" s="14">
        <v>19806</v>
      </c>
      <c r="L733" s="10" t="s">
        <v>44</v>
      </c>
      <c r="M733" s="14">
        <v>0</v>
      </c>
      <c r="N733" s="15">
        <v>0</v>
      </c>
      <c r="O733" t="str">
        <f>IFERROR(VLOOKUP($I733,CHOOSE({1,2},'[1]DIRETORES NTE'!$H$5:$H$31,'[1]DIRETORES NTE'!$E$5:$E$31,),2,0),"-")</f>
        <v>-</v>
      </c>
    </row>
    <row r="734" spans="1:15" x14ac:dyDescent="0.25">
      <c r="A734" s="10">
        <v>732</v>
      </c>
      <c r="B734" s="11">
        <v>26</v>
      </c>
      <c r="C734" s="11" t="s">
        <v>305</v>
      </c>
      <c r="D734" s="11">
        <v>1104863</v>
      </c>
      <c r="E734" s="11">
        <v>29176808</v>
      </c>
      <c r="F734" s="12" t="s">
        <v>1886</v>
      </c>
      <c r="G734" s="11" t="s">
        <v>2668</v>
      </c>
      <c r="H734" t="s">
        <v>2669</v>
      </c>
      <c r="I734" s="13">
        <v>57994870520</v>
      </c>
      <c r="J734" s="14">
        <v>9086</v>
      </c>
      <c r="K734" s="14">
        <v>9086</v>
      </c>
      <c r="L734" s="10" t="s">
        <v>99</v>
      </c>
      <c r="M734" s="14">
        <v>0</v>
      </c>
      <c r="N734" s="15">
        <v>0</v>
      </c>
      <c r="O734" t="str">
        <f>IFERROR(VLOOKUP($I734,CHOOSE({1,2},'[1]DIRETORES NTE'!$H$5:$H$31,'[1]DIRETORES NTE'!$E$5:$E$31,),2,0),"-")</f>
        <v>-</v>
      </c>
    </row>
    <row r="735" spans="1:15" x14ac:dyDescent="0.25">
      <c r="A735" s="10">
        <v>733</v>
      </c>
      <c r="B735" s="11">
        <v>6</v>
      </c>
      <c r="C735" s="11" t="s">
        <v>2670</v>
      </c>
      <c r="D735" s="11">
        <v>1110677</v>
      </c>
      <c r="E735" s="11">
        <v>29313325</v>
      </c>
      <c r="F735" s="12" t="s">
        <v>2671</v>
      </c>
      <c r="G735" s="11" t="s">
        <v>2672</v>
      </c>
      <c r="H735" t="s">
        <v>2673</v>
      </c>
      <c r="I735" s="13">
        <v>56097271549</v>
      </c>
      <c r="J735" s="14">
        <v>7521</v>
      </c>
      <c r="K735" s="14">
        <v>316.66000000000003</v>
      </c>
      <c r="L735" s="10" t="s">
        <v>49</v>
      </c>
      <c r="M735" s="14">
        <v>7204.34</v>
      </c>
      <c r="N735" s="15">
        <v>0.9578965563090015</v>
      </c>
      <c r="O735" t="str">
        <f>IFERROR(VLOOKUP($I735,CHOOSE({1,2},'[1]DIRETORES NTE'!$H$5:$H$31,'[1]DIRETORES NTE'!$E$5:$E$31,),2,0),"-")</f>
        <v>-</v>
      </c>
    </row>
    <row r="736" spans="1:15" x14ac:dyDescent="0.25">
      <c r="A736" s="10">
        <v>734</v>
      </c>
      <c r="B736" s="11">
        <v>18</v>
      </c>
      <c r="C736" s="11" t="s">
        <v>64</v>
      </c>
      <c r="D736" s="11">
        <v>1178266</v>
      </c>
      <c r="E736" s="11">
        <v>29456800</v>
      </c>
      <c r="F736" s="12" t="s">
        <v>2674</v>
      </c>
      <c r="G736" s="11" t="s">
        <v>2675</v>
      </c>
      <c r="H736" t="s">
        <v>2676</v>
      </c>
      <c r="I736" s="13" t="s">
        <v>2677</v>
      </c>
      <c r="J736" s="14">
        <v>5704</v>
      </c>
      <c r="K736" s="14">
        <v>5704</v>
      </c>
      <c r="L736" s="10" t="s">
        <v>68</v>
      </c>
      <c r="M736" s="14">
        <v>0</v>
      </c>
      <c r="N736" s="15">
        <v>0</v>
      </c>
      <c r="O736" t="str">
        <f>IFERROR(VLOOKUP($I736,CHOOSE({1,2},'[1]DIRETORES NTE'!$H$5:$H$31,'[1]DIRETORES NTE'!$E$5:$E$31,),2,0),"-")</f>
        <v>-</v>
      </c>
    </row>
    <row r="737" spans="1:15" x14ac:dyDescent="0.25">
      <c r="A737" s="10">
        <v>735</v>
      </c>
      <c r="B737" s="11">
        <v>26</v>
      </c>
      <c r="C737" s="11" t="s">
        <v>95</v>
      </c>
      <c r="D737" s="11">
        <v>1176094</v>
      </c>
      <c r="E737" s="11">
        <v>29336627</v>
      </c>
      <c r="F737" s="12" t="s">
        <v>2678</v>
      </c>
      <c r="G737" s="11" t="s">
        <v>2679</v>
      </c>
      <c r="H737" t="s">
        <v>2680</v>
      </c>
      <c r="I737" s="13">
        <v>32655509587</v>
      </c>
      <c r="J737" s="14">
        <v>12985</v>
      </c>
      <c r="K737" s="14">
        <v>12985</v>
      </c>
      <c r="L737" s="10" t="s">
        <v>99</v>
      </c>
      <c r="M737" s="14">
        <v>0</v>
      </c>
      <c r="N737" s="15">
        <v>0</v>
      </c>
      <c r="O737" t="str">
        <f>IFERROR(VLOOKUP($I737,CHOOSE({1,2},'[1]DIRETORES NTE'!$H$5:$H$31,'[1]DIRETORES NTE'!$E$5:$E$31,),2,0),"-")</f>
        <v>-</v>
      </c>
    </row>
    <row r="738" spans="1:15" x14ac:dyDescent="0.25">
      <c r="A738" s="10">
        <v>736</v>
      </c>
      <c r="B738" s="11">
        <v>21</v>
      </c>
      <c r="C738" s="11" t="s">
        <v>2681</v>
      </c>
      <c r="D738" s="11">
        <v>1108893</v>
      </c>
      <c r="E738" s="11">
        <v>29164826</v>
      </c>
      <c r="F738" s="12" t="s">
        <v>2682</v>
      </c>
      <c r="G738" s="11" t="s">
        <v>2683</v>
      </c>
      <c r="H738" t="s">
        <v>2684</v>
      </c>
      <c r="I738" s="13">
        <v>36456195500</v>
      </c>
      <c r="J738" s="14">
        <v>12784</v>
      </c>
      <c r="K738" s="14">
        <v>0.53</v>
      </c>
      <c r="L738" s="10" t="s">
        <v>63</v>
      </c>
      <c r="M738" s="14">
        <v>12783.47</v>
      </c>
      <c r="N738" s="15">
        <v>0.99995854192740918</v>
      </c>
      <c r="O738" t="str">
        <f>IFERROR(VLOOKUP($I738,CHOOSE({1,2},'[1]DIRETORES NTE'!$H$5:$H$31,'[1]DIRETORES NTE'!$E$5:$E$31,),2,0),"-")</f>
        <v>-</v>
      </c>
    </row>
    <row r="739" spans="1:15" x14ac:dyDescent="0.25">
      <c r="A739" s="10">
        <v>737</v>
      </c>
      <c r="B739" s="11">
        <v>10</v>
      </c>
      <c r="C739" s="11" t="s">
        <v>1394</v>
      </c>
      <c r="D739" s="11">
        <v>1161336</v>
      </c>
      <c r="E739" s="11">
        <v>29124484</v>
      </c>
      <c r="F739" s="12" t="s">
        <v>2685</v>
      </c>
      <c r="G739" s="11" t="s">
        <v>2686</v>
      </c>
      <c r="H739" t="s">
        <v>2687</v>
      </c>
      <c r="I739" s="13">
        <v>67571026504</v>
      </c>
      <c r="J739" s="14">
        <v>12640</v>
      </c>
      <c r="K739" s="14">
        <v>12640</v>
      </c>
      <c r="L739" s="10" t="s">
        <v>21</v>
      </c>
      <c r="M739" s="14">
        <v>0</v>
      </c>
      <c r="N739" s="15">
        <v>0</v>
      </c>
      <c r="O739" t="str">
        <f>IFERROR(VLOOKUP($I739,CHOOSE({1,2},'[1]DIRETORES NTE'!$H$5:$H$31,'[1]DIRETORES NTE'!$E$5:$E$31,),2,0),"-")</f>
        <v>-</v>
      </c>
    </row>
    <row r="740" spans="1:15" x14ac:dyDescent="0.25">
      <c r="A740" s="10">
        <v>738</v>
      </c>
      <c r="B740" s="11">
        <v>17</v>
      </c>
      <c r="C740" s="11" t="s">
        <v>737</v>
      </c>
      <c r="D740" s="11">
        <v>1178084</v>
      </c>
      <c r="E740" s="11">
        <v>29428530</v>
      </c>
      <c r="F740" s="12" t="s">
        <v>2688</v>
      </c>
      <c r="G740" s="11" t="s">
        <v>2689</v>
      </c>
      <c r="H740" t="s">
        <v>2690</v>
      </c>
      <c r="I740" s="13">
        <v>31308384572</v>
      </c>
      <c r="J740" s="14">
        <v>6899</v>
      </c>
      <c r="K740" s="14">
        <v>6899</v>
      </c>
      <c r="L740" s="10" t="s">
        <v>455</v>
      </c>
      <c r="M740" s="14">
        <v>0</v>
      </c>
      <c r="N740" s="15">
        <v>0</v>
      </c>
      <c r="O740" t="str">
        <f>IFERROR(VLOOKUP($I740,CHOOSE({1,2},'[1]DIRETORES NTE'!$H$5:$H$31,'[1]DIRETORES NTE'!$E$5:$E$31,),2,0),"-")</f>
        <v>-</v>
      </c>
    </row>
    <row r="741" spans="1:15" x14ac:dyDescent="0.25">
      <c r="A741" s="10">
        <v>739</v>
      </c>
      <c r="B741" s="11">
        <v>10</v>
      </c>
      <c r="C741" s="11" t="s">
        <v>16</v>
      </c>
      <c r="D741" s="11">
        <v>1120613</v>
      </c>
      <c r="E741" s="11">
        <v>29025060</v>
      </c>
      <c r="F741" s="12" t="s">
        <v>2691</v>
      </c>
      <c r="G741" s="11" t="s">
        <v>2692</v>
      </c>
      <c r="H741" t="s">
        <v>2693</v>
      </c>
      <c r="I741" s="13">
        <v>43394337568</v>
      </c>
      <c r="J741" s="14">
        <v>11644</v>
      </c>
      <c r="K741" s="14">
        <v>11644</v>
      </c>
      <c r="L741" s="10" t="s">
        <v>21</v>
      </c>
      <c r="M741" s="14">
        <v>0</v>
      </c>
      <c r="N741" s="15">
        <v>0</v>
      </c>
      <c r="O741" t="str">
        <f>IFERROR(VLOOKUP($I741,CHOOSE({1,2},'[1]DIRETORES NTE'!$H$5:$H$31,'[1]DIRETORES NTE'!$E$5:$E$31,),2,0),"-")</f>
        <v>-</v>
      </c>
    </row>
    <row r="742" spans="1:15" x14ac:dyDescent="0.25">
      <c r="A742" s="10">
        <v>740</v>
      </c>
      <c r="B742" s="11">
        <v>14</v>
      </c>
      <c r="C742" s="11" t="s">
        <v>2694</v>
      </c>
      <c r="D742" s="11">
        <v>1178044</v>
      </c>
      <c r="E742" s="11">
        <v>29424038</v>
      </c>
      <c r="F742" s="12" t="s">
        <v>2695</v>
      </c>
      <c r="G742" s="11" t="s">
        <v>2696</v>
      </c>
      <c r="H742" t="s">
        <v>2697</v>
      </c>
      <c r="I742" s="13">
        <v>91604923504</v>
      </c>
      <c r="J742" s="14">
        <v>4698</v>
      </c>
      <c r="K742" s="14">
        <v>4698</v>
      </c>
      <c r="L742" s="10" t="s">
        <v>147</v>
      </c>
      <c r="M742" s="14">
        <v>0</v>
      </c>
      <c r="N742" s="15">
        <v>0</v>
      </c>
      <c r="O742" t="str">
        <f>IFERROR(VLOOKUP($I742,CHOOSE({1,2},'[1]DIRETORES NTE'!$H$5:$H$31,'[1]DIRETORES NTE'!$E$5:$E$31,),2,0),"-")</f>
        <v>-</v>
      </c>
    </row>
    <row r="743" spans="1:15" x14ac:dyDescent="0.25">
      <c r="A743" s="10">
        <v>741</v>
      </c>
      <c r="B743" s="11">
        <v>4</v>
      </c>
      <c r="C743" s="11" t="s">
        <v>2698</v>
      </c>
      <c r="D743" s="11">
        <v>1115547</v>
      </c>
      <c r="E743" s="11">
        <v>29136385</v>
      </c>
      <c r="F743" s="12" t="s">
        <v>2699</v>
      </c>
      <c r="G743" s="11" t="s">
        <v>2700</v>
      </c>
      <c r="H743" t="s">
        <v>2701</v>
      </c>
      <c r="I743" s="13" t="s">
        <v>2702</v>
      </c>
      <c r="J743" s="14">
        <v>6888</v>
      </c>
      <c r="K743" s="14">
        <v>6888</v>
      </c>
      <c r="L743" s="10" t="s">
        <v>58</v>
      </c>
      <c r="M743" s="14">
        <v>0</v>
      </c>
      <c r="N743" s="15">
        <v>0</v>
      </c>
      <c r="O743" t="str">
        <f>IFERROR(VLOOKUP($I743,CHOOSE({1,2},'[1]DIRETORES NTE'!$H$5:$H$31,'[1]DIRETORES NTE'!$E$5:$E$31,),2,0),"-")</f>
        <v>-</v>
      </c>
    </row>
    <row r="744" spans="1:15" x14ac:dyDescent="0.25">
      <c r="A744" s="10">
        <v>742</v>
      </c>
      <c r="B744" s="11">
        <v>26</v>
      </c>
      <c r="C744" s="11" t="s">
        <v>95</v>
      </c>
      <c r="D744" s="11">
        <v>1101988</v>
      </c>
      <c r="E744" s="11">
        <v>29190991</v>
      </c>
      <c r="F744" s="12" t="s">
        <v>2703</v>
      </c>
      <c r="G744" s="11" t="s">
        <v>2704</v>
      </c>
      <c r="H744" t="s">
        <v>2705</v>
      </c>
      <c r="I744" s="13" t="s">
        <v>2706</v>
      </c>
      <c r="J744" s="14">
        <v>5231</v>
      </c>
      <c r="K744" s="14">
        <v>5231</v>
      </c>
      <c r="L744" s="10" t="s">
        <v>99</v>
      </c>
      <c r="M744" s="14">
        <v>0</v>
      </c>
      <c r="N744" s="15">
        <v>0</v>
      </c>
      <c r="O744" t="str">
        <f>IFERROR(VLOOKUP($I744,CHOOSE({1,2},'[1]DIRETORES NTE'!$H$5:$H$31,'[1]DIRETORES NTE'!$E$5:$E$31,),2,0),"-")</f>
        <v>-</v>
      </c>
    </row>
    <row r="745" spans="1:15" x14ac:dyDescent="0.25">
      <c r="A745" s="10">
        <v>743</v>
      </c>
      <c r="B745" s="11">
        <v>26</v>
      </c>
      <c r="C745" s="11" t="s">
        <v>95</v>
      </c>
      <c r="D745" s="11">
        <v>1103387</v>
      </c>
      <c r="E745" s="11">
        <v>29181550</v>
      </c>
      <c r="F745" s="12" t="s">
        <v>1920</v>
      </c>
      <c r="G745" s="11" t="s">
        <v>2707</v>
      </c>
      <c r="H745" t="s">
        <v>2708</v>
      </c>
      <c r="I745" s="13">
        <v>91698502591</v>
      </c>
      <c r="J745" s="14">
        <v>10650</v>
      </c>
      <c r="K745" s="14">
        <v>10650</v>
      </c>
      <c r="L745" s="10" t="s">
        <v>99</v>
      </c>
      <c r="M745" s="14">
        <v>0</v>
      </c>
      <c r="N745" s="15">
        <v>0</v>
      </c>
      <c r="O745" t="str">
        <f>IFERROR(VLOOKUP($I745,CHOOSE({1,2},'[1]DIRETORES NTE'!$H$5:$H$31,'[1]DIRETORES NTE'!$E$5:$E$31,),2,0),"-")</f>
        <v>-</v>
      </c>
    </row>
    <row r="746" spans="1:15" x14ac:dyDescent="0.25">
      <c r="A746" s="10">
        <v>744</v>
      </c>
      <c r="B746" s="11">
        <v>21</v>
      </c>
      <c r="C746" s="11" t="s">
        <v>2353</v>
      </c>
      <c r="D746" s="11">
        <v>1178052</v>
      </c>
      <c r="E746" s="11">
        <v>29426383</v>
      </c>
      <c r="F746" s="12" t="s">
        <v>113</v>
      </c>
      <c r="G746" s="11" t="s">
        <v>2709</v>
      </c>
      <c r="H746" t="s">
        <v>2710</v>
      </c>
      <c r="I746" s="13">
        <v>82179026587</v>
      </c>
      <c r="J746" s="14">
        <v>6883</v>
      </c>
      <c r="K746" s="14">
        <v>6883</v>
      </c>
      <c r="L746" s="10" t="s">
        <v>63</v>
      </c>
      <c r="M746" s="14">
        <v>0</v>
      </c>
      <c r="N746" s="15">
        <v>0</v>
      </c>
      <c r="O746" t="str">
        <f>IFERROR(VLOOKUP($I746,CHOOSE({1,2},'[1]DIRETORES NTE'!$H$5:$H$31,'[1]DIRETORES NTE'!$E$5:$E$31,),2,0),"-")</f>
        <v>-</v>
      </c>
    </row>
    <row r="747" spans="1:15" x14ac:dyDescent="0.25">
      <c r="A747" s="10">
        <v>745</v>
      </c>
      <c r="B747" s="11">
        <v>13</v>
      </c>
      <c r="C747" s="11" t="s">
        <v>2711</v>
      </c>
      <c r="D747" s="11">
        <v>1176379</v>
      </c>
      <c r="E747" s="11">
        <v>29359805</v>
      </c>
      <c r="F747" s="12" t="s">
        <v>2712</v>
      </c>
      <c r="G747" s="11" t="s">
        <v>2713</v>
      </c>
      <c r="H747" t="s">
        <v>2714</v>
      </c>
      <c r="I747" s="13">
        <v>34021361553</v>
      </c>
      <c r="J747" s="14">
        <v>11474</v>
      </c>
      <c r="K747" s="14">
        <v>11471.6</v>
      </c>
      <c r="L747" s="10" t="s">
        <v>33</v>
      </c>
      <c r="M747" s="14">
        <v>2.3999999999996362</v>
      </c>
      <c r="N747" s="15">
        <v>2.0916855499386754E-4</v>
      </c>
      <c r="O747" t="str">
        <f>IFERROR(VLOOKUP($I747,CHOOSE({1,2},'[1]DIRETORES NTE'!$H$5:$H$31,'[1]DIRETORES NTE'!$E$5:$E$31,),2,0),"-")</f>
        <v>-</v>
      </c>
    </row>
    <row r="748" spans="1:15" x14ac:dyDescent="0.25">
      <c r="A748" s="10">
        <v>746</v>
      </c>
      <c r="B748" s="11">
        <v>3</v>
      </c>
      <c r="C748" s="11" t="s">
        <v>2715</v>
      </c>
      <c r="D748" s="11">
        <v>1168110</v>
      </c>
      <c r="E748" s="11">
        <v>29211590</v>
      </c>
      <c r="F748" s="12" t="s">
        <v>2716</v>
      </c>
      <c r="G748" s="11" t="s">
        <v>2717</v>
      </c>
      <c r="H748" t="s">
        <v>2718</v>
      </c>
      <c r="I748" s="13">
        <v>58121145520</v>
      </c>
      <c r="J748" s="14">
        <v>6010</v>
      </c>
      <c r="K748" s="14">
        <v>6010</v>
      </c>
      <c r="L748" s="10" t="s">
        <v>117</v>
      </c>
      <c r="M748" s="14">
        <v>0</v>
      </c>
      <c r="N748" s="15">
        <v>0</v>
      </c>
      <c r="O748" t="str">
        <f>IFERROR(VLOOKUP($I748,CHOOSE({1,2},'[1]DIRETORES NTE'!$H$5:$H$31,'[1]DIRETORES NTE'!$E$5:$E$31,),2,0),"-")</f>
        <v>-</v>
      </c>
    </row>
    <row r="749" spans="1:15" x14ac:dyDescent="0.25">
      <c r="A749" s="10">
        <v>747</v>
      </c>
      <c r="B749" s="11">
        <v>26</v>
      </c>
      <c r="C749" s="11" t="s">
        <v>95</v>
      </c>
      <c r="D749" s="11">
        <v>1104677</v>
      </c>
      <c r="E749" s="11">
        <v>29187010</v>
      </c>
      <c r="F749" s="12" t="s">
        <v>2719</v>
      </c>
      <c r="G749" s="11" t="s">
        <v>2720</v>
      </c>
      <c r="H749" t="s">
        <v>2721</v>
      </c>
      <c r="I749" s="13">
        <v>24288900506</v>
      </c>
      <c r="J749" s="14">
        <v>7764</v>
      </c>
      <c r="K749" s="14">
        <v>7764</v>
      </c>
      <c r="L749" s="10" t="s">
        <v>99</v>
      </c>
      <c r="M749" s="14">
        <v>0</v>
      </c>
      <c r="N749" s="15">
        <v>0</v>
      </c>
      <c r="O749" t="str">
        <f>IFERROR(VLOOKUP($I749,CHOOSE({1,2},'[1]DIRETORES NTE'!$H$5:$H$31,'[1]DIRETORES NTE'!$E$5:$E$31,),2,0),"-")</f>
        <v>-</v>
      </c>
    </row>
    <row r="750" spans="1:15" x14ac:dyDescent="0.25">
      <c r="A750" s="10">
        <v>748</v>
      </c>
      <c r="B750" s="11" t="s">
        <v>237</v>
      </c>
      <c r="C750" s="11" t="s">
        <v>237</v>
      </c>
      <c r="D750" s="11" t="s">
        <v>237</v>
      </c>
      <c r="E750" s="11" t="s">
        <v>237</v>
      </c>
      <c r="F750" s="12" t="s">
        <v>237</v>
      </c>
      <c r="G750" s="11" t="s">
        <v>237</v>
      </c>
      <c r="H750" t="s">
        <v>2722</v>
      </c>
      <c r="I750" s="13">
        <v>72530723591</v>
      </c>
      <c r="J750" s="14">
        <v>0</v>
      </c>
      <c r="K750" s="14">
        <v>0</v>
      </c>
      <c r="L750" s="10" t="s">
        <v>68</v>
      </c>
      <c r="M750" s="14">
        <v>0</v>
      </c>
      <c r="N750" s="15" t="e">
        <v>#DIV/0!</v>
      </c>
      <c r="O750" t="str">
        <f>IFERROR(VLOOKUP($I750,CHOOSE({1,2},'[1]DIRETORES NTE'!$H$5:$H$31,'[1]DIRETORES NTE'!$E$5:$E$31,),2,0),"-")</f>
        <v>MARLENE VIRGENS PIMENTEL AZEVEDO (DIRETOR DE NTE)</v>
      </c>
    </row>
    <row r="751" spans="1:15" x14ac:dyDescent="0.25">
      <c r="A751" s="10">
        <v>749</v>
      </c>
      <c r="B751" s="11">
        <v>25</v>
      </c>
      <c r="C751" s="11" t="s">
        <v>385</v>
      </c>
      <c r="D751" s="11">
        <v>1178104</v>
      </c>
      <c r="E751" s="11">
        <v>29433517</v>
      </c>
      <c r="F751" s="12" t="s">
        <v>649</v>
      </c>
      <c r="G751" s="11" t="s">
        <v>2723</v>
      </c>
      <c r="H751" t="s">
        <v>2724</v>
      </c>
      <c r="I751" s="13">
        <v>61903485568</v>
      </c>
      <c r="J751" s="14">
        <v>14915</v>
      </c>
      <c r="K751" s="14">
        <v>1326.6</v>
      </c>
      <c r="L751" s="10" t="s">
        <v>80</v>
      </c>
      <c r="M751" s="14">
        <v>13588.4</v>
      </c>
      <c r="N751" s="15">
        <v>0.91105598390881659</v>
      </c>
      <c r="O751" t="str">
        <f>IFERROR(VLOOKUP($I751,CHOOSE({1,2},'[1]DIRETORES NTE'!$H$5:$H$31,'[1]DIRETORES NTE'!$E$5:$E$31,),2,0),"-")</f>
        <v>-</v>
      </c>
    </row>
    <row r="752" spans="1:15" x14ac:dyDescent="0.25">
      <c r="A752" s="10">
        <v>750</v>
      </c>
      <c r="B752" s="11">
        <v>14</v>
      </c>
      <c r="C752" s="11" t="s">
        <v>497</v>
      </c>
      <c r="D752" s="11">
        <v>1164351</v>
      </c>
      <c r="E752" s="11">
        <v>29081440</v>
      </c>
      <c r="F752" s="12" t="s">
        <v>2725</v>
      </c>
      <c r="G752" s="11" t="s">
        <v>2726</v>
      </c>
      <c r="H752" t="s">
        <v>2727</v>
      </c>
      <c r="I752" s="13" t="s">
        <v>2728</v>
      </c>
      <c r="J752" s="14">
        <v>760</v>
      </c>
      <c r="K752" s="14">
        <v>760</v>
      </c>
      <c r="L752" s="10" t="s">
        <v>147</v>
      </c>
      <c r="M752" s="14">
        <v>0</v>
      </c>
      <c r="N752" s="15">
        <v>0</v>
      </c>
      <c r="O752" t="str">
        <f>IFERROR(VLOOKUP($I752,CHOOSE({1,2},'[1]DIRETORES NTE'!$H$5:$H$31,'[1]DIRETORES NTE'!$E$5:$E$31,),2,0),"-")</f>
        <v>-</v>
      </c>
    </row>
    <row r="753" spans="1:15" x14ac:dyDescent="0.25">
      <c r="A753" s="10">
        <v>751</v>
      </c>
      <c r="B753" s="11">
        <v>19</v>
      </c>
      <c r="C753" s="11" t="s">
        <v>331</v>
      </c>
      <c r="D753" s="11">
        <v>1105940</v>
      </c>
      <c r="E753" s="11">
        <v>29094194</v>
      </c>
      <c r="F753" s="12" t="s">
        <v>2729</v>
      </c>
      <c r="G753" s="11" t="s">
        <v>2730</v>
      </c>
      <c r="H753" t="s">
        <v>2731</v>
      </c>
      <c r="I753" s="13">
        <v>37214624591</v>
      </c>
      <c r="J753" s="14">
        <v>9805</v>
      </c>
      <c r="K753" s="14">
        <v>3809.32</v>
      </c>
      <c r="L753" s="10" t="s">
        <v>336</v>
      </c>
      <c r="M753" s="14">
        <v>5995.68</v>
      </c>
      <c r="N753" s="15">
        <v>0.61149209586945441</v>
      </c>
      <c r="O753" t="str">
        <f>IFERROR(VLOOKUP($I753,CHOOSE({1,2},'[1]DIRETORES NTE'!$H$5:$H$31,'[1]DIRETORES NTE'!$E$5:$E$31,),2,0),"-")</f>
        <v>-</v>
      </c>
    </row>
    <row r="754" spans="1:15" x14ac:dyDescent="0.25">
      <c r="A754" s="10">
        <v>752</v>
      </c>
      <c r="B754" s="11">
        <v>18</v>
      </c>
      <c r="C754" s="11" t="s">
        <v>2732</v>
      </c>
      <c r="D754" s="11">
        <v>1108656</v>
      </c>
      <c r="E754" s="11">
        <v>29155401</v>
      </c>
      <c r="F754" s="12" t="s">
        <v>2733</v>
      </c>
      <c r="G754" s="11" t="s">
        <v>2734</v>
      </c>
      <c r="H754" t="s">
        <v>2735</v>
      </c>
      <c r="I754" s="13" t="s">
        <v>2736</v>
      </c>
      <c r="J754" s="14">
        <v>11331</v>
      </c>
      <c r="K754" s="14">
        <v>11331</v>
      </c>
      <c r="L754" s="10" t="s">
        <v>68</v>
      </c>
      <c r="M754" s="14">
        <v>0</v>
      </c>
      <c r="N754" s="15">
        <v>0</v>
      </c>
      <c r="O754" t="str">
        <f>IFERROR(VLOOKUP($I754,CHOOSE({1,2},'[1]DIRETORES NTE'!$H$5:$H$31,'[1]DIRETORES NTE'!$E$5:$E$31,),2,0),"-")</f>
        <v>-</v>
      </c>
    </row>
    <row r="755" spans="1:15" x14ac:dyDescent="0.25">
      <c r="A755" s="10">
        <v>753</v>
      </c>
      <c r="B755" s="11">
        <v>2</v>
      </c>
      <c r="C755" s="11" t="s">
        <v>2737</v>
      </c>
      <c r="D755" s="11">
        <v>1178021</v>
      </c>
      <c r="E755" s="11">
        <v>29430259</v>
      </c>
      <c r="F755" s="12" t="s">
        <v>2738</v>
      </c>
      <c r="G755" s="11" t="s">
        <v>2739</v>
      </c>
      <c r="H755" t="s">
        <v>2740</v>
      </c>
      <c r="I755" s="13">
        <v>79866174549</v>
      </c>
      <c r="J755" s="14">
        <v>5394</v>
      </c>
      <c r="K755" s="14">
        <v>5394</v>
      </c>
      <c r="L755" s="10" t="s">
        <v>105</v>
      </c>
      <c r="M755" s="14">
        <v>0</v>
      </c>
      <c r="N755" s="15">
        <v>0</v>
      </c>
      <c r="O755" t="str">
        <f>IFERROR(VLOOKUP($I755,CHOOSE({1,2},'[1]DIRETORES NTE'!$H$5:$H$31,'[1]DIRETORES NTE'!$E$5:$E$31,),2,0),"-")</f>
        <v>-</v>
      </c>
    </row>
    <row r="756" spans="1:15" x14ac:dyDescent="0.25">
      <c r="A756" s="10">
        <v>754</v>
      </c>
      <c r="B756" s="11">
        <v>3</v>
      </c>
      <c r="C756" s="11" t="s">
        <v>2741</v>
      </c>
      <c r="D756" s="11">
        <v>1164149</v>
      </c>
      <c r="E756" s="11">
        <v>29216486</v>
      </c>
      <c r="F756" s="12" t="s">
        <v>2742</v>
      </c>
      <c r="G756" s="11" t="s">
        <v>2743</v>
      </c>
      <c r="H756" t="s">
        <v>2744</v>
      </c>
      <c r="I756" s="13">
        <v>98467964553</v>
      </c>
      <c r="J756" s="14">
        <v>5672</v>
      </c>
      <c r="K756" s="14">
        <v>5672</v>
      </c>
      <c r="L756" s="10" t="s">
        <v>117</v>
      </c>
      <c r="M756" s="14">
        <v>0</v>
      </c>
      <c r="N756" s="15">
        <v>0</v>
      </c>
      <c r="O756" t="str">
        <f>IFERROR(VLOOKUP($I756,CHOOSE({1,2},'[1]DIRETORES NTE'!$H$5:$H$31,'[1]DIRETORES NTE'!$E$5:$E$31,),2,0),"-")</f>
        <v>-</v>
      </c>
    </row>
    <row r="757" spans="1:15" x14ac:dyDescent="0.25">
      <c r="A757" s="10">
        <v>755</v>
      </c>
      <c r="B757" s="11">
        <v>22</v>
      </c>
      <c r="C757" s="11" t="s">
        <v>889</v>
      </c>
      <c r="D757" s="11">
        <v>1117663</v>
      </c>
      <c r="E757" s="11">
        <v>29229294</v>
      </c>
      <c r="F757" s="12" t="s">
        <v>2745</v>
      </c>
      <c r="G757" s="11" t="s">
        <v>2746</v>
      </c>
      <c r="H757" t="s">
        <v>2747</v>
      </c>
      <c r="I757" s="13" t="s">
        <v>2748</v>
      </c>
      <c r="J757" s="14">
        <v>12290</v>
      </c>
      <c r="K757" s="14">
        <v>12290</v>
      </c>
      <c r="L757" s="10" t="s">
        <v>200</v>
      </c>
      <c r="M757" s="14">
        <v>0</v>
      </c>
      <c r="N757" s="15">
        <v>0</v>
      </c>
      <c r="O757" t="str">
        <f>IFERROR(VLOOKUP($I757,CHOOSE({1,2},'[1]DIRETORES NTE'!$H$5:$H$31,'[1]DIRETORES NTE'!$E$5:$E$31,),2,0),"-")</f>
        <v>-</v>
      </c>
    </row>
    <row r="758" spans="1:15" x14ac:dyDescent="0.25">
      <c r="A758" s="10">
        <v>756</v>
      </c>
      <c r="B758" s="11">
        <v>17</v>
      </c>
      <c r="C758" s="11" t="s">
        <v>2749</v>
      </c>
      <c r="D758" s="11">
        <v>1178136</v>
      </c>
      <c r="E758" s="11">
        <v>29436931</v>
      </c>
      <c r="F758" s="12" t="s">
        <v>2750</v>
      </c>
      <c r="G758" s="11" t="s">
        <v>2751</v>
      </c>
      <c r="H758" t="s">
        <v>2752</v>
      </c>
      <c r="I758" s="13">
        <v>49374842572</v>
      </c>
      <c r="J758" s="14">
        <v>33343</v>
      </c>
      <c r="K758" s="14">
        <v>33343</v>
      </c>
      <c r="L758" s="10" t="s">
        <v>455</v>
      </c>
      <c r="M758" s="14">
        <v>0</v>
      </c>
      <c r="N758" s="15">
        <v>0</v>
      </c>
      <c r="O758" t="str">
        <f>IFERROR(VLOOKUP($I758,CHOOSE({1,2},'[1]DIRETORES NTE'!$H$5:$H$31,'[1]DIRETORES NTE'!$E$5:$E$31,),2,0),"-")</f>
        <v>-</v>
      </c>
    </row>
    <row r="759" spans="1:15" x14ac:dyDescent="0.25">
      <c r="A759" s="10">
        <v>757</v>
      </c>
      <c r="B759" s="11">
        <v>19</v>
      </c>
      <c r="C759" s="11" t="s">
        <v>331</v>
      </c>
      <c r="D759" s="11">
        <v>1106556</v>
      </c>
      <c r="E759" s="11">
        <v>29094798</v>
      </c>
      <c r="F759" s="12" t="s">
        <v>992</v>
      </c>
      <c r="G759" s="11" t="s">
        <v>2753</v>
      </c>
      <c r="H759" t="s">
        <v>2754</v>
      </c>
      <c r="I759" s="13" t="s">
        <v>2755</v>
      </c>
      <c r="J759" s="14">
        <v>6042</v>
      </c>
      <c r="K759" s="14">
        <v>1749.02</v>
      </c>
      <c r="L759" s="10" t="s">
        <v>336</v>
      </c>
      <c r="M759" s="14">
        <v>4292.9799999999996</v>
      </c>
      <c r="N759" s="15">
        <v>0.71052300562727566</v>
      </c>
      <c r="O759" t="str">
        <f>IFERROR(VLOOKUP($I759,CHOOSE({1,2},'[1]DIRETORES NTE'!$H$5:$H$31,'[1]DIRETORES NTE'!$E$5:$E$31,),2,0),"-")</f>
        <v>-</v>
      </c>
    </row>
    <row r="760" spans="1:15" x14ac:dyDescent="0.25">
      <c r="A760" s="10">
        <v>758</v>
      </c>
      <c r="B760" s="11">
        <v>25</v>
      </c>
      <c r="C760" s="11" t="s">
        <v>2756</v>
      </c>
      <c r="D760" s="11">
        <v>1164998</v>
      </c>
      <c r="E760" s="11">
        <v>29047501</v>
      </c>
      <c r="F760" s="12" t="s">
        <v>2757</v>
      </c>
      <c r="G760" s="11" t="s">
        <v>2758</v>
      </c>
      <c r="H760" t="s">
        <v>2759</v>
      </c>
      <c r="I760" s="13" t="s">
        <v>2760</v>
      </c>
      <c r="J760" s="14">
        <v>14549</v>
      </c>
      <c r="K760" s="14">
        <v>29.48</v>
      </c>
      <c r="L760" s="10" t="s">
        <v>80</v>
      </c>
      <c r="M760" s="14">
        <v>14519.52</v>
      </c>
      <c r="N760" s="15">
        <v>0.99797374389992444</v>
      </c>
      <c r="O760" t="str">
        <f>IFERROR(VLOOKUP($I760,CHOOSE({1,2},'[1]DIRETORES NTE'!$H$5:$H$31,'[1]DIRETORES NTE'!$E$5:$E$31,),2,0),"-")</f>
        <v>-</v>
      </c>
    </row>
    <row r="761" spans="1:15" x14ac:dyDescent="0.25">
      <c r="A761" s="10">
        <v>759</v>
      </c>
      <c r="B761" s="11">
        <v>3</v>
      </c>
      <c r="C761" s="11" t="s">
        <v>2761</v>
      </c>
      <c r="D761" s="11">
        <v>1132468</v>
      </c>
      <c r="E761" s="11">
        <v>29216818</v>
      </c>
      <c r="F761" s="12" t="s">
        <v>2762</v>
      </c>
      <c r="G761" s="11" t="s">
        <v>2763</v>
      </c>
      <c r="H761" t="s">
        <v>2764</v>
      </c>
      <c r="I761" s="13">
        <v>75297892520</v>
      </c>
      <c r="J761" s="14">
        <v>10838</v>
      </c>
      <c r="K761" s="14">
        <v>10838</v>
      </c>
      <c r="L761" s="10" t="s">
        <v>117</v>
      </c>
      <c r="M761" s="14">
        <v>0</v>
      </c>
      <c r="N761" s="15">
        <v>0</v>
      </c>
      <c r="O761" t="str">
        <f>IFERROR(VLOOKUP($I761,CHOOSE({1,2},'[1]DIRETORES NTE'!$H$5:$H$31,'[1]DIRETORES NTE'!$E$5:$E$31,),2,0),"-")</f>
        <v>-</v>
      </c>
    </row>
    <row r="762" spans="1:15" x14ac:dyDescent="0.25">
      <c r="A762" s="10">
        <v>760</v>
      </c>
      <c r="B762" s="11">
        <v>26</v>
      </c>
      <c r="C762" s="11" t="s">
        <v>95</v>
      </c>
      <c r="D762" s="11">
        <v>1104057</v>
      </c>
      <c r="E762" s="11">
        <v>29191068</v>
      </c>
      <c r="F762" s="12" t="s">
        <v>2765</v>
      </c>
      <c r="G762" s="11" t="s">
        <v>2766</v>
      </c>
      <c r="H762" t="s">
        <v>2767</v>
      </c>
      <c r="I762" s="13">
        <v>82459703520</v>
      </c>
      <c r="J762" s="14">
        <v>10839</v>
      </c>
      <c r="K762" s="14">
        <v>26.65</v>
      </c>
      <c r="L762" s="10" t="s">
        <v>99</v>
      </c>
      <c r="M762" s="14">
        <v>10812.35</v>
      </c>
      <c r="N762" s="15">
        <v>0.99754128609650339</v>
      </c>
      <c r="O762" t="str">
        <f>IFERROR(VLOOKUP($I762,CHOOSE({1,2},'[1]DIRETORES NTE'!$H$5:$H$31,'[1]DIRETORES NTE'!$E$5:$E$31,),2,0),"-")</f>
        <v>-</v>
      </c>
    </row>
    <row r="763" spans="1:15" x14ac:dyDescent="0.25">
      <c r="A763" s="10">
        <v>761</v>
      </c>
      <c r="B763" s="11">
        <v>21</v>
      </c>
      <c r="C763" s="11" t="s">
        <v>2353</v>
      </c>
      <c r="D763" s="11">
        <v>1178262</v>
      </c>
      <c r="E763" s="11">
        <v>29432537</v>
      </c>
      <c r="F763" s="12" t="s">
        <v>2768</v>
      </c>
      <c r="G763" s="11" t="s">
        <v>2769</v>
      </c>
      <c r="H763" t="s">
        <v>2770</v>
      </c>
      <c r="I763" s="13">
        <v>68309996500</v>
      </c>
      <c r="J763" s="14">
        <v>2121</v>
      </c>
      <c r="K763" s="14">
        <v>2121</v>
      </c>
      <c r="L763" s="10" t="s">
        <v>63</v>
      </c>
      <c r="M763" s="14">
        <v>0</v>
      </c>
      <c r="N763" s="15">
        <v>0</v>
      </c>
      <c r="O763" t="str">
        <f>IFERROR(VLOOKUP($I763,CHOOSE({1,2},'[1]DIRETORES NTE'!$H$5:$H$31,'[1]DIRETORES NTE'!$E$5:$E$31,),2,0),"-")</f>
        <v>-</v>
      </c>
    </row>
    <row r="764" spans="1:15" x14ac:dyDescent="0.25">
      <c r="A764" s="10">
        <v>762</v>
      </c>
      <c r="B764" s="11">
        <v>26</v>
      </c>
      <c r="C764" s="11" t="s">
        <v>95</v>
      </c>
      <c r="D764" s="11">
        <v>1104413</v>
      </c>
      <c r="E764" s="11">
        <v>29192790</v>
      </c>
      <c r="F764" s="12" t="s">
        <v>2771</v>
      </c>
      <c r="G764" s="11" t="s">
        <v>2772</v>
      </c>
      <c r="H764" t="s">
        <v>2773</v>
      </c>
      <c r="I764" s="13">
        <v>72605650553</v>
      </c>
      <c r="J764" s="14">
        <v>9022</v>
      </c>
      <c r="K764" s="14">
        <v>9022</v>
      </c>
      <c r="L764" s="10" t="s">
        <v>99</v>
      </c>
      <c r="M764" s="14">
        <v>0</v>
      </c>
      <c r="N764" s="15">
        <v>0</v>
      </c>
      <c r="O764" t="str">
        <f>IFERROR(VLOOKUP($I764,CHOOSE({1,2},'[1]DIRETORES NTE'!$H$5:$H$31,'[1]DIRETORES NTE'!$E$5:$E$31,),2,0),"-")</f>
        <v>-</v>
      </c>
    </row>
    <row r="765" spans="1:15" x14ac:dyDescent="0.25">
      <c r="A765" s="10">
        <v>763</v>
      </c>
      <c r="B765" s="11">
        <v>15</v>
      </c>
      <c r="C765" s="11" t="s">
        <v>2774</v>
      </c>
      <c r="D765" s="11">
        <v>1106840</v>
      </c>
      <c r="E765" s="11">
        <v>29141044</v>
      </c>
      <c r="F765" s="12" t="s">
        <v>2775</v>
      </c>
      <c r="G765" s="11" t="s">
        <v>2776</v>
      </c>
      <c r="H765" t="s">
        <v>2777</v>
      </c>
      <c r="I765" s="13">
        <v>96749598587</v>
      </c>
      <c r="J765" s="14">
        <v>16266</v>
      </c>
      <c r="K765" s="14">
        <v>16266</v>
      </c>
      <c r="L765" s="10" t="s">
        <v>280</v>
      </c>
      <c r="M765" s="14">
        <v>0</v>
      </c>
      <c r="N765" s="15">
        <v>0</v>
      </c>
      <c r="O765" t="str">
        <f>IFERROR(VLOOKUP($I765,CHOOSE({1,2},'[1]DIRETORES NTE'!$H$5:$H$31,'[1]DIRETORES NTE'!$E$5:$E$31,),2,0),"-")</f>
        <v>-</v>
      </c>
    </row>
    <row r="766" spans="1:15" x14ac:dyDescent="0.25">
      <c r="A766" s="10">
        <v>764</v>
      </c>
      <c r="B766" s="11">
        <v>8</v>
      </c>
      <c r="C766" s="11" t="s">
        <v>2778</v>
      </c>
      <c r="D766" s="11">
        <v>1118449</v>
      </c>
      <c r="E766" s="11">
        <v>29270545</v>
      </c>
      <c r="F766" s="12" t="s">
        <v>2779</v>
      </c>
      <c r="G766" s="11" t="s">
        <v>2780</v>
      </c>
      <c r="H766" t="s">
        <v>2781</v>
      </c>
      <c r="I766" s="13" t="s">
        <v>2782</v>
      </c>
      <c r="J766" s="14">
        <v>2828</v>
      </c>
      <c r="K766" s="14">
        <v>2828</v>
      </c>
      <c r="L766" s="10" t="s">
        <v>285</v>
      </c>
      <c r="M766" s="14">
        <v>0</v>
      </c>
      <c r="N766" s="15">
        <v>0</v>
      </c>
      <c r="O766" t="str">
        <f>IFERROR(VLOOKUP($I766,CHOOSE({1,2},'[1]DIRETORES NTE'!$H$5:$H$31,'[1]DIRETORES NTE'!$E$5:$E$31,),2,0),"-")</f>
        <v>-</v>
      </c>
    </row>
    <row r="767" spans="1:15" x14ac:dyDescent="0.25">
      <c r="A767" s="10">
        <v>765</v>
      </c>
      <c r="B767" s="11">
        <v>20</v>
      </c>
      <c r="C767" s="11" t="s">
        <v>50</v>
      </c>
      <c r="D767" s="11">
        <v>1125640</v>
      </c>
      <c r="E767" s="11">
        <v>29277787</v>
      </c>
      <c r="F767" s="12" t="s">
        <v>2783</v>
      </c>
      <c r="G767" s="11" t="s">
        <v>2784</v>
      </c>
      <c r="H767" t="s">
        <v>2785</v>
      </c>
      <c r="I767" s="13" t="s">
        <v>2786</v>
      </c>
      <c r="J767" s="14">
        <v>11235</v>
      </c>
      <c r="K767" s="14">
        <v>11235</v>
      </c>
      <c r="L767" s="10" t="s">
        <v>27</v>
      </c>
      <c r="M767" s="14">
        <v>0</v>
      </c>
      <c r="N767" s="15">
        <v>0</v>
      </c>
      <c r="O767" t="str">
        <f>IFERROR(VLOOKUP($I767,CHOOSE({1,2},'[1]DIRETORES NTE'!$H$5:$H$31,'[1]DIRETORES NTE'!$E$5:$E$31,),2,0),"-")</f>
        <v>-</v>
      </c>
    </row>
    <row r="768" spans="1:15" x14ac:dyDescent="0.25">
      <c r="A768" s="10">
        <v>766</v>
      </c>
      <c r="B768" s="11">
        <v>3</v>
      </c>
      <c r="C768" s="11" t="s">
        <v>128</v>
      </c>
      <c r="D768" s="11">
        <v>1133138</v>
      </c>
      <c r="E768" s="11">
        <v>29220076</v>
      </c>
      <c r="F768" s="12" t="s">
        <v>2787</v>
      </c>
      <c r="G768" s="11" t="s">
        <v>2788</v>
      </c>
      <c r="H768" t="s">
        <v>2789</v>
      </c>
      <c r="I768" s="13" t="s">
        <v>2790</v>
      </c>
      <c r="J768" s="14">
        <v>21210</v>
      </c>
      <c r="K768" s="14">
        <v>8928.57</v>
      </c>
      <c r="L768" s="10" t="s">
        <v>117</v>
      </c>
      <c r="M768" s="14">
        <v>12281.43</v>
      </c>
      <c r="N768" s="15">
        <v>0.579039603960396</v>
      </c>
      <c r="O768" t="str">
        <f>IFERROR(VLOOKUP($I768,CHOOSE({1,2},'[1]DIRETORES NTE'!$H$5:$H$31,'[1]DIRETORES NTE'!$E$5:$E$31,),2,0),"-")</f>
        <v>-</v>
      </c>
    </row>
    <row r="769" spans="1:15" x14ac:dyDescent="0.25">
      <c r="A769" s="10">
        <v>767</v>
      </c>
      <c r="B769" s="11">
        <v>5</v>
      </c>
      <c r="C769" s="11" t="s">
        <v>40</v>
      </c>
      <c r="D769" s="11">
        <v>1176424</v>
      </c>
      <c r="E769" s="11">
        <v>29386284</v>
      </c>
      <c r="F769" s="12" t="s">
        <v>2791</v>
      </c>
      <c r="G769" s="11" t="s">
        <v>2792</v>
      </c>
      <c r="H769" t="s">
        <v>2793</v>
      </c>
      <c r="I769" s="13" t="s">
        <v>2794</v>
      </c>
      <c r="J769" s="14">
        <v>5256</v>
      </c>
      <c r="K769" s="14">
        <v>5256</v>
      </c>
      <c r="L769" s="10" t="s">
        <v>44</v>
      </c>
      <c r="M769" s="14">
        <v>0</v>
      </c>
      <c r="N769" s="15">
        <v>0</v>
      </c>
      <c r="O769" t="str">
        <f>IFERROR(VLOOKUP($I769,CHOOSE({1,2},'[1]DIRETORES NTE'!$H$5:$H$31,'[1]DIRETORES NTE'!$E$5:$E$31,),2,0),"-")</f>
        <v>-</v>
      </c>
    </row>
    <row r="770" spans="1:15" x14ac:dyDescent="0.25">
      <c r="A770" s="10">
        <v>768</v>
      </c>
      <c r="B770" s="11">
        <v>20</v>
      </c>
      <c r="C770" s="11" t="s">
        <v>2795</v>
      </c>
      <c r="D770" s="11">
        <v>1165706</v>
      </c>
      <c r="E770" s="11">
        <v>29269806</v>
      </c>
      <c r="F770" s="12" t="s">
        <v>2796</v>
      </c>
      <c r="G770" s="11" t="s">
        <v>2797</v>
      </c>
      <c r="H770" t="s">
        <v>2798</v>
      </c>
      <c r="I770" s="13">
        <v>50212850504</v>
      </c>
      <c r="J770" s="14">
        <v>10341</v>
      </c>
      <c r="K770" s="14">
        <v>10341</v>
      </c>
      <c r="L770" s="10" t="s">
        <v>27</v>
      </c>
      <c r="M770" s="14">
        <v>0</v>
      </c>
      <c r="N770" s="15">
        <v>0</v>
      </c>
      <c r="O770" t="str">
        <f>IFERROR(VLOOKUP($I770,CHOOSE({1,2},'[1]DIRETORES NTE'!$H$5:$H$31,'[1]DIRETORES NTE'!$E$5:$E$31,),2,0),"-")</f>
        <v>-</v>
      </c>
    </row>
    <row r="771" spans="1:15" x14ac:dyDescent="0.25">
      <c r="A771" s="10">
        <v>769</v>
      </c>
      <c r="B771" s="11">
        <v>21</v>
      </c>
      <c r="C771" s="11" t="s">
        <v>2799</v>
      </c>
      <c r="D771" s="11">
        <v>1178143</v>
      </c>
      <c r="E771" s="11">
        <v>29441641</v>
      </c>
      <c r="F771" s="12" t="s">
        <v>2800</v>
      </c>
      <c r="G771" s="11" t="s">
        <v>2801</v>
      </c>
      <c r="H771" t="s">
        <v>2802</v>
      </c>
      <c r="I771" s="13">
        <v>49208497534</v>
      </c>
      <c r="J771" s="14">
        <v>5255</v>
      </c>
      <c r="K771" s="14">
        <v>5255</v>
      </c>
      <c r="L771" s="10" t="s">
        <v>63</v>
      </c>
      <c r="M771" s="14">
        <v>0</v>
      </c>
      <c r="N771" s="15">
        <v>0</v>
      </c>
      <c r="O771" t="str">
        <f>IFERROR(VLOOKUP($I771,CHOOSE({1,2},'[1]DIRETORES NTE'!$H$5:$H$31,'[1]DIRETORES NTE'!$E$5:$E$31,),2,0),"-")</f>
        <v>-</v>
      </c>
    </row>
    <row r="772" spans="1:15" x14ac:dyDescent="0.25">
      <c r="A772" s="10">
        <v>770</v>
      </c>
      <c r="B772" s="11">
        <v>9</v>
      </c>
      <c r="C772" s="11" t="s">
        <v>2803</v>
      </c>
      <c r="D772" s="11">
        <v>1166796</v>
      </c>
      <c r="E772" s="11">
        <v>29231868</v>
      </c>
      <c r="F772" s="12" t="s">
        <v>2804</v>
      </c>
      <c r="G772" s="11" t="s">
        <v>2805</v>
      </c>
      <c r="H772" t="s">
        <v>2806</v>
      </c>
      <c r="I772" s="13">
        <v>88531210500</v>
      </c>
      <c r="J772" s="14">
        <v>3554</v>
      </c>
      <c r="K772" s="14">
        <v>3554</v>
      </c>
      <c r="L772" s="10" t="s">
        <v>167</v>
      </c>
      <c r="M772" s="14">
        <v>0</v>
      </c>
      <c r="N772" s="15">
        <v>0</v>
      </c>
      <c r="O772" t="str">
        <f>IFERROR(VLOOKUP($I772,CHOOSE({1,2},'[1]DIRETORES NTE'!$H$5:$H$31,'[1]DIRETORES NTE'!$E$5:$E$31,),2,0),"-")</f>
        <v>-</v>
      </c>
    </row>
    <row r="773" spans="1:15" x14ac:dyDescent="0.25">
      <c r="A773" s="10">
        <v>771</v>
      </c>
      <c r="B773" s="11">
        <v>26</v>
      </c>
      <c r="C773" s="11" t="s">
        <v>95</v>
      </c>
      <c r="D773" s="11">
        <v>1101520</v>
      </c>
      <c r="E773" s="11">
        <v>29188270</v>
      </c>
      <c r="F773" s="12" t="s">
        <v>2807</v>
      </c>
      <c r="G773" s="11" t="s">
        <v>2808</v>
      </c>
      <c r="H773" t="s">
        <v>2809</v>
      </c>
      <c r="I773" s="13">
        <v>49279432591</v>
      </c>
      <c r="J773" s="14">
        <v>8949</v>
      </c>
      <c r="K773" s="14">
        <v>8949</v>
      </c>
      <c r="L773" s="10" t="s">
        <v>99</v>
      </c>
      <c r="M773" s="14">
        <v>0</v>
      </c>
      <c r="N773" s="15">
        <v>0</v>
      </c>
      <c r="O773" t="str">
        <f>IFERROR(VLOOKUP($I773,CHOOSE({1,2},'[1]DIRETORES NTE'!$H$5:$H$31,'[1]DIRETORES NTE'!$E$5:$E$31,),2,0),"-")</f>
        <v>-</v>
      </c>
    </row>
    <row r="774" spans="1:15" x14ac:dyDescent="0.25">
      <c r="A774" s="10">
        <v>772</v>
      </c>
      <c r="B774" s="11">
        <v>20</v>
      </c>
      <c r="C774" s="11" t="s">
        <v>2810</v>
      </c>
      <c r="D774" s="11">
        <v>1178113</v>
      </c>
      <c r="E774" s="11">
        <v>29434726</v>
      </c>
      <c r="F774" s="12" t="s">
        <v>2811</v>
      </c>
      <c r="G774" s="11" t="s">
        <v>2812</v>
      </c>
      <c r="H774" t="s">
        <v>2813</v>
      </c>
      <c r="I774" s="13" t="s">
        <v>2814</v>
      </c>
      <c r="J774" s="14">
        <v>9608</v>
      </c>
      <c r="K774" s="14">
        <v>3691.94</v>
      </c>
      <c r="L774" s="10" t="s">
        <v>27</v>
      </c>
      <c r="M774" s="14">
        <v>5916.0599999999995</v>
      </c>
      <c r="N774" s="15">
        <v>0.61574313072439624</v>
      </c>
      <c r="O774" t="str">
        <f>IFERROR(VLOOKUP($I774,CHOOSE({1,2},'[1]DIRETORES NTE'!$H$5:$H$31,'[1]DIRETORES NTE'!$E$5:$E$31,),2,0),"-")</f>
        <v>-</v>
      </c>
    </row>
    <row r="775" spans="1:15" x14ac:dyDescent="0.25">
      <c r="A775" s="10">
        <v>773</v>
      </c>
      <c r="B775" s="11">
        <v>16</v>
      </c>
      <c r="C775" s="11" t="s">
        <v>2815</v>
      </c>
      <c r="D775" s="11">
        <v>1122233</v>
      </c>
      <c r="E775" s="11">
        <v>29079004</v>
      </c>
      <c r="F775" s="12" t="s">
        <v>2729</v>
      </c>
      <c r="G775" s="11" t="s">
        <v>2816</v>
      </c>
      <c r="H775" t="s">
        <v>2817</v>
      </c>
      <c r="I775" s="13">
        <v>27160823591</v>
      </c>
      <c r="J775" s="14">
        <v>8338</v>
      </c>
      <c r="K775" s="14">
        <v>8338</v>
      </c>
      <c r="L775" s="10" t="s">
        <v>74</v>
      </c>
      <c r="M775" s="14">
        <v>0</v>
      </c>
      <c r="N775" s="15">
        <v>0</v>
      </c>
      <c r="O775" t="str">
        <f>IFERROR(VLOOKUP($I775,CHOOSE({1,2},'[1]DIRETORES NTE'!$H$5:$H$31,'[1]DIRETORES NTE'!$E$5:$E$31,),2,0),"-")</f>
        <v>-</v>
      </c>
    </row>
    <row r="776" spans="1:15" x14ac:dyDescent="0.25">
      <c r="A776" s="10">
        <v>774</v>
      </c>
      <c r="B776" s="11">
        <v>26</v>
      </c>
      <c r="C776" s="11" t="s">
        <v>95</v>
      </c>
      <c r="D776" s="11">
        <v>1178325</v>
      </c>
      <c r="E776" s="11">
        <v>29842727</v>
      </c>
      <c r="F776" s="12" t="s">
        <v>2818</v>
      </c>
      <c r="G776" s="11" t="s">
        <v>2819</v>
      </c>
      <c r="H776" t="s">
        <v>2820</v>
      </c>
      <c r="I776" s="13">
        <v>88725308572</v>
      </c>
      <c r="J776" s="14">
        <v>43838</v>
      </c>
      <c r="K776" s="14">
        <v>1.25</v>
      </c>
      <c r="L776" s="10" t="s">
        <v>99</v>
      </c>
      <c r="M776" s="14">
        <v>43836.75</v>
      </c>
      <c r="N776" s="15">
        <v>0.99997148592545282</v>
      </c>
      <c r="O776" t="str">
        <f>IFERROR(VLOOKUP($I776,CHOOSE({1,2},'[1]DIRETORES NTE'!$H$5:$H$31,'[1]DIRETORES NTE'!$E$5:$E$31,),2,0),"-")</f>
        <v>-</v>
      </c>
    </row>
    <row r="777" spans="1:15" x14ac:dyDescent="0.25">
      <c r="A777" s="10">
        <v>775</v>
      </c>
      <c r="B777" s="11" t="s">
        <v>237</v>
      </c>
      <c r="C777" s="11" t="s">
        <v>237</v>
      </c>
      <c r="D777" s="11" t="s">
        <v>237</v>
      </c>
      <c r="E777" s="11" t="s">
        <v>237</v>
      </c>
      <c r="F777" s="12" t="s">
        <v>237</v>
      </c>
      <c r="G777" s="11" t="s">
        <v>237</v>
      </c>
      <c r="H777" t="s">
        <v>2821</v>
      </c>
      <c r="I777" s="13" t="s">
        <v>2822</v>
      </c>
      <c r="J777" s="14">
        <v>0</v>
      </c>
      <c r="K777" s="14">
        <v>0</v>
      </c>
      <c r="L777" s="10" t="s">
        <v>373</v>
      </c>
      <c r="M777" s="14">
        <v>0</v>
      </c>
      <c r="N777" s="15" t="e">
        <v>#DIV/0!</v>
      </c>
      <c r="O777" t="str">
        <f>IFERROR(VLOOKUP($I777,CHOOSE({1,2},'[1]DIRETORES NTE'!$H$5:$H$31,'[1]DIRETORES NTE'!$E$5:$E$31,),2,0),"-")</f>
        <v>MONICA DA SILVA CARMO (DIRETOR DE NTE)</v>
      </c>
    </row>
    <row r="778" spans="1:15" x14ac:dyDescent="0.25">
      <c r="A778" s="10">
        <v>776</v>
      </c>
      <c r="B778" s="11">
        <v>7</v>
      </c>
      <c r="C778" s="11" t="s">
        <v>820</v>
      </c>
      <c r="D778" s="11">
        <v>1113803</v>
      </c>
      <c r="E778" s="11">
        <v>29328349</v>
      </c>
      <c r="F778" s="12" t="s">
        <v>2823</v>
      </c>
      <c r="G778" s="11" t="s">
        <v>2824</v>
      </c>
      <c r="H778" t="s">
        <v>2825</v>
      </c>
      <c r="I778" s="13">
        <v>90011465549</v>
      </c>
      <c r="J778" s="14">
        <v>16681</v>
      </c>
      <c r="K778" s="14">
        <v>16681</v>
      </c>
      <c r="L778" s="10" t="s">
        <v>153</v>
      </c>
      <c r="M778" s="14">
        <v>0</v>
      </c>
      <c r="N778" s="15">
        <v>0</v>
      </c>
      <c r="O778" t="str">
        <f>IFERROR(VLOOKUP($I778,CHOOSE({1,2},'[1]DIRETORES NTE'!$H$5:$H$31,'[1]DIRETORES NTE'!$E$5:$E$31,),2,0),"-")</f>
        <v>-</v>
      </c>
    </row>
    <row r="779" spans="1:15" x14ac:dyDescent="0.25">
      <c r="A779" s="10">
        <v>777</v>
      </c>
      <c r="B779" s="11">
        <v>7</v>
      </c>
      <c r="C779" s="11" t="s">
        <v>1333</v>
      </c>
      <c r="D779" s="11">
        <v>1136480</v>
      </c>
      <c r="E779" s="11">
        <v>29325803</v>
      </c>
      <c r="F779" s="12" t="s">
        <v>2826</v>
      </c>
      <c r="G779" s="11" t="s">
        <v>2827</v>
      </c>
      <c r="H779" t="s">
        <v>2828</v>
      </c>
      <c r="I779" s="13">
        <v>80513662715</v>
      </c>
      <c r="J779" s="14">
        <v>9668</v>
      </c>
      <c r="K779" s="14">
        <v>9668</v>
      </c>
      <c r="L779" s="10" t="s">
        <v>153</v>
      </c>
      <c r="M779" s="14">
        <v>0</v>
      </c>
      <c r="N779" s="15">
        <v>0</v>
      </c>
      <c r="O779" t="str">
        <f>IFERROR(VLOOKUP($I779,CHOOSE({1,2},'[1]DIRETORES NTE'!$H$5:$H$31,'[1]DIRETORES NTE'!$E$5:$E$31,),2,0),"-")</f>
        <v>-</v>
      </c>
    </row>
    <row r="780" spans="1:15" x14ac:dyDescent="0.25">
      <c r="A780" s="10">
        <v>778</v>
      </c>
      <c r="B780" s="11">
        <v>26</v>
      </c>
      <c r="C780" s="11" t="s">
        <v>712</v>
      </c>
      <c r="D780" s="11">
        <v>1176611</v>
      </c>
      <c r="E780" s="11">
        <v>29447348</v>
      </c>
      <c r="F780" s="12" t="s">
        <v>2829</v>
      </c>
      <c r="G780" s="11" t="s">
        <v>2830</v>
      </c>
      <c r="H780" t="s">
        <v>2831</v>
      </c>
      <c r="I780" s="13">
        <v>53064356534</v>
      </c>
      <c r="J780" s="14">
        <v>16553</v>
      </c>
      <c r="K780" s="14">
        <v>16553</v>
      </c>
      <c r="L780" s="10" t="s">
        <v>99</v>
      </c>
      <c r="M780" s="14">
        <v>0</v>
      </c>
      <c r="N780" s="15">
        <v>0</v>
      </c>
      <c r="O780" t="str">
        <f>IFERROR(VLOOKUP($I780,CHOOSE({1,2},'[1]DIRETORES NTE'!$H$5:$H$31,'[1]DIRETORES NTE'!$E$5:$E$31,),2,0),"-")</f>
        <v>-</v>
      </c>
    </row>
    <row r="781" spans="1:15" x14ac:dyDescent="0.25">
      <c r="A781" s="10">
        <v>779</v>
      </c>
      <c r="B781" s="11">
        <v>20</v>
      </c>
      <c r="C781" s="11" t="s">
        <v>50</v>
      </c>
      <c r="D781" s="11">
        <v>1179285</v>
      </c>
      <c r="E781" s="11">
        <v>29461472</v>
      </c>
      <c r="F781" s="12" t="s">
        <v>2832</v>
      </c>
      <c r="G781" s="11" t="s">
        <v>2833</v>
      </c>
      <c r="H781" t="s">
        <v>2834</v>
      </c>
      <c r="I781" s="13" t="s">
        <v>2835</v>
      </c>
      <c r="J781" s="14">
        <v>3130</v>
      </c>
      <c r="K781" s="14">
        <v>0.04</v>
      </c>
      <c r="L781" s="10" t="s">
        <v>27</v>
      </c>
      <c r="M781" s="14">
        <v>3129.96</v>
      </c>
      <c r="N781" s="15">
        <v>0.99998722044728439</v>
      </c>
      <c r="O781" t="str">
        <f>IFERROR(VLOOKUP($I781,CHOOSE({1,2},'[1]DIRETORES NTE'!$H$5:$H$31,'[1]DIRETORES NTE'!$E$5:$E$31,),2,0),"-")</f>
        <v>-</v>
      </c>
    </row>
    <row r="782" spans="1:15" x14ac:dyDescent="0.25">
      <c r="A782" s="10">
        <v>780</v>
      </c>
      <c r="B782" s="11">
        <v>12</v>
      </c>
      <c r="C782" s="11" t="s">
        <v>86</v>
      </c>
      <c r="D782" s="11">
        <v>1179717</v>
      </c>
      <c r="E782" s="11">
        <v>29483395</v>
      </c>
      <c r="F782" s="12" t="s">
        <v>2836</v>
      </c>
      <c r="G782" s="11" t="s">
        <v>2837</v>
      </c>
      <c r="H782" t="s">
        <v>2838</v>
      </c>
      <c r="I782" s="13" t="s">
        <v>2839</v>
      </c>
      <c r="J782" s="14">
        <v>5689</v>
      </c>
      <c r="K782" s="14">
        <v>559.14</v>
      </c>
      <c r="L782" s="10" t="s">
        <v>90</v>
      </c>
      <c r="M782" s="14">
        <v>5129.8599999999997</v>
      </c>
      <c r="N782" s="15">
        <v>0.90171559149235359</v>
      </c>
      <c r="O782" t="str">
        <f>IFERROR(VLOOKUP($I782,CHOOSE({1,2},'[1]DIRETORES NTE'!$H$5:$H$31,'[1]DIRETORES NTE'!$E$5:$E$31,),2,0),"-")</f>
        <v>-</v>
      </c>
    </row>
    <row r="783" spans="1:15" x14ac:dyDescent="0.25">
      <c r="A783" s="10">
        <v>781</v>
      </c>
      <c r="B783" s="11">
        <v>26</v>
      </c>
      <c r="C783" s="11" t="s">
        <v>289</v>
      </c>
      <c r="D783" s="11">
        <v>1102470</v>
      </c>
      <c r="E783" s="11">
        <v>29178550</v>
      </c>
      <c r="F783" s="12" t="s">
        <v>2840</v>
      </c>
      <c r="G783" s="11" t="s">
        <v>2841</v>
      </c>
      <c r="H783" t="s">
        <v>2842</v>
      </c>
      <c r="I783" s="13" t="s">
        <v>2843</v>
      </c>
      <c r="J783" s="14">
        <v>23647</v>
      </c>
      <c r="K783" s="14">
        <v>23647</v>
      </c>
      <c r="L783" s="10" t="s">
        <v>99</v>
      </c>
      <c r="M783" s="14">
        <v>0</v>
      </c>
      <c r="N783" s="15">
        <v>0</v>
      </c>
      <c r="O783" t="str">
        <f>IFERROR(VLOOKUP($I783,CHOOSE({1,2},'[1]DIRETORES NTE'!$H$5:$H$31,'[1]DIRETORES NTE'!$E$5:$E$31,),2,0),"-")</f>
        <v>MURILO JOSE RIBEIRO CERQUEIRA (DIRETOR DE NTE)</v>
      </c>
    </row>
    <row r="784" spans="1:15" x14ac:dyDescent="0.25">
      <c r="A784" s="10">
        <v>782</v>
      </c>
      <c r="B784" s="11">
        <v>20</v>
      </c>
      <c r="C784" s="11" t="s">
        <v>2844</v>
      </c>
      <c r="D784" s="11">
        <v>1129181</v>
      </c>
      <c r="E784" s="11">
        <v>29250285</v>
      </c>
      <c r="F784" s="12" t="s">
        <v>2845</v>
      </c>
      <c r="G784" s="11" t="s">
        <v>2846</v>
      </c>
      <c r="H784" t="s">
        <v>2847</v>
      </c>
      <c r="I784" s="13" t="s">
        <v>2848</v>
      </c>
      <c r="J784" s="14">
        <v>13900</v>
      </c>
      <c r="K784" s="14">
        <v>13900</v>
      </c>
      <c r="L784" s="10" t="s">
        <v>27</v>
      </c>
      <c r="M784" s="14">
        <v>0</v>
      </c>
      <c r="N784" s="15">
        <v>0</v>
      </c>
      <c r="O784" t="str">
        <f>IFERROR(VLOOKUP($I784,CHOOSE({1,2},'[1]DIRETORES NTE'!$H$5:$H$31,'[1]DIRETORES NTE'!$E$5:$E$31,),2,0),"-")</f>
        <v>-</v>
      </c>
    </row>
    <row r="785" spans="1:15" x14ac:dyDescent="0.25">
      <c r="A785" s="10">
        <v>783</v>
      </c>
      <c r="B785" s="11">
        <v>26</v>
      </c>
      <c r="C785" s="11" t="s">
        <v>95</v>
      </c>
      <c r="D785" s="11">
        <v>1104898</v>
      </c>
      <c r="E785" s="11">
        <v>29192021</v>
      </c>
      <c r="F785" s="12" t="s">
        <v>2849</v>
      </c>
      <c r="G785" s="11" t="s">
        <v>2850</v>
      </c>
      <c r="H785" t="s">
        <v>2851</v>
      </c>
      <c r="I785" s="13">
        <v>54045886591</v>
      </c>
      <c r="J785" s="14">
        <v>8767</v>
      </c>
      <c r="K785" s="14">
        <v>915.8</v>
      </c>
      <c r="L785" s="10" t="s">
        <v>99</v>
      </c>
      <c r="M785" s="14">
        <v>7851.2</v>
      </c>
      <c r="N785" s="15">
        <v>0.89554009353256525</v>
      </c>
      <c r="O785" t="str">
        <f>IFERROR(VLOOKUP($I785,CHOOSE({1,2},'[1]DIRETORES NTE'!$H$5:$H$31,'[1]DIRETORES NTE'!$E$5:$E$31,),2,0),"-")</f>
        <v>-</v>
      </c>
    </row>
    <row r="786" spans="1:15" x14ac:dyDescent="0.25">
      <c r="A786" s="10">
        <v>784</v>
      </c>
      <c r="B786" s="11">
        <v>7</v>
      </c>
      <c r="C786" s="11" t="s">
        <v>1745</v>
      </c>
      <c r="D786" s="11">
        <v>1178272</v>
      </c>
      <c r="E786" s="11">
        <v>29903726</v>
      </c>
      <c r="F786" s="12" t="s">
        <v>2852</v>
      </c>
      <c r="G786" s="11" t="s">
        <v>2853</v>
      </c>
      <c r="H786" t="s">
        <v>2854</v>
      </c>
      <c r="I786" s="13">
        <v>17189837515</v>
      </c>
      <c r="J786" s="14">
        <v>2682</v>
      </c>
      <c r="K786" s="14">
        <v>2682</v>
      </c>
      <c r="L786" s="10" t="s">
        <v>153</v>
      </c>
      <c r="M786" s="14">
        <v>0</v>
      </c>
      <c r="N786" s="15">
        <v>0</v>
      </c>
      <c r="O786" t="str">
        <f>IFERROR(VLOOKUP($I786,CHOOSE({1,2},'[1]DIRETORES NTE'!$H$5:$H$31,'[1]DIRETORES NTE'!$E$5:$E$31,),2,0),"-")</f>
        <v>-</v>
      </c>
    </row>
    <row r="787" spans="1:15" x14ac:dyDescent="0.25">
      <c r="A787" s="10">
        <v>785</v>
      </c>
      <c r="B787" s="11">
        <v>27</v>
      </c>
      <c r="C787" s="11" t="s">
        <v>2855</v>
      </c>
      <c r="D787" s="11">
        <v>1178037</v>
      </c>
      <c r="E787" s="11">
        <v>29428092</v>
      </c>
      <c r="F787" s="12" t="s">
        <v>2856</v>
      </c>
      <c r="G787" s="11" t="s">
        <v>2857</v>
      </c>
      <c r="H787" t="s">
        <v>2858</v>
      </c>
      <c r="I787" s="13">
        <v>99956390500</v>
      </c>
      <c r="J787" s="14">
        <v>7424</v>
      </c>
      <c r="K787" s="14">
        <v>7424</v>
      </c>
      <c r="L787" s="10" t="s">
        <v>720</v>
      </c>
      <c r="M787" s="14">
        <v>0</v>
      </c>
      <c r="N787" s="15">
        <v>0</v>
      </c>
      <c r="O787" t="str">
        <f>IFERROR(VLOOKUP($I787,CHOOSE({1,2},'[1]DIRETORES NTE'!$H$5:$H$31,'[1]DIRETORES NTE'!$E$5:$E$31,),2,0),"-")</f>
        <v>-</v>
      </c>
    </row>
    <row r="788" spans="1:15" x14ac:dyDescent="0.25">
      <c r="A788" s="10">
        <v>786</v>
      </c>
      <c r="B788" s="11">
        <v>26</v>
      </c>
      <c r="C788" s="11" t="s">
        <v>229</v>
      </c>
      <c r="D788" s="11">
        <v>1178035</v>
      </c>
      <c r="E788" s="11">
        <v>29427959</v>
      </c>
      <c r="F788" s="12" t="s">
        <v>2859</v>
      </c>
      <c r="G788" s="11" t="s">
        <v>2860</v>
      </c>
      <c r="H788" t="s">
        <v>2861</v>
      </c>
      <c r="I788" s="13">
        <v>38575744534</v>
      </c>
      <c r="J788" s="14">
        <v>15452</v>
      </c>
      <c r="K788" s="14">
        <v>15452</v>
      </c>
      <c r="L788" s="10" t="s">
        <v>99</v>
      </c>
      <c r="M788" s="14">
        <v>0</v>
      </c>
      <c r="N788" s="15">
        <v>0</v>
      </c>
      <c r="O788" t="str">
        <f>IFERROR(VLOOKUP($I788,CHOOSE({1,2},'[1]DIRETORES NTE'!$H$5:$H$31,'[1]DIRETORES NTE'!$E$5:$E$31,),2,0),"-")</f>
        <v>-</v>
      </c>
    </row>
    <row r="789" spans="1:15" x14ac:dyDescent="0.25">
      <c r="A789" s="10">
        <v>787</v>
      </c>
      <c r="B789" s="11">
        <v>23</v>
      </c>
      <c r="C789" s="11" t="s">
        <v>2862</v>
      </c>
      <c r="D789" s="11">
        <v>1132158</v>
      </c>
      <c r="E789" s="11">
        <v>29015413</v>
      </c>
      <c r="F789" s="12" t="s">
        <v>2863</v>
      </c>
      <c r="G789" s="11" t="s">
        <v>2864</v>
      </c>
      <c r="H789" t="s">
        <v>2865</v>
      </c>
      <c r="I789" s="13" t="s">
        <v>2866</v>
      </c>
      <c r="J789" s="14">
        <v>21151</v>
      </c>
      <c r="K789" s="14">
        <v>21151</v>
      </c>
      <c r="L789" s="10" t="s">
        <v>373</v>
      </c>
      <c r="M789" s="14">
        <v>0</v>
      </c>
      <c r="N789" s="15">
        <v>0</v>
      </c>
      <c r="O789" t="str">
        <f>IFERROR(VLOOKUP($I789,CHOOSE({1,2},'[1]DIRETORES NTE'!$H$5:$H$31,'[1]DIRETORES NTE'!$E$5:$E$31,),2,0),"-")</f>
        <v>-</v>
      </c>
    </row>
    <row r="790" spans="1:15" x14ac:dyDescent="0.25">
      <c r="A790" s="10">
        <v>788</v>
      </c>
      <c r="B790" s="11">
        <v>1</v>
      </c>
      <c r="C790" s="11" t="s">
        <v>2867</v>
      </c>
      <c r="D790" s="11">
        <v>1178038</v>
      </c>
      <c r="E790" s="11">
        <v>29425328</v>
      </c>
      <c r="F790" s="12" t="s">
        <v>2868</v>
      </c>
      <c r="G790" s="11" t="s">
        <v>2869</v>
      </c>
      <c r="H790" t="s">
        <v>2870</v>
      </c>
      <c r="I790" s="13">
        <v>90074874187</v>
      </c>
      <c r="J790" s="14">
        <v>12038</v>
      </c>
      <c r="K790" s="14">
        <v>12038</v>
      </c>
      <c r="L790" s="10" t="s">
        <v>356</v>
      </c>
      <c r="M790" s="14">
        <v>0</v>
      </c>
      <c r="N790" s="15">
        <v>0</v>
      </c>
      <c r="O790" t="str">
        <f>IFERROR(VLOOKUP($I790,CHOOSE({1,2},'[1]DIRETORES NTE'!$H$5:$H$31,'[1]DIRETORES NTE'!$E$5:$E$31,),2,0),"-")</f>
        <v>-</v>
      </c>
    </row>
    <row r="791" spans="1:15" x14ac:dyDescent="0.25">
      <c r="A791" s="10">
        <v>789</v>
      </c>
      <c r="B791" s="11">
        <v>15</v>
      </c>
      <c r="C791" s="11" t="s">
        <v>2871</v>
      </c>
      <c r="D791" s="11">
        <v>1162243</v>
      </c>
      <c r="E791" s="11">
        <v>29069580</v>
      </c>
      <c r="F791" s="12" t="s">
        <v>2872</v>
      </c>
      <c r="G791" s="11" t="s">
        <v>2873</v>
      </c>
      <c r="H791" t="s">
        <v>2874</v>
      </c>
      <c r="I791" s="13" t="s">
        <v>2875</v>
      </c>
      <c r="J791" s="14">
        <v>26086</v>
      </c>
      <c r="K791" s="14">
        <v>26086</v>
      </c>
      <c r="L791" s="10" t="s">
        <v>280</v>
      </c>
      <c r="M791" s="14">
        <v>0</v>
      </c>
      <c r="N791" s="15">
        <v>0</v>
      </c>
      <c r="O791" t="str">
        <f>IFERROR(VLOOKUP($I791,CHOOSE({1,2},'[1]DIRETORES NTE'!$H$5:$H$31,'[1]DIRETORES NTE'!$E$5:$E$31,),2,0),"-")</f>
        <v>-</v>
      </c>
    </row>
    <row r="792" spans="1:15" x14ac:dyDescent="0.25">
      <c r="A792" s="10">
        <v>790</v>
      </c>
      <c r="B792" s="11">
        <v>20</v>
      </c>
      <c r="C792" s="11" t="s">
        <v>50</v>
      </c>
      <c r="D792" s="11">
        <v>1125305</v>
      </c>
      <c r="E792" s="11">
        <v>29279640</v>
      </c>
      <c r="F792" s="12" t="s">
        <v>2876</v>
      </c>
      <c r="G792" s="11" t="s">
        <v>2877</v>
      </c>
      <c r="H792" t="s">
        <v>2878</v>
      </c>
      <c r="I792" s="13">
        <v>91551234572</v>
      </c>
      <c r="J792" s="14">
        <v>47108</v>
      </c>
      <c r="K792" s="14">
        <v>47108</v>
      </c>
      <c r="L792" s="10" t="s">
        <v>27</v>
      </c>
      <c r="M792" s="14">
        <v>0</v>
      </c>
      <c r="N792" s="15">
        <v>0</v>
      </c>
      <c r="O792" t="str">
        <f>IFERROR(VLOOKUP($I792,CHOOSE({1,2},'[1]DIRETORES NTE'!$H$5:$H$31,'[1]DIRETORES NTE'!$E$5:$E$31,),2,0),"-")</f>
        <v>-</v>
      </c>
    </row>
    <row r="793" spans="1:15" x14ac:dyDescent="0.25">
      <c r="A793" s="10">
        <v>791</v>
      </c>
      <c r="B793" s="11" t="s">
        <v>237</v>
      </c>
      <c r="C793" s="11" t="s">
        <v>237</v>
      </c>
      <c r="D793" s="11" t="s">
        <v>237</v>
      </c>
      <c r="E793" s="11" t="s">
        <v>237</v>
      </c>
      <c r="F793" s="12" t="s">
        <v>237</v>
      </c>
      <c r="G793" s="11" t="s">
        <v>237</v>
      </c>
      <c r="H793" t="s">
        <v>2879</v>
      </c>
      <c r="I793" s="13">
        <v>49241877553</v>
      </c>
      <c r="J793" s="14">
        <v>0</v>
      </c>
      <c r="K793" s="14">
        <v>0</v>
      </c>
      <c r="L793" s="10" t="s">
        <v>74</v>
      </c>
      <c r="M793" s="14">
        <v>0</v>
      </c>
      <c r="N793" s="15" t="e">
        <v>#DIV/0!</v>
      </c>
      <c r="O793" t="str">
        <f>IFERROR(VLOOKUP($I793,CHOOSE({1,2},'[1]DIRETORES NTE'!$H$5:$H$31,'[1]DIRETORES NTE'!$E$5:$E$31,),2,0),"-")</f>
        <v>NAZARE DOS SANTOS COSTA ALVES (DIRETOR DE NTE)</v>
      </c>
    </row>
    <row r="794" spans="1:15" x14ac:dyDescent="0.25">
      <c r="A794" s="10">
        <v>792</v>
      </c>
      <c r="B794" s="11">
        <v>23</v>
      </c>
      <c r="C794" s="11" t="s">
        <v>2880</v>
      </c>
      <c r="D794" s="11">
        <v>1131674</v>
      </c>
      <c r="E794" s="11">
        <v>29011507</v>
      </c>
      <c r="F794" s="12" t="s">
        <v>2881</v>
      </c>
      <c r="G794" s="11" t="s">
        <v>2882</v>
      </c>
      <c r="H794" t="s">
        <v>2883</v>
      </c>
      <c r="I794" s="13">
        <v>49456776549</v>
      </c>
      <c r="J794" s="14">
        <v>5829</v>
      </c>
      <c r="K794" s="14">
        <v>5829</v>
      </c>
      <c r="L794" s="10" t="s">
        <v>373</v>
      </c>
      <c r="M794" s="14">
        <v>0</v>
      </c>
      <c r="N794" s="15">
        <v>0</v>
      </c>
      <c r="O794" t="str">
        <f>IFERROR(VLOOKUP($I794,CHOOSE({1,2},'[1]DIRETORES NTE'!$H$5:$H$31,'[1]DIRETORES NTE'!$E$5:$E$31,),2,0),"-")</f>
        <v>-</v>
      </c>
    </row>
    <row r="795" spans="1:15" x14ac:dyDescent="0.25">
      <c r="A795" s="10">
        <v>793</v>
      </c>
      <c r="B795" s="11">
        <v>26</v>
      </c>
      <c r="C795" s="11" t="s">
        <v>95</v>
      </c>
      <c r="D795" s="11">
        <v>1101074</v>
      </c>
      <c r="E795" s="11">
        <v>29190835</v>
      </c>
      <c r="F795" s="12" t="s">
        <v>2884</v>
      </c>
      <c r="G795" s="11" t="s">
        <v>2885</v>
      </c>
      <c r="H795" t="s">
        <v>2886</v>
      </c>
      <c r="I795" s="13">
        <v>39734625500</v>
      </c>
      <c r="J795" s="14">
        <v>9371</v>
      </c>
      <c r="K795" s="14">
        <v>0.2</v>
      </c>
      <c r="L795" s="10" t="s">
        <v>99</v>
      </c>
      <c r="M795" s="14">
        <v>9370.7999999999993</v>
      </c>
      <c r="N795" s="15">
        <v>0.99997865756055915</v>
      </c>
      <c r="O795" t="str">
        <f>IFERROR(VLOOKUP($I795,CHOOSE({1,2},'[1]DIRETORES NTE'!$H$5:$H$31,'[1]DIRETORES NTE'!$E$5:$E$31,),2,0),"-")</f>
        <v>-</v>
      </c>
    </row>
    <row r="796" spans="1:15" x14ac:dyDescent="0.25">
      <c r="A796" s="10">
        <v>794</v>
      </c>
      <c r="B796" s="11">
        <v>2</v>
      </c>
      <c r="C796" s="11" t="s">
        <v>381</v>
      </c>
      <c r="D796" s="11">
        <v>1179431</v>
      </c>
      <c r="E796" s="11">
        <v>29464374</v>
      </c>
      <c r="F796" s="12" t="s">
        <v>2887</v>
      </c>
      <c r="G796" s="11" t="s">
        <v>2888</v>
      </c>
      <c r="H796" t="s">
        <v>2889</v>
      </c>
      <c r="I796" s="13">
        <v>42426057572</v>
      </c>
      <c r="J796" s="14">
        <v>10671</v>
      </c>
      <c r="K796" s="14">
        <v>10671</v>
      </c>
      <c r="L796" s="10" t="s">
        <v>105</v>
      </c>
      <c r="M796" s="14">
        <v>0</v>
      </c>
      <c r="N796" s="15">
        <v>0</v>
      </c>
      <c r="O796" t="str">
        <f>IFERROR(VLOOKUP($I796,CHOOSE({1,2},'[1]DIRETORES NTE'!$H$5:$H$31,'[1]DIRETORES NTE'!$E$5:$E$31,),2,0),"-")</f>
        <v>-</v>
      </c>
    </row>
    <row r="797" spans="1:15" x14ac:dyDescent="0.25">
      <c r="A797" s="10">
        <v>795</v>
      </c>
      <c r="B797" s="11">
        <v>2</v>
      </c>
      <c r="C797" s="11" t="s">
        <v>1009</v>
      </c>
      <c r="D797" s="11">
        <v>1127456</v>
      </c>
      <c r="E797" s="11">
        <v>29205000</v>
      </c>
      <c r="F797" s="12" t="s">
        <v>2890</v>
      </c>
      <c r="G797" s="11" t="s">
        <v>2891</v>
      </c>
      <c r="H797" t="s">
        <v>2892</v>
      </c>
      <c r="I797" s="13">
        <v>61858293553</v>
      </c>
      <c r="J797" s="14">
        <v>4498</v>
      </c>
      <c r="K797" s="14">
        <v>4498</v>
      </c>
      <c r="L797" s="10" t="s">
        <v>105</v>
      </c>
      <c r="M797" s="14">
        <v>0</v>
      </c>
      <c r="N797" s="15">
        <v>0</v>
      </c>
      <c r="O797" t="str">
        <f>IFERROR(VLOOKUP($I797,CHOOSE({1,2},'[1]DIRETORES NTE'!$H$5:$H$31,'[1]DIRETORES NTE'!$E$5:$E$31,),2,0),"-")</f>
        <v>-</v>
      </c>
    </row>
    <row r="798" spans="1:15" x14ac:dyDescent="0.25">
      <c r="A798" s="10">
        <v>796</v>
      </c>
      <c r="B798" s="11">
        <v>27</v>
      </c>
      <c r="C798" s="11" t="s">
        <v>2893</v>
      </c>
      <c r="D798" s="11">
        <v>1112890</v>
      </c>
      <c r="E798" s="11">
        <v>29319358</v>
      </c>
      <c r="F798" s="12" t="s">
        <v>2894</v>
      </c>
      <c r="G798" s="11" t="s">
        <v>2895</v>
      </c>
      <c r="H798" t="s">
        <v>2896</v>
      </c>
      <c r="I798" s="13" t="s">
        <v>2897</v>
      </c>
      <c r="J798" s="14">
        <v>7125</v>
      </c>
      <c r="K798" s="14">
        <v>7125</v>
      </c>
      <c r="L798" s="10" t="s">
        <v>720</v>
      </c>
      <c r="M798" s="14">
        <v>0</v>
      </c>
      <c r="N798" s="15">
        <v>0</v>
      </c>
      <c r="O798" t="str">
        <f>IFERROR(VLOOKUP($I798,CHOOSE({1,2},'[1]DIRETORES NTE'!$H$5:$H$31,'[1]DIRETORES NTE'!$E$5:$E$31,),2,0),"-")</f>
        <v>-</v>
      </c>
    </row>
    <row r="799" spans="1:15" x14ac:dyDescent="0.25">
      <c r="A799" s="10">
        <v>797</v>
      </c>
      <c r="B799" s="11">
        <v>21</v>
      </c>
      <c r="C799" s="11" t="s">
        <v>2898</v>
      </c>
      <c r="D799" s="11">
        <v>1134509</v>
      </c>
      <c r="E799" s="11">
        <v>29173531</v>
      </c>
      <c r="F799" s="12" t="s">
        <v>2899</v>
      </c>
      <c r="G799" s="11" t="s">
        <v>2900</v>
      </c>
      <c r="H799" t="s">
        <v>2901</v>
      </c>
      <c r="I799" s="13">
        <v>97648906520</v>
      </c>
      <c r="J799" s="14">
        <v>11589</v>
      </c>
      <c r="K799" s="14">
        <v>0.6</v>
      </c>
      <c r="L799" s="10" t="s">
        <v>63</v>
      </c>
      <c r="M799" s="14">
        <v>11588.4</v>
      </c>
      <c r="N799" s="15">
        <v>0.99994822676676154</v>
      </c>
      <c r="O799" t="str">
        <f>IFERROR(VLOOKUP($I799,CHOOSE({1,2},'[1]DIRETORES NTE'!$H$5:$H$31,'[1]DIRETORES NTE'!$E$5:$E$31,),2,0),"-")</f>
        <v>-</v>
      </c>
    </row>
    <row r="800" spans="1:15" x14ac:dyDescent="0.25">
      <c r="A800" s="10">
        <v>798</v>
      </c>
      <c r="B800" s="11">
        <v>19</v>
      </c>
      <c r="C800" s="11" t="s">
        <v>331</v>
      </c>
      <c r="D800" s="11">
        <v>1176068</v>
      </c>
      <c r="E800" s="11">
        <v>29093473</v>
      </c>
      <c r="F800" s="12" t="s">
        <v>2902</v>
      </c>
      <c r="G800" s="11" t="s">
        <v>2903</v>
      </c>
      <c r="H800" t="s">
        <v>2904</v>
      </c>
      <c r="I800" s="13">
        <v>19032188534</v>
      </c>
      <c r="J800" s="14">
        <v>9453</v>
      </c>
      <c r="K800" s="14">
        <v>17.5</v>
      </c>
      <c r="L800" s="10" t="s">
        <v>336</v>
      </c>
      <c r="M800" s="14">
        <v>9435.5</v>
      </c>
      <c r="N800" s="15">
        <v>0.99814873585105257</v>
      </c>
      <c r="O800" t="str">
        <f>IFERROR(VLOOKUP($I800,CHOOSE({1,2},'[1]DIRETORES NTE'!$H$5:$H$31,'[1]DIRETORES NTE'!$E$5:$E$31,),2,0),"-")</f>
        <v>-</v>
      </c>
    </row>
    <row r="801" spans="1:15" x14ac:dyDescent="0.25">
      <c r="A801" s="10">
        <v>799</v>
      </c>
      <c r="B801" s="11">
        <v>4</v>
      </c>
      <c r="C801" s="11" t="s">
        <v>1417</v>
      </c>
      <c r="D801" s="11">
        <v>1178245</v>
      </c>
      <c r="E801" s="11">
        <v>29115604</v>
      </c>
      <c r="F801" s="12" t="s">
        <v>2905</v>
      </c>
      <c r="G801" s="11" t="s">
        <v>2906</v>
      </c>
      <c r="H801" t="s">
        <v>2907</v>
      </c>
      <c r="I801" s="13">
        <v>22417494515</v>
      </c>
      <c r="J801" s="14">
        <v>2730</v>
      </c>
      <c r="K801" s="14">
        <v>2730</v>
      </c>
      <c r="L801" s="10" t="s">
        <v>58</v>
      </c>
      <c r="M801" s="14">
        <v>0</v>
      </c>
      <c r="N801" s="15">
        <v>0</v>
      </c>
      <c r="O801" t="str">
        <f>IFERROR(VLOOKUP($I801,CHOOSE({1,2},'[1]DIRETORES NTE'!$H$5:$H$31,'[1]DIRETORES NTE'!$E$5:$E$31,),2,0),"-")</f>
        <v>-</v>
      </c>
    </row>
    <row r="802" spans="1:15" x14ac:dyDescent="0.25">
      <c r="A802" s="10">
        <v>800</v>
      </c>
      <c r="B802" s="11">
        <v>3</v>
      </c>
      <c r="C802" s="11" t="s">
        <v>2054</v>
      </c>
      <c r="D802" s="11">
        <v>1124481</v>
      </c>
      <c r="E802" s="11">
        <v>29216206</v>
      </c>
      <c r="F802" s="12" t="s">
        <v>2762</v>
      </c>
      <c r="G802" s="11" t="s">
        <v>2908</v>
      </c>
      <c r="H802" t="s">
        <v>2909</v>
      </c>
      <c r="I802" s="13" t="s">
        <v>2910</v>
      </c>
      <c r="J802" s="14">
        <v>4554</v>
      </c>
      <c r="K802" s="14">
        <v>4554</v>
      </c>
      <c r="L802" s="10" t="s">
        <v>117</v>
      </c>
      <c r="M802" s="14">
        <v>0</v>
      </c>
      <c r="N802" s="15">
        <v>0</v>
      </c>
      <c r="O802" t="str">
        <f>IFERROR(VLOOKUP($I802,CHOOSE({1,2},'[1]DIRETORES NTE'!$H$5:$H$31,'[1]DIRETORES NTE'!$E$5:$E$31,),2,0),"-")</f>
        <v>-</v>
      </c>
    </row>
    <row r="803" spans="1:15" x14ac:dyDescent="0.25">
      <c r="A803" s="10">
        <v>801</v>
      </c>
      <c r="B803" s="11">
        <v>19</v>
      </c>
      <c r="C803" s="11" t="s">
        <v>2911</v>
      </c>
      <c r="D803" s="11">
        <v>1107129</v>
      </c>
      <c r="E803" s="11">
        <v>29103290</v>
      </c>
      <c r="F803" s="12" t="s">
        <v>2912</v>
      </c>
      <c r="G803" s="11" t="s">
        <v>2913</v>
      </c>
      <c r="H803" t="s">
        <v>2914</v>
      </c>
      <c r="I803" s="13">
        <v>34050060582</v>
      </c>
      <c r="J803" s="14">
        <v>25773</v>
      </c>
      <c r="K803" s="14">
        <v>25773</v>
      </c>
      <c r="L803" s="10" t="s">
        <v>336</v>
      </c>
      <c r="M803" s="14">
        <v>0</v>
      </c>
      <c r="N803" s="15">
        <v>0</v>
      </c>
      <c r="O803" t="str">
        <f>IFERROR(VLOOKUP($I803,CHOOSE({1,2},'[1]DIRETORES NTE'!$H$5:$H$31,'[1]DIRETORES NTE'!$E$5:$E$31,),2,0),"-")</f>
        <v>-</v>
      </c>
    </row>
    <row r="804" spans="1:15" x14ac:dyDescent="0.25">
      <c r="A804" s="10">
        <v>802</v>
      </c>
      <c r="B804" s="11">
        <v>26</v>
      </c>
      <c r="C804" s="11" t="s">
        <v>95</v>
      </c>
      <c r="D804" s="11">
        <v>1101368</v>
      </c>
      <c r="E804" s="11">
        <v>29179394</v>
      </c>
      <c r="F804" s="12" t="s">
        <v>2915</v>
      </c>
      <c r="G804" s="11" t="s">
        <v>2916</v>
      </c>
      <c r="H804" t="s">
        <v>2917</v>
      </c>
      <c r="I804" s="13">
        <v>13268686591</v>
      </c>
      <c r="J804" s="14">
        <v>6464</v>
      </c>
      <c r="K804" s="14">
        <v>565.22</v>
      </c>
      <c r="L804" s="10" t="s">
        <v>99</v>
      </c>
      <c r="M804" s="14">
        <v>5898.78</v>
      </c>
      <c r="N804" s="15">
        <v>0.91255878712871286</v>
      </c>
      <c r="O804" t="str">
        <f>IFERROR(VLOOKUP($I804,CHOOSE({1,2},'[1]DIRETORES NTE'!$H$5:$H$31,'[1]DIRETORES NTE'!$E$5:$E$31,),2,0),"-")</f>
        <v>-</v>
      </c>
    </row>
    <row r="805" spans="1:15" x14ac:dyDescent="0.25">
      <c r="A805" s="10">
        <v>803</v>
      </c>
      <c r="B805" s="11">
        <v>25</v>
      </c>
      <c r="C805" s="11" t="s">
        <v>629</v>
      </c>
      <c r="D805" s="11">
        <v>1119828</v>
      </c>
      <c r="E805" s="11">
        <v>29050057</v>
      </c>
      <c r="F805" s="12" t="s">
        <v>2918</v>
      </c>
      <c r="G805" s="11" t="s">
        <v>2919</v>
      </c>
      <c r="H805" t="s">
        <v>2920</v>
      </c>
      <c r="I805" s="13" t="s">
        <v>2921</v>
      </c>
      <c r="J805" s="14">
        <v>0</v>
      </c>
      <c r="K805" s="14">
        <v>0</v>
      </c>
      <c r="L805" s="10" t="s">
        <v>80</v>
      </c>
      <c r="M805" s="14">
        <v>0</v>
      </c>
      <c r="N805" s="15" t="e">
        <v>#DIV/0!</v>
      </c>
      <c r="O805" t="str">
        <f>IFERROR(VLOOKUP($I805,CHOOSE({1,2},'[1]DIRETORES NTE'!$H$5:$H$31,'[1]DIRETORES NTE'!$E$5:$E$31,),2,0),"-")</f>
        <v>-</v>
      </c>
    </row>
    <row r="806" spans="1:15" x14ac:dyDescent="0.25">
      <c r="A806" s="10">
        <v>804</v>
      </c>
      <c r="B806" s="11">
        <v>25</v>
      </c>
      <c r="C806" s="11" t="s">
        <v>629</v>
      </c>
      <c r="D806" s="11">
        <v>1119828</v>
      </c>
      <c r="E806" s="11">
        <v>29050057</v>
      </c>
      <c r="F806" s="12" t="s">
        <v>2918</v>
      </c>
      <c r="G806" s="11" t="s">
        <v>2919</v>
      </c>
      <c r="H806" t="s">
        <v>2920</v>
      </c>
      <c r="I806" s="13" t="s">
        <v>2921</v>
      </c>
      <c r="J806" s="14">
        <v>27533</v>
      </c>
      <c r="K806" s="14">
        <v>27533</v>
      </c>
      <c r="L806" s="10" t="s">
        <v>80</v>
      </c>
      <c r="M806" s="14">
        <v>0</v>
      </c>
      <c r="N806" s="15">
        <v>0</v>
      </c>
      <c r="O806" t="str">
        <f>IFERROR(VLOOKUP($I806,CHOOSE({1,2},'[1]DIRETORES NTE'!$H$5:$H$31,'[1]DIRETORES NTE'!$E$5:$E$31,),2,0),"-")</f>
        <v>-</v>
      </c>
    </row>
    <row r="807" spans="1:15" x14ac:dyDescent="0.25">
      <c r="A807" s="10">
        <v>805</v>
      </c>
      <c r="B807" s="11">
        <v>6</v>
      </c>
      <c r="C807" s="11" t="s">
        <v>45</v>
      </c>
      <c r="D807" s="11">
        <v>1179284</v>
      </c>
      <c r="E807" s="11">
        <v>29460930</v>
      </c>
      <c r="F807" s="12" t="s">
        <v>2922</v>
      </c>
      <c r="G807" s="11" t="s">
        <v>2923</v>
      </c>
      <c r="H807" t="s">
        <v>2924</v>
      </c>
      <c r="I807" s="13" t="s">
        <v>2925</v>
      </c>
      <c r="J807" s="14">
        <v>6890</v>
      </c>
      <c r="K807" s="14">
        <v>3322.02</v>
      </c>
      <c r="L807" s="10" t="s">
        <v>49</v>
      </c>
      <c r="M807" s="14">
        <v>3567.98</v>
      </c>
      <c r="N807" s="15">
        <v>0.51784905660377356</v>
      </c>
      <c r="O807" t="str">
        <f>IFERROR(VLOOKUP($I807,CHOOSE({1,2},'[1]DIRETORES NTE'!$H$5:$H$31,'[1]DIRETORES NTE'!$E$5:$E$31,),2,0),"-")</f>
        <v>-</v>
      </c>
    </row>
    <row r="808" spans="1:15" x14ac:dyDescent="0.25">
      <c r="A808" s="10">
        <v>806</v>
      </c>
      <c r="B808" s="11">
        <v>16</v>
      </c>
      <c r="C808" s="11" t="s">
        <v>2926</v>
      </c>
      <c r="D808" s="11">
        <v>1176123</v>
      </c>
      <c r="E808" s="11">
        <v>29340330</v>
      </c>
      <c r="F808" s="12" t="s">
        <v>2927</v>
      </c>
      <c r="G808" s="11" t="s">
        <v>2928</v>
      </c>
      <c r="H808" t="s">
        <v>2929</v>
      </c>
      <c r="I808" s="13">
        <v>37181742515</v>
      </c>
      <c r="J808" s="14">
        <v>10439</v>
      </c>
      <c r="K808" s="14">
        <v>10439</v>
      </c>
      <c r="L808" s="10" t="s">
        <v>74</v>
      </c>
      <c r="M808" s="14">
        <v>0</v>
      </c>
      <c r="N808" s="15">
        <v>0</v>
      </c>
      <c r="O808" t="str">
        <f>IFERROR(VLOOKUP($I808,CHOOSE({1,2},'[1]DIRETORES NTE'!$H$5:$H$31,'[1]DIRETORES NTE'!$E$5:$E$31,),2,0),"-")</f>
        <v>-</v>
      </c>
    </row>
    <row r="809" spans="1:15" x14ac:dyDescent="0.25">
      <c r="A809" s="10">
        <v>807</v>
      </c>
      <c r="B809" s="11">
        <v>19</v>
      </c>
      <c r="C809" s="11" t="s">
        <v>2930</v>
      </c>
      <c r="D809" s="11">
        <v>1178202</v>
      </c>
      <c r="E809" s="11">
        <v>29443288</v>
      </c>
      <c r="F809" s="12" t="s">
        <v>2931</v>
      </c>
      <c r="G809" s="11" t="s">
        <v>2932</v>
      </c>
      <c r="H809" t="s">
        <v>2933</v>
      </c>
      <c r="I809" s="13">
        <v>29748208591</v>
      </c>
      <c r="J809" s="14">
        <v>3005</v>
      </c>
      <c r="K809" s="14">
        <v>3005</v>
      </c>
      <c r="L809" s="10" t="s">
        <v>336</v>
      </c>
      <c r="M809" s="14">
        <v>0</v>
      </c>
      <c r="N809" s="15">
        <v>0</v>
      </c>
      <c r="O809" t="str">
        <f>IFERROR(VLOOKUP($I809,CHOOSE({1,2},'[1]DIRETORES NTE'!$H$5:$H$31,'[1]DIRETORES NTE'!$E$5:$E$31,),2,0),"-")</f>
        <v>-</v>
      </c>
    </row>
    <row r="810" spans="1:15" x14ac:dyDescent="0.25">
      <c r="A810" s="10">
        <v>808</v>
      </c>
      <c r="B810" s="11">
        <v>18</v>
      </c>
      <c r="C810" s="11" t="s">
        <v>2934</v>
      </c>
      <c r="D810" s="11">
        <v>1179312</v>
      </c>
      <c r="E810" s="11">
        <v>29461464</v>
      </c>
      <c r="F810" s="12" t="s">
        <v>2935</v>
      </c>
      <c r="G810" s="11" t="s">
        <v>2936</v>
      </c>
      <c r="H810" t="s">
        <v>2937</v>
      </c>
      <c r="I810" s="13">
        <v>68530625587</v>
      </c>
      <c r="J810" s="14">
        <v>10200</v>
      </c>
      <c r="K810" s="14">
        <v>10200</v>
      </c>
      <c r="L810" s="10" t="s">
        <v>68</v>
      </c>
      <c r="M810" s="14">
        <v>0</v>
      </c>
      <c r="N810" s="15">
        <v>0</v>
      </c>
      <c r="O810" t="str">
        <f>IFERROR(VLOOKUP($I810,CHOOSE({1,2},'[1]DIRETORES NTE'!$H$5:$H$31,'[1]DIRETORES NTE'!$E$5:$E$31,),2,0),"-")</f>
        <v>-</v>
      </c>
    </row>
    <row r="811" spans="1:15" x14ac:dyDescent="0.25">
      <c r="A811" s="10">
        <v>809</v>
      </c>
      <c r="B811" s="11" t="s">
        <v>237</v>
      </c>
      <c r="C811" s="11" t="s">
        <v>237</v>
      </c>
      <c r="D811" s="11" t="s">
        <v>237</v>
      </c>
      <c r="E811" s="11" t="s">
        <v>237</v>
      </c>
      <c r="F811" s="12" t="s">
        <v>237</v>
      </c>
      <c r="G811" s="11" t="s">
        <v>237</v>
      </c>
      <c r="H811" t="s">
        <v>2938</v>
      </c>
      <c r="I811" s="13">
        <v>68835914515</v>
      </c>
      <c r="J811" s="14">
        <v>0</v>
      </c>
      <c r="K811" s="14">
        <v>0</v>
      </c>
      <c r="L811" s="10" t="s">
        <v>280</v>
      </c>
      <c r="M811" s="14">
        <v>0</v>
      </c>
      <c r="N811" s="15" t="e">
        <v>#DIV/0!</v>
      </c>
      <c r="O811" t="str">
        <f>IFERROR(VLOOKUP($I811,CHOOSE({1,2},'[1]DIRETORES NTE'!$H$5:$H$31,'[1]DIRETORES NTE'!$E$5:$E$31,),2,0),"-")</f>
        <v>NIVEA MARIA GOMES ARAUJO (DIRETOR DE NTE)</v>
      </c>
    </row>
    <row r="812" spans="1:15" x14ac:dyDescent="0.25">
      <c r="A812" s="10">
        <v>810</v>
      </c>
      <c r="B812" s="11">
        <v>26</v>
      </c>
      <c r="C812" s="11" t="s">
        <v>95</v>
      </c>
      <c r="D812" s="11">
        <v>1100388</v>
      </c>
      <c r="E812" s="11">
        <v>29189454</v>
      </c>
      <c r="F812" s="12" t="s">
        <v>2939</v>
      </c>
      <c r="G812" s="11" t="s">
        <v>2940</v>
      </c>
      <c r="H812" t="s">
        <v>2941</v>
      </c>
      <c r="I812" s="13">
        <v>53478843553</v>
      </c>
      <c r="J812" s="14">
        <v>7388</v>
      </c>
      <c r="K812" s="14">
        <v>7388</v>
      </c>
      <c r="L812" s="10" t="s">
        <v>99</v>
      </c>
      <c r="M812" s="14">
        <v>0</v>
      </c>
      <c r="N812" s="15">
        <v>0</v>
      </c>
      <c r="O812" t="str">
        <f>IFERROR(VLOOKUP($I812,CHOOSE({1,2},'[1]DIRETORES NTE'!$H$5:$H$31,'[1]DIRETORES NTE'!$E$5:$E$31,),2,0),"-")</f>
        <v>-</v>
      </c>
    </row>
    <row r="813" spans="1:15" x14ac:dyDescent="0.25">
      <c r="A813" s="10">
        <v>811</v>
      </c>
      <c r="B813" s="11">
        <v>24</v>
      </c>
      <c r="C813" s="11" t="s">
        <v>2942</v>
      </c>
      <c r="D813" s="11">
        <v>1114265</v>
      </c>
      <c r="E813" s="11">
        <v>29034280</v>
      </c>
      <c r="F813" s="12" t="s">
        <v>2943</v>
      </c>
      <c r="G813" s="11" t="s">
        <v>2944</v>
      </c>
      <c r="H813" t="s">
        <v>2945</v>
      </c>
      <c r="I813" s="13" t="s">
        <v>2946</v>
      </c>
      <c r="J813" s="14">
        <v>7089</v>
      </c>
      <c r="K813" s="14">
        <v>7089</v>
      </c>
      <c r="L813" s="10" t="s">
        <v>266</v>
      </c>
      <c r="M813" s="14">
        <v>0</v>
      </c>
      <c r="N813" s="15">
        <v>0</v>
      </c>
      <c r="O813" t="str">
        <f>IFERROR(VLOOKUP($I813,CHOOSE({1,2},'[1]DIRETORES NTE'!$H$5:$H$31,'[1]DIRETORES NTE'!$E$5:$E$31,),2,0),"-")</f>
        <v>-</v>
      </c>
    </row>
    <row r="814" spans="1:15" x14ac:dyDescent="0.25">
      <c r="A814" s="10">
        <v>812</v>
      </c>
      <c r="B814" s="11">
        <v>15</v>
      </c>
      <c r="C814" s="11" t="s">
        <v>462</v>
      </c>
      <c r="D814" s="11">
        <v>1176125</v>
      </c>
      <c r="E814" s="11">
        <v>29354943</v>
      </c>
      <c r="F814" s="12" t="s">
        <v>2947</v>
      </c>
      <c r="G814" s="11" t="s">
        <v>2948</v>
      </c>
      <c r="H814" t="s">
        <v>2949</v>
      </c>
      <c r="I814" s="13" t="s">
        <v>2950</v>
      </c>
      <c r="J814" s="14">
        <v>7624</v>
      </c>
      <c r="K814" s="14">
        <v>7624</v>
      </c>
      <c r="L814" s="10" t="s">
        <v>280</v>
      </c>
      <c r="M814" s="14">
        <v>0</v>
      </c>
      <c r="N814" s="15">
        <v>0</v>
      </c>
      <c r="O814" t="str">
        <f>IFERROR(VLOOKUP($I814,CHOOSE({1,2},'[1]DIRETORES NTE'!$H$5:$H$31,'[1]DIRETORES NTE'!$E$5:$E$31,),2,0),"-")</f>
        <v>-</v>
      </c>
    </row>
    <row r="815" spans="1:15" x14ac:dyDescent="0.25">
      <c r="A815" s="10">
        <v>813</v>
      </c>
      <c r="B815" s="11">
        <v>7</v>
      </c>
      <c r="C815" s="11" t="s">
        <v>201</v>
      </c>
      <c r="D815" s="11">
        <v>1179686</v>
      </c>
      <c r="E815" s="11">
        <v>29477220</v>
      </c>
      <c r="F815" s="12" t="s">
        <v>2951</v>
      </c>
      <c r="G815" s="11" t="s">
        <v>2952</v>
      </c>
      <c r="H815" t="s">
        <v>2953</v>
      </c>
      <c r="I815" s="13">
        <v>88689654534</v>
      </c>
      <c r="J815" s="14">
        <v>2620</v>
      </c>
      <c r="K815" s="14">
        <v>2620</v>
      </c>
      <c r="L815" s="10" t="s">
        <v>153</v>
      </c>
      <c r="M815" s="14">
        <v>0</v>
      </c>
      <c r="N815" s="15">
        <v>0</v>
      </c>
      <c r="O815" t="str">
        <f>IFERROR(VLOOKUP($I815,CHOOSE({1,2},'[1]DIRETORES NTE'!$H$5:$H$31,'[1]DIRETORES NTE'!$E$5:$E$31,),2,0),"-")</f>
        <v>-</v>
      </c>
    </row>
    <row r="816" spans="1:15" x14ac:dyDescent="0.25">
      <c r="A816" s="10">
        <v>814</v>
      </c>
      <c r="B816" s="11">
        <v>24</v>
      </c>
      <c r="C816" s="11" t="s">
        <v>603</v>
      </c>
      <c r="D816" s="11">
        <v>1176426</v>
      </c>
      <c r="E816" s="11">
        <v>29389976</v>
      </c>
      <c r="F816" s="12" t="s">
        <v>2954</v>
      </c>
      <c r="G816" s="11" t="s">
        <v>2955</v>
      </c>
      <c r="H816" t="s">
        <v>2956</v>
      </c>
      <c r="I816" s="13">
        <v>53585542549</v>
      </c>
      <c r="J816" s="14">
        <v>10256</v>
      </c>
      <c r="K816" s="14">
        <v>10256</v>
      </c>
      <c r="L816" s="10" t="s">
        <v>266</v>
      </c>
      <c r="M816" s="14">
        <v>0</v>
      </c>
      <c r="N816" s="15">
        <v>0</v>
      </c>
      <c r="O816" t="str">
        <f>IFERROR(VLOOKUP($I816,CHOOSE({1,2},'[1]DIRETORES NTE'!$H$5:$H$31,'[1]DIRETORES NTE'!$E$5:$E$31,),2,0),"-")</f>
        <v>-</v>
      </c>
    </row>
    <row r="817" spans="1:15" x14ac:dyDescent="0.25">
      <c r="A817" s="10">
        <v>815</v>
      </c>
      <c r="B817" s="11">
        <v>26</v>
      </c>
      <c r="C817" s="11" t="s">
        <v>95</v>
      </c>
      <c r="D817" s="11">
        <v>1104596</v>
      </c>
      <c r="E817" s="11">
        <v>29181534</v>
      </c>
      <c r="F817" s="12" t="s">
        <v>2957</v>
      </c>
      <c r="G817" s="11" t="s">
        <v>2958</v>
      </c>
      <c r="H817" t="s">
        <v>2959</v>
      </c>
      <c r="I817" s="13">
        <v>88945863591</v>
      </c>
      <c r="J817" s="14">
        <v>27664</v>
      </c>
      <c r="K817" s="14">
        <v>0</v>
      </c>
      <c r="L817" s="10" t="s">
        <v>99</v>
      </c>
      <c r="M817" s="14">
        <v>27664</v>
      </c>
      <c r="N817" s="15">
        <v>1</v>
      </c>
      <c r="O817" t="str">
        <f>IFERROR(VLOOKUP($I817,CHOOSE({1,2},'[1]DIRETORES NTE'!$H$5:$H$31,'[1]DIRETORES NTE'!$E$5:$E$31,),2,0),"-")</f>
        <v>-</v>
      </c>
    </row>
    <row r="818" spans="1:15" x14ac:dyDescent="0.25">
      <c r="A818" s="10">
        <v>816</v>
      </c>
      <c r="B818" s="11">
        <v>17</v>
      </c>
      <c r="C818" s="11" t="s">
        <v>1951</v>
      </c>
      <c r="D818" s="11">
        <v>1114680</v>
      </c>
      <c r="E818" s="11">
        <v>29117240</v>
      </c>
      <c r="F818" s="12" t="s">
        <v>2960</v>
      </c>
      <c r="G818" s="11" t="s">
        <v>2961</v>
      </c>
      <c r="H818" t="s">
        <v>2962</v>
      </c>
      <c r="I818" s="13">
        <v>68594097549</v>
      </c>
      <c r="J818" s="14">
        <v>12198</v>
      </c>
      <c r="K818" s="14">
        <v>12198</v>
      </c>
      <c r="L818" s="10" t="s">
        <v>455</v>
      </c>
      <c r="M818" s="14">
        <v>0</v>
      </c>
      <c r="N818" s="15">
        <v>0</v>
      </c>
      <c r="O818" t="str">
        <f>IFERROR(VLOOKUP($I818,CHOOSE({1,2},'[1]DIRETORES NTE'!$H$5:$H$31,'[1]DIRETORES NTE'!$E$5:$E$31,),2,0),"-")</f>
        <v>-</v>
      </c>
    </row>
    <row r="819" spans="1:15" x14ac:dyDescent="0.25">
      <c r="A819" s="10">
        <v>817</v>
      </c>
      <c r="B819" s="11">
        <v>1</v>
      </c>
      <c r="C819" s="11" t="s">
        <v>2142</v>
      </c>
      <c r="D819" s="11">
        <v>1163100</v>
      </c>
      <c r="E819" s="11">
        <v>29060214</v>
      </c>
      <c r="F819" s="12" t="s">
        <v>2963</v>
      </c>
      <c r="G819" s="11" t="s">
        <v>2964</v>
      </c>
      <c r="H819" t="s">
        <v>2965</v>
      </c>
      <c r="I819" s="13">
        <v>52095452534</v>
      </c>
      <c r="J819" s="14">
        <v>17622</v>
      </c>
      <c r="K819" s="14">
        <v>17622</v>
      </c>
      <c r="L819" s="10" t="s">
        <v>356</v>
      </c>
      <c r="M819" s="14">
        <v>0</v>
      </c>
      <c r="N819" s="15">
        <v>0</v>
      </c>
      <c r="O819" t="str">
        <f>IFERROR(VLOOKUP($I819,CHOOSE({1,2},'[1]DIRETORES NTE'!$H$5:$H$31,'[1]DIRETORES NTE'!$E$5:$E$31,),2,0),"-")</f>
        <v>-</v>
      </c>
    </row>
    <row r="820" spans="1:15" x14ac:dyDescent="0.25">
      <c r="A820" s="10">
        <v>818</v>
      </c>
      <c r="B820" s="11">
        <v>26</v>
      </c>
      <c r="C820" s="11" t="s">
        <v>95</v>
      </c>
      <c r="D820" s="11">
        <v>1102909</v>
      </c>
      <c r="E820" s="11">
        <v>29188784</v>
      </c>
      <c r="F820" s="12" t="s">
        <v>2966</v>
      </c>
      <c r="G820" s="11" t="s">
        <v>2967</v>
      </c>
      <c r="H820" t="s">
        <v>2968</v>
      </c>
      <c r="I820" s="13">
        <v>81501790544</v>
      </c>
      <c r="J820" s="14">
        <v>8635</v>
      </c>
      <c r="K820" s="14">
        <v>8635</v>
      </c>
      <c r="L820" s="10" t="s">
        <v>99</v>
      </c>
      <c r="M820" s="14">
        <v>0</v>
      </c>
      <c r="N820" s="15">
        <v>0</v>
      </c>
      <c r="O820" t="str">
        <f>IFERROR(VLOOKUP($I820,CHOOSE({1,2},'[1]DIRETORES NTE'!$H$5:$H$31,'[1]DIRETORES NTE'!$E$5:$E$31,),2,0),"-")</f>
        <v>-</v>
      </c>
    </row>
    <row r="821" spans="1:15" x14ac:dyDescent="0.25">
      <c r="A821" s="10">
        <v>819</v>
      </c>
      <c r="B821" s="11">
        <v>26</v>
      </c>
      <c r="C821" s="11" t="s">
        <v>95</v>
      </c>
      <c r="D821" s="11">
        <v>1102186</v>
      </c>
      <c r="E821" s="11">
        <v>29191190</v>
      </c>
      <c r="F821" s="12" t="s">
        <v>2969</v>
      </c>
      <c r="G821" s="11" t="s">
        <v>2970</v>
      </c>
      <c r="H821" t="s">
        <v>2971</v>
      </c>
      <c r="I821" s="13">
        <v>64143520559</v>
      </c>
      <c r="J821" s="14">
        <v>8550</v>
      </c>
      <c r="K821" s="14">
        <v>8550</v>
      </c>
      <c r="L821" s="10" t="s">
        <v>99</v>
      </c>
      <c r="M821" s="14">
        <v>0</v>
      </c>
      <c r="N821" s="15">
        <v>0</v>
      </c>
      <c r="O821" t="str">
        <f>IFERROR(VLOOKUP($I821,CHOOSE({1,2},'[1]DIRETORES NTE'!$H$5:$H$31,'[1]DIRETORES NTE'!$E$5:$E$31,),2,0),"-")</f>
        <v>-</v>
      </c>
    </row>
    <row r="822" spans="1:15" x14ac:dyDescent="0.25">
      <c r="A822" s="10">
        <v>820</v>
      </c>
      <c r="B822" s="11">
        <v>26</v>
      </c>
      <c r="C822" s="11" t="s">
        <v>95</v>
      </c>
      <c r="D822" s="11">
        <v>1163924</v>
      </c>
      <c r="E822" s="11">
        <v>29192277</v>
      </c>
      <c r="F822" s="12" t="s">
        <v>2972</v>
      </c>
      <c r="G822" s="11" t="s">
        <v>2973</v>
      </c>
      <c r="H822" t="s">
        <v>2974</v>
      </c>
      <c r="I822" s="13">
        <v>78268087587</v>
      </c>
      <c r="J822" s="14">
        <v>23375</v>
      </c>
      <c r="K822" s="14">
        <v>12244.9</v>
      </c>
      <c r="L822" s="10" t="s">
        <v>99</v>
      </c>
      <c r="M822" s="14">
        <v>11130.1</v>
      </c>
      <c r="N822" s="15">
        <v>0.4761540106951872</v>
      </c>
      <c r="O822" t="str">
        <f>IFERROR(VLOOKUP($I822,CHOOSE({1,2},'[1]DIRETORES NTE'!$H$5:$H$31,'[1]DIRETORES NTE'!$E$5:$E$31,),2,0),"-")</f>
        <v>-</v>
      </c>
    </row>
    <row r="823" spans="1:15" x14ac:dyDescent="0.25">
      <c r="A823" s="10">
        <v>821</v>
      </c>
      <c r="B823" s="11">
        <v>19</v>
      </c>
      <c r="C823" s="11" t="s">
        <v>331</v>
      </c>
      <c r="D823" s="11">
        <v>1178137</v>
      </c>
      <c r="E823" s="11">
        <v>29441633</v>
      </c>
      <c r="F823" s="12" t="s">
        <v>2975</v>
      </c>
      <c r="G823" s="11" t="s">
        <v>2976</v>
      </c>
      <c r="H823" t="s">
        <v>2977</v>
      </c>
      <c r="I823" s="13">
        <v>93027931504</v>
      </c>
      <c r="J823" s="14">
        <v>1881</v>
      </c>
      <c r="K823" s="14">
        <v>1881</v>
      </c>
      <c r="L823" s="10" t="s">
        <v>336</v>
      </c>
      <c r="M823" s="14">
        <v>0</v>
      </c>
      <c r="N823" s="15">
        <v>0</v>
      </c>
      <c r="O823" t="str">
        <f>IFERROR(VLOOKUP($I823,CHOOSE({1,2},'[1]DIRETORES NTE'!$H$5:$H$31,'[1]DIRETORES NTE'!$E$5:$E$31,),2,0),"-")</f>
        <v>-</v>
      </c>
    </row>
    <row r="824" spans="1:15" x14ac:dyDescent="0.25">
      <c r="A824" s="10">
        <v>822</v>
      </c>
      <c r="B824" s="11">
        <v>26</v>
      </c>
      <c r="C824" s="11" t="s">
        <v>95</v>
      </c>
      <c r="D824" s="11">
        <v>1104367</v>
      </c>
      <c r="E824" s="11">
        <v>29200296</v>
      </c>
      <c r="F824" s="12" t="s">
        <v>2978</v>
      </c>
      <c r="G824" s="11" t="s">
        <v>2979</v>
      </c>
      <c r="H824" t="s">
        <v>2980</v>
      </c>
      <c r="I824" s="13">
        <v>92069339572</v>
      </c>
      <c r="J824" s="14">
        <v>980</v>
      </c>
      <c r="K824" s="14">
        <v>980</v>
      </c>
      <c r="L824" s="10" t="s">
        <v>99</v>
      </c>
      <c r="M824" s="14">
        <v>0</v>
      </c>
      <c r="N824" s="15">
        <v>0</v>
      </c>
      <c r="O824" t="str">
        <f>IFERROR(VLOOKUP($I824,CHOOSE({1,2},'[1]DIRETORES NTE'!$H$5:$H$31,'[1]DIRETORES NTE'!$E$5:$E$31,),2,0),"-")</f>
        <v>-</v>
      </c>
    </row>
    <row r="825" spans="1:15" x14ac:dyDescent="0.25">
      <c r="A825" s="10">
        <v>823</v>
      </c>
      <c r="B825" s="11">
        <v>2</v>
      </c>
      <c r="C825" s="11" t="s">
        <v>1488</v>
      </c>
      <c r="D825" s="11">
        <v>1127324</v>
      </c>
      <c r="E825" s="11">
        <v>29038820</v>
      </c>
      <c r="F825" s="12" t="s">
        <v>2981</v>
      </c>
      <c r="G825" s="11" t="s">
        <v>2982</v>
      </c>
      <c r="H825" t="s">
        <v>2983</v>
      </c>
      <c r="I825" s="13">
        <v>91469430568</v>
      </c>
      <c r="J825" s="14">
        <v>22808</v>
      </c>
      <c r="K825" s="14">
        <v>22808</v>
      </c>
      <c r="L825" s="10" t="s">
        <v>105</v>
      </c>
      <c r="M825" s="14">
        <v>0</v>
      </c>
      <c r="N825" s="15">
        <v>0</v>
      </c>
      <c r="O825" t="str">
        <f>IFERROR(VLOOKUP($I825,CHOOSE({1,2},'[1]DIRETORES NTE'!$H$5:$H$31,'[1]DIRETORES NTE'!$E$5:$E$31,),2,0),"-")</f>
        <v>-</v>
      </c>
    </row>
    <row r="826" spans="1:15" x14ac:dyDescent="0.25">
      <c r="A826" s="10">
        <v>824</v>
      </c>
      <c r="B826" s="11">
        <v>9</v>
      </c>
      <c r="C826" s="11" t="s">
        <v>2984</v>
      </c>
      <c r="D826" s="11">
        <v>1109563</v>
      </c>
      <c r="E826" s="11">
        <v>29235260</v>
      </c>
      <c r="F826" s="12" t="s">
        <v>2985</v>
      </c>
      <c r="G826" s="11" t="s">
        <v>2986</v>
      </c>
      <c r="H826" t="s">
        <v>2987</v>
      </c>
      <c r="I826" s="13">
        <v>56111908553</v>
      </c>
      <c r="J826" s="14">
        <v>6197</v>
      </c>
      <c r="K826" s="14">
        <v>1826.02</v>
      </c>
      <c r="L826" s="10" t="s">
        <v>167</v>
      </c>
      <c r="M826" s="14">
        <v>4370.9799999999996</v>
      </c>
      <c r="N826" s="15">
        <v>0.70533806680651923</v>
      </c>
      <c r="O826" t="str">
        <f>IFERROR(VLOOKUP($I826,CHOOSE({1,2},'[1]DIRETORES NTE'!$H$5:$H$31,'[1]DIRETORES NTE'!$E$5:$E$31,),2,0),"-")</f>
        <v>-</v>
      </c>
    </row>
    <row r="827" spans="1:15" x14ac:dyDescent="0.25">
      <c r="A827" s="10">
        <v>825</v>
      </c>
      <c r="B827" s="11">
        <v>20</v>
      </c>
      <c r="C827" s="11" t="s">
        <v>1599</v>
      </c>
      <c r="D827" s="11">
        <v>1178405</v>
      </c>
      <c r="E827" s="11">
        <v>29395950</v>
      </c>
      <c r="F827" s="12" t="s">
        <v>2988</v>
      </c>
      <c r="G827" s="11" t="s">
        <v>1736</v>
      </c>
      <c r="H827" t="s">
        <v>2989</v>
      </c>
      <c r="I827" s="13" t="s">
        <v>2990</v>
      </c>
      <c r="J827" s="14">
        <v>0</v>
      </c>
      <c r="K827" s="14">
        <v>0</v>
      </c>
      <c r="L827" s="10" t="s">
        <v>27</v>
      </c>
      <c r="M827" s="14">
        <v>0</v>
      </c>
      <c r="N827" s="15" t="e">
        <v>#DIV/0!</v>
      </c>
      <c r="O827" t="str">
        <f>IFERROR(VLOOKUP($I827,CHOOSE({1,2},'[1]DIRETORES NTE'!$H$5:$H$31,'[1]DIRETORES NTE'!$E$5:$E$31,),2,0),"-")</f>
        <v>-</v>
      </c>
    </row>
    <row r="828" spans="1:15" x14ac:dyDescent="0.25">
      <c r="A828" s="10">
        <v>826</v>
      </c>
      <c r="B828" s="11">
        <v>20</v>
      </c>
      <c r="C828" s="11" t="s">
        <v>2479</v>
      </c>
      <c r="D828" s="11">
        <v>1179137</v>
      </c>
      <c r="E828" s="11">
        <v>29449456</v>
      </c>
      <c r="F828" s="12" t="s">
        <v>2991</v>
      </c>
      <c r="G828" s="11" t="s">
        <v>2992</v>
      </c>
      <c r="H828" t="s">
        <v>2993</v>
      </c>
      <c r="I828" s="13">
        <v>31456748890</v>
      </c>
      <c r="J828" s="14">
        <v>5917</v>
      </c>
      <c r="K828" s="14">
        <v>5917</v>
      </c>
      <c r="L828" s="10" t="s">
        <v>27</v>
      </c>
      <c r="M828" s="14">
        <v>0</v>
      </c>
      <c r="N828" s="15">
        <v>0</v>
      </c>
      <c r="O828" t="str">
        <f>IFERROR(VLOOKUP($I828,CHOOSE({1,2},'[1]DIRETORES NTE'!$H$5:$H$31,'[1]DIRETORES NTE'!$E$5:$E$31,),2,0),"-")</f>
        <v>-</v>
      </c>
    </row>
    <row r="829" spans="1:15" x14ac:dyDescent="0.25">
      <c r="A829" s="10">
        <v>827</v>
      </c>
      <c r="B829" s="11">
        <v>22</v>
      </c>
      <c r="C829" s="11" t="s">
        <v>2994</v>
      </c>
      <c r="D829" s="11">
        <v>1117434</v>
      </c>
      <c r="E829" s="11">
        <v>29307759</v>
      </c>
      <c r="F829" s="12" t="s">
        <v>2995</v>
      </c>
      <c r="G829" s="11" t="s">
        <v>2996</v>
      </c>
      <c r="H829" t="s">
        <v>2997</v>
      </c>
      <c r="I829" s="13" t="s">
        <v>2998</v>
      </c>
      <c r="J829" s="14">
        <v>11985</v>
      </c>
      <c r="K829" s="14">
        <v>1147.45</v>
      </c>
      <c r="L829" s="10" t="s">
        <v>200</v>
      </c>
      <c r="M829" s="14">
        <v>10837.55</v>
      </c>
      <c r="N829" s="15">
        <v>0.90425949103045467</v>
      </c>
      <c r="O829" t="str">
        <f>IFERROR(VLOOKUP($I829,CHOOSE({1,2},'[1]DIRETORES NTE'!$H$5:$H$31,'[1]DIRETORES NTE'!$E$5:$E$31,),2,0),"-")</f>
        <v>-</v>
      </c>
    </row>
    <row r="830" spans="1:15" x14ac:dyDescent="0.25">
      <c r="A830" s="10">
        <v>828</v>
      </c>
      <c r="B830" s="11">
        <v>1</v>
      </c>
      <c r="C830" s="11" t="s">
        <v>2999</v>
      </c>
      <c r="D830" s="11">
        <v>1125968</v>
      </c>
      <c r="E830" s="11">
        <v>29062250</v>
      </c>
      <c r="F830" s="12" t="s">
        <v>3000</v>
      </c>
      <c r="G830" s="11" t="s">
        <v>3001</v>
      </c>
      <c r="H830" t="s">
        <v>3002</v>
      </c>
      <c r="I830" s="13">
        <v>88274942515</v>
      </c>
      <c r="J830" s="14">
        <v>10678</v>
      </c>
      <c r="K830" s="14">
        <v>10678</v>
      </c>
      <c r="L830" s="10" t="s">
        <v>356</v>
      </c>
      <c r="M830" s="14">
        <v>0</v>
      </c>
      <c r="N830" s="15">
        <v>0</v>
      </c>
      <c r="O830" t="str">
        <f>IFERROR(VLOOKUP($I830,CHOOSE({1,2},'[1]DIRETORES NTE'!$H$5:$H$31,'[1]DIRETORES NTE'!$E$5:$E$31,),2,0),"-")</f>
        <v>-</v>
      </c>
    </row>
    <row r="831" spans="1:15" x14ac:dyDescent="0.25">
      <c r="A831" s="10">
        <v>829</v>
      </c>
      <c r="B831" s="11">
        <v>18</v>
      </c>
      <c r="C831" s="11" t="s">
        <v>3003</v>
      </c>
      <c r="D831" s="11">
        <v>1179315</v>
      </c>
      <c r="E831" s="11">
        <v>29459915</v>
      </c>
      <c r="F831" s="12" t="s">
        <v>3004</v>
      </c>
      <c r="G831" s="11" t="s">
        <v>3005</v>
      </c>
      <c r="H831" t="s">
        <v>3006</v>
      </c>
      <c r="I831" s="13" t="s">
        <v>3007</v>
      </c>
      <c r="J831" s="14">
        <v>7901</v>
      </c>
      <c r="K831" s="14">
        <v>7901</v>
      </c>
      <c r="L831" s="10" t="s">
        <v>68</v>
      </c>
      <c r="M831" s="14">
        <v>0</v>
      </c>
      <c r="N831" s="15">
        <v>0</v>
      </c>
      <c r="O831" t="str">
        <f>IFERROR(VLOOKUP($I831,CHOOSE({1,2},'[1]DIRETORES NTE'!$H$5:$H$31,'[1]DIRETORES NTE'!$E$5:$E$31,),2,0),"-")</f>
        <v>-</v>
      </c>
    </row>
    <row r="832" spans="1:15" x14ac:dyDescent="0.25">
      <c r="A832" s="10">
        <v>830</v>
      </c>
      <c r="B832" s="11" t="s">
        <v>237</v>
      </c>
      <c r="C832" s="11" t="s">
        <v>237</v>
      </c>
      <c r="D832" s="11" t="s">
        <v>237</v>
      </c>
      <c r="E832" s="11" t="s">
        <v>237</v>
      </c>
      <c r="F832" s="12" t="s">
        <v>237</v>
      </c>
      <c r="G832" s="11" t="s">
        <v>237</v>
      </c>
      <c r="H832" t="s">
        <v>3008</v>
      </c>
      <c r="I832" s="13">
        <v>51228475504</v>
      </c>
      <c r="J832" s="14">
        <v>0</v>
      </c>
      <c r="K832" s="14">
        <v>0</v>
      </c>
      <c r="L832" s="10" t="s">
        <v>99</v>
      </c>
      <c r="M832" s="14">
        <v>0</v>
      </c>
      <c r="N832" s="15" t="e">
        <v>#DIV/0!</v>
      </c>
      <c r="O832" t="str">
        <f>IFERROR(VLOOKUP($I832,CHOOSE({1,2},'[1]DIRETORES NTE'!$H$5:$H$31,'[1]DIRETORES NTE'!$E$5:$E$31,),2,0),"-")</f>
        <v>-</v>
      </c>
    </row>
    <row r="833" spans="1:15" x14ac:dyDescent="0.25">
      <c r="A833" s="10">
        <v>831</v>
      </c>
      <c r="B833" s="11">
        <v>2</v>
      </c>
      <c r="C833" s="11" t="s">
        <v>100</v>
      </c>
      <c r="D833" s="11">
        <v>1176177</v>
      </c>
      <c r="E833" s="11">
        <v>29332400</v>
      </c>
      <c r="F833" s="12" t="s">
        <v>3009</v>
      </c>
      <c r="G833" s="11" t="s">
        <v>3010</v>
      </c>
      <c r="H833" t="s">
        <v>3011</v>
      </c>
      <c r="I833" s="13" t="s">
        <v>3012</v>
      </c>
      <c r="J833" s="14">
        <v>2447</v>
      </c>
      <c r="K833" s="14">
        <v>2447</v>
      </c>
      <c r="L833" s="10" t="s">
        <v>105</v>
      </c>
      <c r="M833" s="14">
        <v>0</v>
      </c>
      <c r="N833" s="15">
        <v>0</v>
      </c>
      <c r="O833" t="str">
        <f>IFERROR(VLOOKUP($I833,CHOOSE({1,2},'[1]DIRETORES NTE'!$H$5:$H$31,'[1]DIRETORES NTE'!$E$5:$E$31,),2,0),"-")</f>
        <v>-</v>
      </c>
    </row>
    <row r="834" spans="1:15" x14ac:dyDescent="0.25">
      <c r="A834" s="10">
        <v>832</v>
      </c>
      <c r="B834" s="11">
        <v>23</v>
      </c>
      <c r="C834" s="11" t="s">
        <v>3013</v>
      </c>
      <c r="D834" s="11">
        <v>1131534</v>
      </c>
      <c r="E834" s="11">
        <v>29012465</v>
      </c>
      <c r="F834" s="12" t="s">
        <v>3014</v>
      </c>
      <c r="G834" s="11" t="s">
        <v>3015</v>
      </c>
      <c r="H834" t="s">
        <v>3016</v>
      </c>
      <c r="I834" s="13" t="s">
        <v>3017</v>
      </c>
      <c r="J834" s="14">
        <v>8657</v>
      </c>
      <c r="K834" s="14">
        <v>8657</v>
      </c>
      <c r="L834" s="10" t="s">
        <v>373</v>
      </c>
      <c r="M834" s="14">
        <v>0</v>
      </c>
      <c r="N834" s="15">
        <v>0</v>
      </c>
      <c r="O834" t="str">
        <f>IFERROR(VLOOKUP($I834,CHOOSE({1,2},'[1]DIRETORES NTE'!$H$5:$H$31,'[1]DIRETORES NTE'!$E$5:$E$31,),2,0),"-")</f>
        <v>-</v>
      </c>
    </row>
    <row r="835" spans="1:15" x14ac:dyDescent="0.25">
      <c r="A835" s="10">
        <v>833</v>
      </c>
      <c r="B835" s="11">
        <v>20</v>
      </c>
      <c r="C835" s="11" t="s">
        <v>3018</v>
      </c>
      <c r="D835" s="11">
        <v>1123671</v>
      </c>
      <c r="E835" s="11">
        <v>29255597</v>
      </c>
      <c r="F835" s="12" t="s">
        <v>3019</v>
      </c>
      <c r="G835" s="11" t="s">
        <v>3020</v>
      </c>
      <c r="H835" t="s">
        <v>3021</v>
      </c>
      <c r="I835" s="13" t="s">
        <v>3022</v>
      </c>
      <c r="J835" s="14">
        <v>8040</v>
      </c>
      <c r="K835" s="14">
        <v>8040</v>
      </c>
      <c r="L835" s="10" t="s">
        <v>27</v>
      </c>
      <c r="M835" s="14">
        <v>0</v>
      </c>
      <c r="N835" s="15">
        <v>0</v>
      </c>
      <c r="O835" t="str">
        <f>IFERROR(VLOOKUP($I835,CHOOSE({1,2},'[1]DIRETORES NTE'!$H$5:$H$31,'[1]DIRETORES NTE'!$E$5:$E$31,),2,0),"-")</f>
        <v>-</v>
      </c>
    </row>
    <row r="836" spans="1:15" x14ac:dyDescent="0.25">
      <c r="A836" s="10">
        <v>834</v>
      </c>
      <c r="B836" s="11">
        <v>20</v>
      </c>
      <c r="C836" s="11" t="s">
        <v>3023</v>
      </c>
      <c r="D836" s="11">
        <v>1128878</v>
      </c>
      <c r="E836" s="11">
        <v>29258324</v>
      </c>
      <c r="F836" s="12" t="s">
        <v>3024</v>
      </c>
      <c r="G836" s="11" t="s">
        <v>3025</v>
      </c>
      <c r="H836" t="s">
        <v>3026</v>
      </c>
      <c r="I836" s="13">
        <v>89528689515</v>
      </c>
      <c r="J836" s="14">
        <v>9026</v>
      </c>
      <c r="K836" s="14">
        <v>9026</v>
      </c>
      <c r="L836" s="10" t="s">
        <v>27</v>
      </c>
      <c r="M836" s="14">
        <v>0</v>
      </c>
      <c r="N836" s="15">
        <v>0</v>
      </c>
      <c r="O836" t="str">
        <f>IFERROR(VLOOKUP($I836,CHOOSE({1,2},'[1]DIRETORES NTE'!$H$5:$H$31,'[1]DIRETORES NTE'!$E$5:$E$31,),2,0),"-")</f>
        <v>-</v>
      </c>
    </row>
    <row r="837" spans="1:15" x14ac:dyDescent="0.25">
      <c r="A837" s="10">
        <v>835</v>
      </c>
      <c r="B837" s="11">
        <v>16</v>
      </c>
      <c r="C837" s="11" t="s">
        <v>869</v>
      </c>
      <c r="D837" s="11">
        <v>1158157</v>
      </c>
      <c r="E837" s="11">
        <v>29071275</v>
      </c>
      <c r="F837" s="12" t="s">
        <v>3027</v>
      </c>
      <c r="G837" s="11" t="s">
        <v>3028</v>
      </c>
      <c r="H837" t="s">
        <v>3029</v>
      </c>
      <c r="I837" s="13" t="s">
        <v>3030</v>
      </c>
      <c r="J837" s="14">
        <v>5676</v>
      </c>
      <c r="K837" s="14">
        <v>5676</v>
      </c>
      <c r="L837" s="10" t="s">
        <v>74</v>
      </c>
      <c r="M837" s="14">
        <v>0</v>
      </c>
      <c r="N837" s="15">
        <v>0</v>
      </c>
      <c r="O837" t="str">
        <f>IFERROR(VLOOKUP($I837,CHOOSE({1,2},'[1]DIRETORES NTE'!$H$5:$H$31,'[1]DIRETORES NTE'!$E$5:$E$31,),2,0),"-")</f>
        <v>-</v>
      </c>
    </row>
    <row r="838" spans="1:15" x14ac:dyDescent="0.25">
      <c r="A838" s="10">
        <v>836</v>
      </c>
      <c r="B838" s="11">
        <v>9</v>
      </c>
      <c r="C838" s="11" t="s">
        <v>501</v>
      </c>
      <c r="D838" s="11">
        <v>1118023</v>
      </c>
      <c r="E838" s="11">
        <v>29226864</v>
      </c>
      <c r="F838" s="12" t="s">
        <v>2592</v>
      </c>
      <c r="G838" s="11" t="s">
        <v>3031</v>
      </c>
      <c r="H838" t="s">
        <v>3032</v>
      </c>
      <c r="I838" s="13">
        <v>59312181572</v>
      </c>
      <c r="J838" s="14">
        <v>6748</v>
      </c>
      <c r="K838" s="14">
        <v>6748</v>
      </c>
      <c r="L838" s="10" t="s">
        <v>167</v>
      </c>
      <c r="M838" s="14">
        <v>0</v>
      </c>
      <c r="N838" s="15">
        <v>0</v>
      </c>
      <c r="O838" t="str">
        <f>IFERROR(VLOOKUP($I838,CHOOSE({1,2},'[1]DIRETORES NTE'!$H$5:$H$31,'[1]DIRETORES NTE'!$E$5:$E$31,),2,0),"-")</f>
        <v>-</v>
      </c>
    </row>
    <row r="839" spans="1:15" x14ac:dyDescent="0.25">
      <c r="A839" s="10">
        <v>837</v>
      </c>
      <c r="B839" s="11">
        <v>22</v>
      </c>
      <c r="C839" s="11" t="s">
        <v>1403</v>
      </c>
      <c r="D839" s="11">
        <v>1166621</v>
      </c>
      <c r="E839" s="11">
        <v>29303702</v>
      </c>
      <c r="F839" s="12" t="s">
        <v>3033</v>
      </c>
      <c r="G839" s="11" t="s">
        <v>3034</v>
      </c>
      <c r="H839" t="s">
        <v>3035</v>
      </c>
      <c r="I839" s="13" t="s">
        <v>3036</v>
      </c>
      <c r="J839" s="14">
        <v>8444</v>
      </c>
      <c r="K839" s="14">
        <v>8444</v>
      </c>
      <c r="L839" s="10" t="s">
        <v>200</v>
      </c>
      <c r="M839" s="14">
        <v>0</v>
      </c>
      <c r="N839" s="15">
        <v>0</v>
      </c>
      <c r="O839" t="str">
        <f>IFERROR(VLOOKUP($I839,CHOOSE({1,2},'[1]DIRETORES NTE'!$H$5:$H$31,'[1]DIRETORES NTE'!$E$5:$E$31,),2,0),"-")</f>
        <v>-</v>
      </c>
    </row>
    <row r="840" spans="1:15" x14ac:dyDescent="0.25">
      <c r="A840" s="10">
        <v>838</v>
      </c>
      <c r="B840" s="11">
        <v>10</v>
      </c>
      <c r="C840" s="11" t="s">
        <v>16</v>
      </c>
      <c r="D840" s="11">
        <v>1178378</v>
      </c>
      <c r="E840" s="11">
        <v>29859808</v>
      </c>
      <c r="F840" s="12" t="s">
        <v>3037</v>
      </c>
      <c r="G840" s="11" t="s">
        <v>3038</v>
      </c>
      <c r="H840" t="s">
        <v>3039</v>
      </c>
      <c r="I840" s="13" t="s">
        <v>3040</v>
      </c>
      <c r="J840" s="14">
        <v>4197</v>
      </c>
      <c r="K840" s="14">
        <v>4197</v>
      </c>
      <c r="L840" s="10" t="s">
        <v>21</v>
      </c>
      <c r="M840" s="14">
        <v>0</v>
      </c>
      <c r="N840" s="15">
        <v>0</v>
      </c>
      <c r="O840" t="str">
        <f>IFERROR(VLOOKUP($I840,CHOOSE({1,2},'[1]DIRETORES NTE'!$H$5:$H$31,'[1]DIRETORES NTE'!$E$5:$E$31,),2,0),"-")</f>
        <v>-</v>
      </c>
    </row>
    <row r="841" spans="1:15" x14ac:dyDescent="0.25">
      <c r="A841" s="10">
        <v>839</v>
      </c>
      <c r="B841" s="11">
        <v>3</v>
      </c>
      <c r="C841" s="11" t="s">
        <v>1187</v>
      </c>
      <c r="D841" s="11">
        <v>1133235</v>
      </c>
      <c r="E841" s="11">
        <v>29067391</v>
      </c>
      <c r="F841" s="12" t="s">
        <v>3041</v>
      </c>
      <c r="G841" s="11" t="s">
        <v>3042</v>
      </c>
      <c r="H841" t="s">
        <v>3043</v>
      </c>
      <c r="I841" s="13" t="s">
        <v>3044</v>
      </c>
      <c r="J841" s="14">
        <v>15184</v>
      </c>
      <c r="K841" s="14">
        <v>15184</v>
      </c>
      <c r="L841" s="10" t="s">
        <v>117</v>
      </c>
      <c r="M841" s="14">
        <v>0</v>
      </c>
      <c r="N841" s="15">
        <v>0</v>
      </c>
      <c r="O841" t="str">
        <f>IFERROR(VLOOKUP($I841,CHOOSE({1,2},'[1]DIRETORES NTE'!$H$5:$H$31,'[1]DIRETORES NTE'!$E$5:$E$31,),2,0),"-")</f>
        <v>-</v>
      </c>
    </row>
    <row r="842" spans="1:15" x14ac:dyDescent="0.25">
      <c r="A842" s="10">
        <v>840</v>
      </c>
      <c r="B842" s="11">
        <v>19</v>
      </c>
      <c r="C842" s="11" t="s">
        <v>331</v>
      </c>
      <c r="D842" s="11">
        <v>1142242</v>
      </c>
      <c r="E842" s="11">
        <v>29097665</v>
      </c>
      <c r="F842" s="12" t="s">
        <v>3045</v>
      </c>
      <c r="G842" s="11" t="s">
        <v>3046</v>
      </c>
      <c r="H842" t="s">
        <v>3047</v>
      </c>
      <c r="I842" s="13" t="s">
        <v>3048</v>
      </c>
      <c r="J842" s="14">
        <v>18378</v>
      </c>
      <c r="K842" s="14">
        <v>3180.45</v>
      </c>
      <c r="L842" s="10" t="s">
        <v>336</v>
      </c>
      <c r="M842" s="14">
        <v>15197.55</v>
      </c>
      <c r="N842" s="15">
        <v>0.82694253999347045</v>
      </c>
      <c r="O842" t="str">
        <f>IFERROR(VLOOKUP($I842,CHOOSE({1,2},'[1]DIRETORES NTE'!$H$5:$H$31,'[1]DIRETORES NTE'!$E$5:$E$31,),2,0),"-")</f>
        <v>-</v>
      </c>
    </row>
    <row r="843" spans="1:15" x14ac:dyDescent="0.25">
      <c r="A843" s="10">
        <v>841</v>
      </c>
      <c r="B843" s="11">
        <v>26</v>
      </c>
      <c r="C843" s="11" t="s">
        <v>95</v>
      </c>
      <c r="D843" s="11">
        <v>1176446</v>
      </c>
      <c r="E843" s="11">
        <v>29386535</v>
      </c>
      <c r="F843" s="12" t="s">
        <v>3049</v>
      </c>
      <c r="G843" s="11" t="s">
        <v>3050</v>
      </c>
      <c r="H843" t="s">
        <v>3051</v>
      </c>
      <c r="I843" s="13">
        <v>21270228587</v>
      </c>
      <c r="J843" s="14">
        <v>2210</v>
      </c>
      <c r="K843" s="14">
        <v>2210</v>
      </c>
      <c r="L843" s="10" t="s">
        <v>99</v>
      </c>
      <c r="M843" s="14">
        <v>0</v>
      </c>
      <c r="N843" s="15">
        <v>0</v>
      </c>
      <c r="O843" t="str">
        <f>IFERROR(VLOOKUP($I843,CHOOSE({1,2},'[1]DIRETORES NTE'!$H$5:$H$31,'[1]DIRETORES NTE'!$E$5:$E$31,),2,0),"-")</f>
        <v>-</v>
      </c>
    </row>
    <row r="844" spans="1:15" x14ac:dyDescent="0.25">
      <c r="A844" s="10">
        <v>842</v>
      </c>
      <c r="B844" s="11">
        <v>27</v>
      </c>
      <c r="C844" s="11" t="s">
        <v>2855</v>
      </c>
      <c r="D844" s="11">
        <v>1178401</v>
      </c>
      <c r="E844" s="11">
        <v>29397707</v>
      </c>
      <c r="F844" s="12" t="s">
        <v>3052</v>
      </c>
      <c r="G844" s="11" t="s">
        <v>3053</v>
      </c>
      <c r="H844" t="s">
        <v>3054</v>
      </c>
      <c r="I844" s="13">
        <v>99980622504</v>
      </c>
      <c r="J844" s="14">
        <v>12289</v>
      </c>
      <c r="K844" s="14">
        <v>12289</v>
      </c>
      <c r="L844" s="10" t="s">
        <v>720</v>
      </c>
      <c r="M844" s="14">
        <v>0</v>
      </c>
      <c r="N844" s="15">
        <v>0</v>
      </c>
      <c r="O844" t="str">
        <f>IFERROR(VLOOKUP($I844,CHOOSE({1,2},'[1]DIRETORES NTE'!$H$5:$H$31,'[1]DIRETORES NTE'!$E$5:$E$31,),2,0),"-")</f>
        <v>-</v>
      </c>
    </row>
    <row r="845" spans="1:15" x14ac:dyDescent="0.25">
      <c r="A845" s="10">
        <v>843</v>
      </c>
      <c r="B845" s="11">
        <v>26</v>
      </c>
      <c r="C845" s="11" t="s">
        <v>95</v>
      </c>
      <c r="D845" s="11">
        <v>1102232</v>
      </c>
      <c r="E845" s="11">
        <v>29181526</v>
      </c>
      <c r="F845" s="12" t="s">
        <v>3055</v>
      </c>
      <c r="G845" s="11" t="s">
        <v>3056</v>
      </c>
      <c r="H845" t="s">
        <v>3057</v>
      </c>
      <c r="I845" s="13">
        <v>37443682549</v>
      </c>
      <c r="J845" s="14">
        <v>19608</v>
      </c>
      <c r="K845" s="14">
        <v>19608</v>
      </c>
      <c r="L845" s="10" t="s">
        <v>99</v>
      </c>
      <c r="M845" s="14">
        <v>0</v>
      </c>
      <c r="N845" s="15">
        <v>0</v>
      </c>
      <c r="O845" t="str">
        <f>IFERROR(VLOOKUP($I845,CHOOSE({1,2},'[1]DIRETORES NTE'!$H$5:$H$31,'[1]DIRETORES NTE'!$E$5:$E$31,),2,0),"-")</f>
        <v>-</v>
      </c>
    </row>
    <row r="846" spans="1:15" x14ac:dyDescent="0.25">
      <c r="A846" s="10">
        <v>844</v>
      </c>
      <c r="B846" s="11">
        <v>23</v>
      </c>
      <c r="C846" s="11" t="s">
        <v>972</v>
      </c>
      <c r="D846" s="11">
        <v>1131860</v>
      </c>
      <c r="E846" s="11">
        <v>29015227</v>
      </c>
      <c r="F846" s="12" t="s">
        <v>3058</v>
      </c>
      <c r="G846" s="11" t="s">
        <v>3059</v>
      </c>
      <c r="H846" t="s">
        <v>3060</v>
      </c>
      <c r="I846" s="13" t="s">
        <v>3061</v>
      </c>
      <c r="J846" s="14">
        <v>11831</v>
      </c>
      <c r="K846" s="14">
        <v>11831</v>
      </c>
      <c r="L846" s="10" t="s">
        <v>373</v>
      </c>
      <c r="M846" s="14">
        <v>0</v>
      </c>
      <c r="N846" s="15">
        <v>0</v>
      </c>
      <c r="O846" t="str">
        <f>IFERROR(VLOOKUP($I846,CHOOSE({1,2},'[1]DIRETORES NTE'!$H$5:$H$31,'[1]DIRETORES NTE'!$E$5:$E$31,),2,0),"-")</f>
        <v>-</v>
      </c>
    </row>
    <row r="847" spans="1:15" x14ac:dyDescent="0.25">
      <c r="A847" s="10">
        <v>845</v>
      </c>
      <c r="B847" s="11" t="s">
        <v>237</v>
      </c>
      <c r="C847" s="11" t="s">
        <v>237</v>
      </c>
      <c r="D847" s="11" t="s">
        <v>237</v>
      </c>
      <c r="E847" s="11" t="s">
        <v>237</v>
      </c>
      <c r="F847" s="12" t="s">
        <v>237</v>
      </c>
      <c r="G847" s="11" t="s">
        <v>237</v>
      </c>
      <c r="H847" t="s">
        <v>3062</v>
      </c>
      <c r="I847" s="13">
        <v>60958979634</v>
      </c>
      <c r="J847" s="14">
        <v>0</v>
      </c>
      <c r="K847" s="14">
        <v>0</v>
      </c>
      <c r="L847" s="10" t="s">
        <v>33</v>
      </c>
      <c r="M847" s="14">
        <v>0</v>
      </c>
      <c r="N847" s="15" t="e">
        <v>#DIV/0!</v>
      </c>
      <c r="O847" t="str">
        <f>IFERROR(VLOOKUP($I847,CHOOSE({1,2},'[1]DIRETORES NTE'!$H$5:$H$31,'[1]DIRETORES NTE'!$E$5:$E$31,),2,0),"-")</f>
        <v>RAMON DUTRA LOBO (DIRETOR DE NTE)</v>
      </c>
    </row>
    <row r="848" spans="1:15" x14ac:dyDescent="0.25">
      <c r="A848" s="10">
        <v>846</v>
      </c>
      <c r="B848" s="11">
        <v>26</v>
      </c>
      <c r="C848" s="11" t="s">
        <v>95</v>
      </c>
      <c r="D848" s="11">
        <v>1100493</v>
      </c>
      <c r="E848" s="11">
        <v>29190720</v>
      </c>
      <c r="F848" s="12" t="s">
        <v>3063</v>
      </c>
      <c r="G848" s="11" t="s">
        <v>3064</v>
      </c>
      <c r="H848" t="s">
        <v>3065</v>
      </c>
      <c r="I848" s="13">
        <v>56537689520</v>
      </c>
      <c r="J848" s="14">
        <v>8165</v>
      </c>
      <c r="K848" s="14">
        <v>1302</v>
      </c>
      <c r="L848" s="10" t="s">
        <v>99</v>
      </c>
      <c r="M848" s="14">
        <v>6863</v>
      </c>
      <c r="N848" s="15">
        <v>0.84053888548683409</v>
      </c>
      <c r="O848" t="str">
        <f>IFERROR(VLOOKUP($I848,CHOOSE({1,2},'[1]DIRETORES NTE'!$H$5:$H$31,'[1]DIRETORES NTE'!$E$5:$E$31,),2,0),"-")</f>
        <v>-</v>
      </c>
    </row>
    <row r="849" spans="1:15" x14ac:dyDescent="0.25">
      <c r="A849" s="10">
        <v>847</v>
      </c>
      <c r="B849" s="11">
        <v>3</v>
      </c>
      <c r="C849" s="11" t="s">
        <v>1889</v>
      </c>
      <c r="D849" s="11">
        <v>1179607</v>
      </c>
      <c r="E849" s="11">
        <v>29470552</v>
      </c>
      <c r="F849" s="12" t="s">
        <v>3066</v>
      </c>
      <c r="G849" s="11" t="s">
        <v>3067</v>
      </c>
      <c r="H849" t="s">
        <v>3068</v>
      </c>
      <c r="I849" s="13" t="s">
        <v>3069</v>
      </c>
      <c r="J849" s="14">
        <v>4816</v>
      </c>
      <c r="K849" s="14">
        <v>4816</v>
      </c>
      <c r="L849" s="10" t="s">
        <v>117</v>
      </c>
      <c r="M849" s="14">
        <v>0</v>
      </c>
      <c r="N849" s="15">
        <v>0</v>
      </c>
      <c r="O849" t="str">
        <f>IFERROR(VLOOKUP($I849,CHOOSE({1,2},'[1]DIRETORES NTE'!$H$5:$H$31,'[1]DIRETORES NTE'!$E$5:$E$31,),2,0),"-")</f>
        <v>-</v>
      </c>
    </row>
    <row r="850" spans="1:15" x14ac:dyDescent="0.25">
      <c r="A850" s="10">
        <v>848</v>
      </c>
      <c r="B850" s="11">
        <v>1</v>
      </c>
      <c r="C850" s="11" t="s">
        <v>3070</v>
      </c>
      <c r="D850" s="11">
        <v>1162502</v>
      </c>
      <c r="E850" s="11">
        <v>29064392</v>
      </c>
      <c r="F850" s="12" t="s">
        <v>3071</v>
      </c>
      <c r="G850" s="11" t="s">
        <v>3072</v>
      </c>
      <c r="H850" t="s">
        <v>3073</v>
      </c>
      <c r="I850" s="13">
        <v>99392305591</v>
      </c>
      <c r="J850" s="14">
        <v>10751</v>
      </c>
      <c r="K850" s="14">
        <v>10751</v>
      </c>
      <c r="L850" s="10" t="s">
        <v>356</v>
      </c>
      <c r="M850" s="14">
        <v>0</v>
      </c>
      <c r="N850" s="15">
        <v>0</v>
      </c>
      <c r="O850" t="str">
        <f>IFERROR(VLOOKUP($I850,CHOOSE({1,2},'[1]DIRETORES NTE'!$H$5:$H$31,'[1]DIRETORES NTE'!$E$5:$E$31,),2,0),"-")</f>
        <v>-</v>
      </c>
    </row>
    <row r="851" spans="1:15" x14ac:dyDescent="0.25">
      <c r="A851" s="10">
        <v>849</v>
      </c>
      <c r="B851" s="11" t="s">
        <v>237</v>
      </c>
      <c r="C851" s="11" t="s">
        <v>237</v>
      </c>
      <c r="D851" s="11" t="s">
        <v>237</v>
      </c>
      <c r="E851" s="11" t="s">
        <v>237</v>
      </c>
      <c r="F851" s="12" t="s">
        <v>237</v>
      </c>
      <c r="G851" s="11" t="s">
        <v>237</v>
      </c>
      <c r="H851" t="s">
        <v>3074</v>
      </c>
      <c r="I851" s="13">
        <v>37023942572</v>
      </c>
      <c r="J851" s="14">
        <v>0</v>
      </c>
      <c r="K851" s="14">
        <v>0</v>
      </c>
      <c r="L851" s="10" t="s">
        <v>39</v>
      </c>
      <c r="M851" s="14">
        <v>0</v>
      </c>
      <c r="N851" s="15" t="e">
        <v>#DIV/0!</v>
      </c>
      <c r="O851" t="str">
        <f>IFERROR(VLOOKUP($I851,CHOOSE({1,2},'[1]DIRETORES NTE'!$H$5:$H$31,'[1]DIRETORES NTE'!$E$5:$E$31,),2,0),"-")</f>
        <v>-</v>
      </c>
    </row>
    <row r="852" spans="1:15" x14ac:dyDescent="0.25">
      <c r="A852" s="10">
        <v>850</v>
      </c>
      <c r="B852" s="11">
        <v>10</v>
      </c>
      <c r="C852" s="11" t="s">
        <v>1322</v>
      </c>
      <c r="D852" s="11">
        <v>1179779</v>
      </c>
      <c r="E852" s="11">
        <v>29360463</v>
      </c>
      <c r="F852" s="12" t="s">
        <v>3075</v>
      </c>
      <c r="G852" s="11" t="s">
        <v>3076</v>
      </c>
      <c r="H852" t="s">
        <v>3077</v>
      </c>
      <c r="I852" s="13">
        <v>68062737420</v>
      </c>
      <c r="J852" s="14">
        <v>961</v>
      </c>
      <c r="K852" s="14">
        <v>961</v>
      </c>
      <c r="L852" s="10" t="s">
        <v>21</v>
      </c>
      <c r="M852" s="14">
        <v>0</v>
      </c>
      <c r="N852" s="15">
        <v>0</v>
      </c>
      <c r="O852" t="str">
        <f>IFERROR(VLOOKUP($I852,CHOOSE({1,2},'[1]DIRETORES NTE'!$H$5:$H$31,'[1]DIRETORES NTE'!$E$5:$E$31,),2,0),"-")</f>
        <v>REGIVALDO ALVES DE MENEZES (DIRETOR DE NTE)</v>
      </c>
    </row>
    <row r="853" spans="1:15" x14ac:dyDescent="0.25">
      <c r="A853" s="10">
        <v>851</v>
      </c>
      <c r="B853" s="11">
        <v>10</v>
      </c>
      <c r="C853" s="11" t="s">
        <v>1322</v>
      </c>
      <c r="D853" s="11">
        <v>1179779</v>
      </c>
      <c r="E853" s="11">
        <v>29360463</v>
      </c>
      <c r="F853" s="12" t="s">
        <v>3075</v>
      </c>
      <c r="G853" s="11" t="s">
        <v>3076</v>
      </c>
      <c r="H853" t="s">
        <v>3077</v>
      </c>
      <c r="I853" s="13">
        <v>68062737420</v>
      </c>
      <c r="J853" s="14">
        <v>0</v>
      </c>
      <c r="K853" s="14">
        <v>0</v>
      </c>
      <c r="L853" s="10" t="s">
        <v>21</v>
      </c>
      <c r="M853" s="14">
        <v>0</v>
      </c>
      <c r="N853" s="15" t="e">
        <v>#DIV/0!</v>
      </c>
      <c r="O853" t="str">
        <f>IFERROR(VLOOKUP($I853,CHOOSE({1,2},'[1]DIRETORES NTE'!$H$5:$H$31,'[1]DIRETORES NTE'!$E$5:$E$31,),2,0),"-")</f>
        <v>REGIVALDO ALVES DE MENEZES (DIRETOR DE NTE)</v>
      </c>
    </row>
    <row r="854" spans="1:15" x14ac:dyDescent="0.25">
      <c r="A854" s="10">
        <v>852</v>
      </c>
      <c r="B854" s="11">
        <v>26</v>
      </c>
      <c r="C854" s="11" t="s">
        <v>95</v>
      </c>
      <c r="D854" s="11">
        <v>1103557</v>
      </c>
      <c r="E854" s="11">
        <v>29186749</v>
      </c>
      <c r="F854" s="12" t="s">
        <v>3078</v>
      </c>
      <c r="G854" s="11" t="s">
        <v>3079</v>
      </c>
      <c r="H854" t="s">
        <v>3080</v>
      </c>
      <c r="I854" s="13" t="s">
        <v>3081</v>
      </c>
      <c r="J854" s="14">
        <v>10961</v>
      </c>
      <c r="K854" s="14">
        <v>1.01</v>
      </c>
      <c r="L854" s="10" t="s">
        <v>99</v>
      </c>
      <c r="M854" s="14">
        <v>10959.99</v>
      </c>
      <c r="N854" s="15">
        <v>0.99990785512270774</v>
      </c>
      <c r="O854" t="str">
        <f>IFERROR(VLOOKUP($I854,CHOOSE({1,2},'[1]DIRETORES NTE'!$H$5:$H$31,'[1]DIRETORES NTE'!$E$5:$E$31,),2,0),"-")</f>
        <v>-</v>
      </c>
    </row>
    <row r="855" spans="1:15" x14ac:dyDescent="0.25">
      <c r="A855" s="10">
        <v>853</v>
      </c>
      <c r="B855" s="11">
        <v>2</v>
      </c>
      <c r="C855" s="11" t="s">
        <v>1488</v>
      </c>
      <c r="D855" s="11">
        <v>1176434</v>
      </c>
      <c r="E855" s="11">
        <v>29391512</v>
      </c>
      <c r="F855" s="12" t="s">
        <v>3082</v>
      </c>
      <c r="G855" s="11" t="s">
        <v>3083</v>
      </c>
      <c r="H855" t="s">
        <v>3084</v>
      </c>
      <c r="I855" s="13">
        <v>47984490597</v>
      </c>
      <c r="J855" s="14">
        <v>6669</v>
      </c>
      <c r="K855" s="14">
        <v>6669</v>
      </c>
      <c r="L855" s="10" t="s">
        <v>105</v>
      </c>
      <c r="M855" s="14">
        <v>0</v>
      </c>
      <c r="N855" s="15">
        <v>0</v>
      </c>
      <c r="O855" t="str">
        <f>IFERROR(VLOOKUP($I855,CHOOSE({1,2},'[1]DIRETORES NTE'!$H$5:$H$31,'[1]DIRETORES NTE'!$E$5:$E$31,),2,0),"-")</f>
        <v>-</v>
      </c>
    </row>
    <row r="856" spans="1:15" x14ac:dyDescent="0.25">
      <c r="A856" s="10">
        <v>854</v>
      </c>
      <c r="B856" s="11">
        <v>14</v>
      </c>
      <c r="C856" s="11" t="s">
        <v>3085</v>
      </c>
      <c r="D856" s="11">
        <v>1178398</v>
      </c>
      <c r="E856" s="11">
        <v>29980720</v>
      </c>
      <c r="F856" s="12" t="s">
        <v>3086</v>
      </c>
      <c r="G856" s="11" t="s">
        <v>3087</v>
      </c>
      <c r="H856" t="s">
        <v>3088</v>
      </c>
      <c r="I856" s="13" t="s">
        <v>3089</v>
      </c>
      <c r="J856" s="14">
        <v>10542</v>
      </c>
      <c r="K856" s="14">
        <v>10542</v>
      </c>
      <c r="L856" s="10" t="s">
        <v>147</v>
      </c>
      <c r="M856" s="14">
        <v>0</v>
      </c>
      <c r="N856" s="15">
        <v>0</v>
      </c>
      <c r="O856" t="str">
        <f>IFERROR(VLOOKUP($I856,CHOOSE({1,2},'[1]DIRETORES NTE'!$H$5:$H$31,'[1]DIRETORES NTE'!$E$5:$E$31,),2,0),"-")</f>
        <v>-</v>
      </c>
    </row>
    <row r="857" spans="1:15" x14ac:dyDescent="0.25">
      <c r="A857" s="10">
        <v>855</v>
      </c>
      <c r="B857" s="11">
        <v>10</v>
      </c>
      <c r="C857" s="11" t="s">
        <v>16</v>
      </c>
      <c r="D857" s="11">
        <v>1120524</v>
      </c>
      <c r="E857" s="11">
        <v>29025052</v>
      </c>
      <c r="F857" s="12" t="s">
        <v>3090</v>
      </c>
      <c r="G857" s="11" t="s">
        <v>3091</v>
      </c>
      <c r="H857" t="s">
        <v>3092</v>
      </c>
      <c r="I857" s="13">
        <v>91995558591</v>
      </c>
      <c r="J857" s="14">
        <v>5678</v>
      </c>
      <c r="K857" s="14">
        <v>5678</v>
      </c>
      <c r="L857" s="10" t="s">
        <v>21</v>
      </c>
      <c r="M857" s="14">
        <v>0</v>
      </c>
      <c r="N857" s="15">
        <v>0</v>
      </c>
      <c r="O857" t="str">
        <f>IFERROR(VLOOKUP($I857,CHOOSE({1,2},'[1]DIRETORES NTE'!$H$5:$H$31,'[1]DIRETORES NTE'!$E$5:$E$31,),2,0),"-")</f>
        <v>-</v>
      </c>
    </row>
    <row r="858" spans="1:15" x14ac:dyDescent="0.25">
      <c r="A858" s="10">
        <v>856</v>
      </c>
      <c r="B858" s="11">
        <v>4</v>
      </c>
      <c r="C858" s="11" t="s">
        <v>1610</v>
      </c>
      <c r="D858" s="11">
        <v>1178273</v>
      </c>
      <c r="E858" s="11">
        <v>29447763</v>
      </c>
      <c r="F858" s="12" t="s">
        <v>3093</v>
      </c>
      <c r="G858" s="11" t="s">
        <v>3094</v>
      </c>
      <c r="H858" t="s">
        <v>3095</v>
      </c>
      <c r="I858" s="13" t="s">
        <v>3096</v>
      </c>
      <c r="J858" s="14">
        <v>5330</v>
      </c>
      <c r="K858" s="14">
        <v>5330</v>
      </c>
      <c r="L858" s="10" t="s">
        <v>58</v>
      </c>
      <c r="M858" s="14">
        <v>0</v>
      </c>
      <c r="N858" s="15">
        <v>0</v>
      </c>
      <c r="O858" t="str">
        <f>IFERROR(VLOOKUP($I858,CHOOSE({1,2},'[1]DIRETORES NTE'!$H$5:$H$31,'[1]DIRETORES NTE'!$E$5:$E$31,),2,0),"-")</f>
        <v>-</v>
      </c>
    </row>
    <row r="859" spans="1:15" x14ac:dyDescent="0.25">
      <c r="A859" s="10">
        <v>857</v>
      </c>
      <c r="B859" s="11">
        <v>4</v>
      </c>
      <c r="C859" s="11" t="s">
        <v>3097</v>
      </c>
      <c r="D859" s="11">
        <v>1115997</v>
      </c>
      <c r="E859" s="11">
        <v>29142229</v>
      </c>
      <c r="F859" s="12" t="s">
        <v>3098</v>
      </c>
      <c r="G859" s="11" t="s">
        <v>3099</v>
      </c>
      <c r="H859" t="s">
        <v>3100</v>
      </c>
      <c r="I859" s="13">
        <v>81351135520</v>
      </c>
      <c r="J859" s="14">
        <v>13008</v>
      </c>
      <c r="K859" s="14">
        <v>13008</v>
      </c>
      <c r="L859" s="10" t="s">
        <v>58</v>
      </c>
      <c r="M859" s="14">
        <v>0</v>
      </c>
      <c r="N859" s="15">
        <v>0</v>
      </c>
      <c r="O859" t="str">
        <f>IFERROR(VLOOKUP($I859,CHOOSE({1,2},'[1]DIRETORES NTE'!$H$5:$H$31,'[1]DIRETORES NTE'!$E$5:$E$31,),2,0),"-")</f>
        <v>-</v>
      </c>
    </row>
    <row r="860" spans="1:15" x14ac:dyDescent="0.25">
      <c r="A860" s="10">
        <v>858</v>
      </c>
      <c r="B860" s="11">
        <v>26</v>
      </c>
      <c r="C860" s="11" t="s">
        <v>95</v>
      </c>
      <c r="D860" s="11">
        <v>1142463</v>
      </c>
      <c r="E860" s="11">
        <v>29191335</v>
      </c>
      <c r="F860" s="12" t="s">
        <v>3101</v>
      </c>
      <c r="G860" s="11" t="s">
        <v>3102</v>
      </c>
      <c r="H860" t="s">
        <v>3103</v>
      </c>
      <c r="I860" s="13">
        <v>67299636549</v>
      </c>
      <c r="J860" s="14">
        <v>7631</v>
      </c>
      <c r="K860" s="14">
        <v>7631</v>
      </c>
      <c r="L860" s="10" t="s">
        <v>99</v>
      </c>
      <c r="M860" s="14">
        <v>0</v>
      </c>
      <c r="N860" s="15">
        <v>0</v>
      </c>
      <c r="O860" t="str">
        <f>IFERROR(VLOOKUP($I860,CHOOSE({1,2},'[1]DIRETORES NTE'!$H$5:$H$31,'[1]DIRETORES NTE'!$E$5:$E$31,),2,0),"-")</f>
        <v>-</v>
      </c>
    </row>
    <row r="861" spans="1:15" x14ac:dyDescent="0.25">
      <c r="A861" s="10">
        <v>859</v>
      </c>
      <c r="B861" s="11">
        <v>26</v>
      </c>
      <c r="C861" s="11" t="s">
        <v>95</v>
      </c>
      <c r="D861" s="11">
        <v>1103441</v>
      </c>
      <c r="E861" s="11">
        <v>29199182</v>
      </c>
      <c r="F861" s="12" t="s">
        <v>3104</v>
      </c>
      <c r="G861" s="11" t="s">
        <v>3105</v>
      </c>
      <c r="H861" t="s">
        <v>3106</v>
      </c>
      <c r="I861" s="13">
        <v>51458748553</v>
      </c>
      <c r="J861" s="14">
        <v>11261</v>
      </c>
      <c r="K861" s="14">
        <v>11261</v>
      </c>
      <c r="L861" s="10" t="s">
        <v>99</v>
      </c>
      <c r="M861" s="14">
        <v>0</v>
      </c>
      <c r="N861" s="15">
        <v>0</v>
      </c>
      <c r="O861" t="str">
        <f>IFERROR(VLOOKUP($I861,CHOOSE({1,2},'[1]DIRETORES NTE'!$H$5:$H$31,'[1]DIRETORES NTE'!$E$5:$E$31,),2,0),"-")</f>
        <v>-</v>
      </c>
    </row>
    <row r="862" spans="1:15" x14ac:dyDescent="0.25">
      <c r="A862" s="10">
        <v>860</v>
      </c>
      <c r="B862" s="11">
        <v>18</v>
      </c>
      <c r="C862" s="11" t="s">
        <v>548</v>
      </c>
      <c r="D862" s="11">
        <v>1108648</v>
      </c>
      <c r="E862" s="11">
        <v>29158605</v>
      </c>
      <c r="F862" s="12" t="s">
        <v>3107</v>
      </c>
      <c r="G862" s="11" t="s">
        <v>3108</v>
      </c>
      <c r="H862" t="s">
        <v>3109</v>
      </c>
      <c r="I862" s="13">
        <v>96394730572</v>
      </c>
      <c r="J862" s="14">
        <v>19118</v>
      </c>
      <c r="K862" s="14">
        <v>8</v>
      </c>
      <c r="L862" s="10" t="s">
        <v>68</v>
      </c>
      <c r="M862" s="14">
        <v>19110</v>
      </c>
      <c r="N862" s="15">
        <v>0.99958154618683959</v>
      </c>
      <c r="O862" t="str">
        <f>IFERROR(VLOOKUP($I862,CHOOSE({1,2},'[1]DIRETORES NTE'!$H$5:$H$31,'[1]DIRETORES NTE'!$E$5:$E$31,),2,0),"-")</f>
        <v>-</v>
      </c>
    </row>
    <row r="863" spans="1:15" x14ac:dyDescent="0.25">
      <c r="A863" s="10">
        <v>861</v>
      </c>
      <c r="B863" s="11">
        <v>26</v>
      </c>
      <c r="C863" s="11" t="s">
        <v>712</v>
      </c>
      <c r="D863" s="11">
        <v>1178445</v>
      </c>
      <c r="E863" s="11">
        <v>29448018</v>
      </c>
      <c r="F863" s="12" t="s">
        <v>3110</v>
      </c>
      <c r="G863" s="11" t="s">
        <v>3111</v>
      </c>
      <c r="H863" t="s">
        <v>3112</v>
      </c>
      <c r="I863" s="13">
        <v>78087260520</v>
      </c>
      <c r="J863" s="14">
        <v>16881</v>
      </c>
      <c r="K863" s="14">
        <v>0.8</v>
      </c>
      <c r="L863" s="10" t="s">
        <v>99</v>
      </c>
      <c r="M863" s="14">
        <v>16880.2</v>
      </c>
      <c r="N863" s="15">
        <v>0.99995260944256859</v>
      </c>
      <c r="O863" t="str">
        <f>IFERROR(VLOOKUP($I863,CHOOSE({1,2},'[1]DIRETORES NTE'!$H$5:$H$31,'[1]DIRETORES NTE'!$E$5:$E$31,),2,0),"-")</f>
        <v>-</v>
      </c>
    </row>
    <row r="864" spans="1:15" x14ac:dyDescent="0.25">
      <c r="A864" s="10">
        <v>862</v>
      </c>
      <c r="B864" s="11">
        <v>26</v>
      </c>
      <c r="C864" s="11" t="s">
        <v>95</v>
      </c>
      <c r="D864" s="11">
        <v>1173946</v>
      </c>
      <c r="E864" s="11">
        <v>29182131</v>
      </c>
      <c r="F864" s="12" t="s">
        <v>3113</v>
      </c>
      <c r="G864" s="11" t="s">
        <v>3114</v>
      </c>
      <c r="H864" t="s">
        <v>3115</v>
      </c>
      <c r="I864" s="13">
        <v>94604231591</v>
      </c>
      <c r="J864" s="14">
        <v>8477</v>
      </c>
      <c r="K864" s="14">
        <v>8477</v>
      </c>
      <c r="L864" s="10" t="s">
        <v>99</v>
      </c>
      <c r="M864" s="14">
        <v>0</v>
      </c>
      <c r="N864" s="15">
        <v>0</v>
      </c>
      <c r="O864" t="str">
        <f>IFERROR(VLOOKUP($I864,CHOOSE({1,2},'[1]DIRETORES NTE'!$H$5:$H$31,'[1]DIRETORES NTE'!$E$5:$E$31,),2,0),"-")</f>
        <v>-</v>
      </c>
    </row>
    <row r="865" spans="1:15" x14ac:dyDescent="0.25">
      <c r="A865" s="10">
        <v>863</v>
      </c>
      <c r="B865" s="11">
        <v>26</v>
      </c>
      <c r="C865" s="11" t="s">
        <v>95</v>
      </c>
      <c r="D865" s="11">
        <v>1173946</v>
      </c>
      <c r="E865" s="11">
        <v>29182131</v>
      </c>
      <c r="F865" s="12" t="s">
        <v>3113</v>
      </c>
      <c r="G865" s="11" t="s">
        <v>3114</v>
      </c>
      <c r="H865" t="s">
        <v>3115</v>
      </c>
      <c r="I865" s="13">
        <v>94604231591</v>
      </c>
      <c r="J865" s="14">
        <v>0</v>
      </c>
      <c r="K865" s="14">
        <v>0</v>
      </c>
      <c r="L865" s="10" t="s">
        <v>99</v>
      </c>
      <c r="M865" s="14">
        <v>0</v>
      </c>
      <c r="N865" s="15" t="e">
        <v>#DIV/0!</v>
      </c>
      <c r="O865" t="str">
        <f>IFERROR(VLOOKUP($I865,CHOOSE({1,2},'[1]DIRETORES NTE'!$H$5:$H$31,'[1]DIRETORES NTE'!$E$5:$E$31,),2,0),"-")</f>
        <v>-</v>
      </c>
    </row>
    <row r="866" spans="1:15" x14ac:dyDescent="0.25">
      <c r="A866" s="10">
        <v>864</v>
      </c>
      <c r="B866" s="11">
        <v>15</v>
      </c>
      <c r="C866" s="11" t="s">
        <v>2871</v>
      </c>
      <c r="D866" s="11">
        <v>1179806</v>
      </c>
      <c r="E866" s="11">
        <v>44316</v>
      </c>
      <c r="F866" s="12" t="s">
        <v>3116</v>
      </c>
      <c r="G866" s="11" t="s">
        <v>3117</v>
      </c>
      <c r="H866" t="s">
        <v>3118</v>
      </c>
      <c r="I866" s="13" t="s">
        <v>3119</v>
      </c>
      <c r="J866" s="14">
        <v>1776</v>
      </c>
      <c r="K866" s="14">
        <v>1776</v>
      </c>
      <c r="L866" s="10" t="s">
        <v>280</v>
      </c>
      <c r="M866" s="14">
        <v>0</v>
      </c>
      <c r="N866" s="15">
        <v>0</v>
      </c>
      <c r="O866" t="str">
        <f>IFERROR(VLOOKUP($I866,CHOOSE({1,2},'[1]DIRETORES NTE'!$H$5:$H$31,'[1]DIRETORES NTE'!$E$5:$E$31,),2,0),"-")</f>
        <v>-</v>
      </c>
    </row>
    <row r="867" spans="1:15" x14ac:dyDescent="0.25">
      <c r="A867" s="10">
        <v>865</v>
      </c>
      <c r="B867" s="11">
        <v>22</v>
      </c>
      <c r="C867" s="11" t="s">
        <v>889</v>
      </c>
      <c r="D867" s="11">
        <v>1177092</v>
      </c>
      <c r="E867" s="11">
        <v>29416604</v>
      </c>
      <c r="F867" s="12" t="s">
        <v>2954</v>
      </c>
      <c r="G867" s="11" t="s">
        <v>3120</v>
      </c>
      <c r="H867" t="s">
        <v>3121</v>
      </c>
      <c r="I867" s="13">
        <v>67418686587</v>
      </c>
      <c r="J867" s="14">
        <v>11235</v>
      </c>
      <c r="K867" s="14">
        <v>1656</v>
      </c>
      <c r="L867" s="10" t="s">
        <v>200</v>
      </c>
      <c r="M867" s="14">
        <v>9579</v>
      </c>
      <c r="N867" s="15">
        <v>0.85260347129506009</v>
      </c>
      <c r="O867" t="str">
        <f>IFERROR(VLOOKUP($I867,CHOOSE({1,2},'[1]DIRETORES NTE'!$H$5:$H$31,'[1]DIRETORES NTE'!$E$5:$E$31,),2,0),"-")</f>
        <v>-</v>
      </c>
    </row>
    <row r="868" spans="1:15" x14ac:dyDescent="0.25">
      <c r="A868" s="10">
        <v>866</v>
      </c>
      <c r="B868" s="11">
        <v>26</v>
      </c>
      <c r="C868" s="11" t="s">
        <v>95</v>
      </c>
      <c r="D868" s="11">
        <v>1102364</v>
      </c>
      <c r="E868" s="11">
        <v>29188768</v>
      </c>
      <c r="F868" s="12" t="s">
        <v>3122</v>
      </c>
      <c r="G868" s="11" t="s">
        <v>3123</v>
      </c>
      <c r="H868" t="s">
        <v>3124</v>
      </c>
      <c r="I868" s="13">
        <v>47932279534</v>
      </c>
      <c r="J868" s="14">
        <v>6722</v>
      </c>
      <c r="K868" s="14">
        <v>6722</v>
      </c>
      <c r="L868" s="10" t="s">
        <v>99</v>
      </c>
      <c r="M868" s="14">
        <v>0</v>
      </c>
      <c r="N868" s="15">
        <v>0</v>
      </c>
      <c r="O868" t="str">
        <f>IFERROR(VLOOKUP($I868,CHOOSE({1,2},'[1]DIRETORES NTE'!$H$5:$H$31,'[1]DIRETORES NTE'!$E$5:$E$31,),2,0),"-")</f>
        <v>-</v>
      </c>
    </row>
    <row r="869" spans="1:15" x14ac:dyDescent="0.25">
      <c r="A869" s="10">
        <v>867</v>
      </c>
      <c r="B869" s="11">
        <v>19</v>
      </c>
      <c r="C869" s="11" t="s">
        <v>331</v>
      </c>
      <c r="D869" s="11">
        <v>1179769</v>
      </c>
      <c r="E869" s="11">
        <v>29095158</v>
      </c>
      <c r="F869" s="12" t="s">
        <v>3125</v>
      </c>
      <c r="G869" s="11" t="s">
        <v>3126</v>
      </c>
      <c r="H869" t="s">
        <v>3127</v>
      </c>
      <c r="I869" s="13">
        <v>12260185568</v>
      </c>
      <c r="J869" s="14">
        <v>13171</v>
      </c>
      <c r="K869" s="14">
        <v>5.43</v>
      </c>
      <c r="L869" s="10" t="s">
        <v>336</v>
      </c>
      <c r="M869" s="14">
        <v>13165.57</v>
      </c>
      <c r="N869" s="15">
        <v>0.99958773062030215</v>
      </c>
      <c r="O869" t="str">
        <f>IFERROR(VLOOKUP($I869,CHOOSE({1,2},'[1]DIRETORES NTE'!$H$5:$H$31,'[1]DIRETORES NTE'!$E$5:$E$31,),2,0),"-")</f>
        <v>-</v>
      </c>
    </row>
    <row r="870" spans="1:15" x14ac:dyDescent="0.25">
      <c r="A870" s="10">
        <v>868</v>
      </c>
      <c r="B870" s="11">
        <v>21</v>
      </c>
      <c r="C870" s="11" t="s">
        <v>3128</v>
      </c>
      <c r="D870" s="11">
        <v>1134029</v>
      </c>
      <c r="E870" s="11">
        <v>29166314</v>
      </c>
      <c r="F870" s="12" t="s">
        <v>3129</v>
      </c>
      <c r="G870" s="11" t="s">
        <v>3130</v>
      </c>
      <c r="H870" t="s">
        <v>3131</v>
      </c>
      <c r="I870" s="13">
        <v>63445964572</v>
      </c>
      <c r="J870" s="14">
        <v>17300</v>
      </c>
      <c r="K870" s="14">
        <v>17300</v>
      </c>
      <c r="L870" s="10" t="s">
        <v>63</v>
      </c>
      <c r="M870" s="14">
        <v>0</v>
      </c>
      <c r="N870" s="15">
        <v>0</v>
      </c>
      <c r="O870" t="str">
        <f>IFERROR(VLOOKUP($I870,CHOOSE({1,2},'[1]DIRETORES NTE'!$H$5:$H$31,'[1]DIRETORES NTE'!$E$5:$E$31,),2,0),"-")</f>
        <v>-</v>
      </c>
    </row>
    <row r="871" spans="1:15" x14ac:dyDescent="0.25">
      <c r="A871" s="10">
        <v>869</v>
      </c>
      <c r="B871" s="11">
        <v>20</v>
      </c>
      <c r="C871" s="11" t="s">
        <v>3132</v>
      </c>
      <c r="D871" s="11">
        <v>1124996</v>
      </c>
      <c r="E871" s="11">
        <v>29275474</v>
      </c>
      <c r="F871" s="12" t="s">
        <v>3133</v>
      </c>
      <c r="G871" s="11" t="s">
        <v>3134</v>
      </c>
      <c r="H871" t="s">
        <v>3135</v>
      </c>
      <c r="I871" s="13">
        <v>26305070504</v>
      </c>
      <c r="J871" s="14">
        <v>16482</v>
      </c>
      <c r="K871" s="14">
        <v>16482</v>
      </c>
      <c r="L871" s="10" t="s">
        <v>27</v>
      </c>
      <c r="M871" s="14">
        <v>0</v>
      </c>
      <c r="N871" s="15">
        <v>0</v>
      </c>
      <c r="O871" t="str">
        <f>IFERROR(VLOOKUP($I871,CHOOSE({1,2},'[1]DIRETORES NTE'!$H$5:$H$31,'[1]DIRETORES NTE'!$E$5:$E$31,),2,0),"-")</f>
        <v>-</v>
      </c>
    </row>
    <row r="872" spans="1:15" x14ac:dyDescent="0.25">
      <c r="A872" s="10">
        <v>870</v>
      </c>
      <c r="B872" s="11">
        <v>19</v>
      </c>
      <c r="C872" s="11" t="s">
        <v>331</v>
      </c>
      <c r="D872" s="11">
        <v>1178101</v>
      </c>
      <c r="E872" s="11">
        <v>29436842</v>
      </c>
      <c r="F872" s="12" t="s">
        <v>3136</v>
      </c>
      <c r="G872" s="11" t="s">
        <v>3137</v>
      </c>
      <c r="H872" t="s">
        <v>3138</v>
      </c>
      <c r="I872" s="13">
        <v>30877555591</v>
      </c>
      <c r="J872" s="14">
        <v>6651</v>
      </c>
      <c r="K872" s="14">
        <v>10.33</v>
      </c>
      <c r="L872" s="10" t="s">
        <v>336</v>
      </c>
      <c r="M872" s="14">
        <v>6640.67</v>
      </c>
      <c r="N872" s="15">
        <v>0.99844685009772971</v>
      </c>
      <c r="O872" t="str">
        <f>IFERROR(VLOOKUP($I872,CHOOSE({1,2},'[1]DIRETORES NTE'!$H$5:$H$31,'[1]DIRETORES NTE'!$E$5:$E$31,),2,0),"-")</f>
        <v>-</v>
      </c>
    </row>
    <row r="873" spans="1:15" x14ac:dyDescent="0.25">
      <c r="A873" s="10">
        <v>871</v>
      </c>
      <c r="B873" s="11">
        <v>4</v>
      </c>
      <c r="C873" s="11" t="s">
        <v>171</v>
      </c>
      <c r="D873" s="11">
        <v>1115865</v>
      </c>
      <c r="E873" s="11">
        <v>29137853</v>
      </c>
      <c r="F873" s="12" t="s">
        <v>3139</v>
      </c>
      <c r="G873" s="11" t="s">
        <v>3140</v>
      </c>
      <c r="H873" t="s">
        <v>3141</v>
      </c>
      <c r="I873" s="13" t="s">
        <v>3142</v>
      </c>
      <c r="J873" s="14">
        <v>22431</v>
      </c>
      <c r="K873" s="14">
        <v>22431</v>
      </c>
      <c r="L873" s="10" t="s">
        <v>58</v>
      </c>
      <c r="M873" s="14">
        <v>0</v>
      </c>
      <c r="N873" s="15">
        <v>0</v>
      </c>
      <c r="O873" t="str">
        <f>IFERROR(VLOOKUP($I873,CHOOSE({1,2},'[1]DIRETORES NTE'!$H$5:$H$31,'[1]DIRETORES NTE'!$E$5:$E$31,),2,0),"-")</f>
        <v>-</v>
      </c>
    </row>
    <row r="874" spans="1:15" x14ac:dyDescent="0.25">
      <c r="A874" s="10">
        <v>872</v>
      </c>
      <c r="B874" s="11">
        <v>19</v>
      </c>
      <c r="C874" s="11" t="s">
        <v>331</v>
      </c>
      <c r="D874" s="11">
        <v>1179826</v>
      </c>
      <c r="E874" s="11">
        <v>44449</v>
      </c>
      <c r="F874" s="12" t="s">
        <v>3143</v>
      </c>
      <c r="G874" s="11" t="s">
        <v>1736</v>
      </c>
      <c r="H874" t="s">
        <v>3144</v>
      </c>
      <c r="I874" s="13">
        <v>98402650597</v>
      </c>
      <c r="J874" s="14">
        <v>0</v>
      </c>
      <c r="K874" s="14">
        <v>0</v>
      </c>
      <c r="L874" s="10" t="s">
        <v>336</v>
      </c>
      <c r="M874" s="14">
        <v>0</v>
      </c>
      <c r="N874" s="15" t="e">
        <v>#DIV/0!</v>
      </c>
      <c r="O874" t="str">
        <f>IFERROR(VLOOKUP($I874,CHOOSE({1,2},'[1]DIRETORES NTE'!$H$5:$H$31,'[1]DIRETORES NTE'!$E$5:$E$31,),2,0),"-")</f>
        <v>-</v>
      </c>
    </row>
    <row r="875" spans="1:15" x14ac:dyDescent="0.25">
      <c r="A875" s="10">
        <v>873</v>
      </c>
      <c r="B875" s="11">
        <v>26</v>
      </c>
      <c r="C875" s="11" t="s">
        <v>95</v>
      </c>
      <c r="D875" s="11">
        <v>1176420</v>
      </c>
      <c r="E875" s="11">
        <v>29386632</v>
      </c>
      <c r="F875" s="12" t="s">
        <v>3145</v>
      </c>
      <c r="G875" s="11" t="s">
        <v>3146</v>
      </c>
      <c r="H875" t="s">
        <v>3147</v>
      </c>
      <c r="I875" s="13">
        <v>58646841553</v>
      </c>
      <c r="J875" s="14">
        <v>4026</v>
      </c>
      <c r="K875" s="14">
        <v>4026</v>
      </c>
      <c r="L875" s="10" t="s">
        <v>99</v>
      </c>
      <c r="M875" s="14">
        <v>0</v>
      </c>
      <c r="N875" s="15">
        <v>0</v>
      </c>
      <c r="O875" t="str">
        <f>IFERROR(VLOOKUP($I875,CHOOSE({1,2},'[1]DIRETORES NTE'!$H$5:$H$31,'[1]DIRETORES NTE'!$E$5:$E$31,),2,0),"-")</f>
        <v>-</v>
      </c>
    </row>
    <row r="876" spans="1:15" x14ac:dyDescent="0.25">
      <c r="A876" s="10">
        <v>874</v>
      </c>
      <c r="B876" s="11">
        <v>10</v>
      </c>
      <c r="C876" s="11" t="s">
        <v>16</v>
      </c>
      <c r="D876" s="11">
        <v>1160950</v>
      </c>
      <c r="E876" s="11">
        <v>29024846</v>
      </c>
      <c r="F876" s="12" t="s">
        <v>3148</v>
      </c>
      <c r="G876" s="11" t="s">
        <v>3149</v>
      </c>
      <c r="H876" t="s">
        <v>3150</v>
      </c>
      <c r="I876" s="13">
        <v>34006249420</v>
      </c>
      <c r="J876" s="14">
        <v>7509</v>
      </c>
      <c r="K876" s="14">
        <v>7509</v>
      </c>
      <c r="L876" s="10" t="s">
        <v>21</v>
      </c>
      <c r="M876" s="14">
        <v>0</v>
      </c>
      <c r="N876" s="15">
        <v>0</v>
      </c>
      <c r="O876" t="str">
        <f>IFERROR(VLOOKUP($I876,CHOOSE({1,2},'[1]DIRETORES NTE'!$H$5:$H$31,'[1]DIRETORES NTE'!$E$5:$E$31,),2,0),"-")</f>
        <v>-</v>
      </c>
    </row>
    <row r="877" spans="1:15" x14ac:dyDescent="0.25">
      <c r="A877" s="10">
        <v>875</v>
      </c>
      <c r="B877" s="11">
        <v>26</v>
      </c>
      <c r="C877" s="11" t="s">
        <v>305</v>
      </c>
      <c r="D877" s="11">
        <v>1176410</v>
      </c>
      <c r="E877" s="11">
        <v>29383234</v>
      </c>
      <c r="F877" s="12" t="s">
        <v>3151</v>
      </c>
      <c r="G877" s="11" t="s">
        <v>3152</v>
      </c>
      <c r="H877" t="s">
        <v>3153</v>
      </c>
      <c r="I877" s="13">
        <v>44917368553</v>
      </c>
      <c r="J877" s="14">
        <v>17922</v>
      </c>
      <c r="K877" s="14">
        <v>17922</v>
      </c>
      <c r="L877" s="10" t="s">
        <v>99</v>
      </c>
      <c r="M877" s="14">
        <v>0</v>
      </c>
      <c r="N877" s="15">
        <v>0</v>
      </c>
      <c r="O877" t="str">
        <f>IFERROR(VLOOKUP($I877,CHOOSE({1,2},'[1]DIRETORES NTE'!$H$5:$H$31,'[1]DIRETORES NTE'!$E$5:$E$31,),2,0),"-")</f>
        <v>-</v>
      </c>
    </row>
    <row r="878" spans="1:15" x14ac:dyDescent="0.25">
      <c r="A878" s="10">
        <v>876</v>
      </c>
      <c r="B878" s="11">
        <v>9</v>
      </c>
      <c r="C878" s="11" t="s">
        <v>3154</v>
      </c>
      <c r="D878" s="11">
        <v>1166877</v>
      </c>
      <c r="E878" s="11">
        <v>29234913</v>
      </c>
      <c r="F878" s="12" t="s">
        <v>3155</v>
      </c>
      <c r="G878" s="11" t="s">
        <v>3156</v>
      </c>
      <c r="H878" t="s">
        <v>3157</v>
      </c>
      <c r="I878" s="13">
        <v>86230104504</v>
      </c>
      <c r="J878" s="14">
        <v>5683</v>
      </c>
      <c r="K878" s="14">
        <v>5683</v>
      </c>
      <c r="L878" s="10" t="s">
        <v>167</v>
      </c>
      <c r="M878" s="14">
        <v>0</v>
      </c>
      <c r="N878" s="15">
        <v>0</v>
      </c>
      <c r="O878" t="str">
        <f>IFERROR(VLOOKUP($I878,CHOOSE({1,2},'[1]DIRETORES NTE'!$H$5:$H$31,'[1]DIRETORES NTE'!$E$5:$E$31,),2,0),"-")</f>
        <v>-</v>
      </c>
    </row>
    <row r="879" spans="1:15" x14ac:dyDescent="0.25">
      <c r="A879" s="10">
        <v>877</v>
      </c>
      <c r="B879" s="11">
        <v>26</v>
      </c>
      <c r="C879" s="11" t="s">
        <v>95</v>
      </c>
      <c r="D879" s="11">
        <v>1102046</v>
      </c>
      <c r="E879" s="11">
        <v>29182190</v>
      </c>
      <c r="F879" s="12" t="s">
        <v>3158</v>
      </c>
      <c r="G879" s="11" t="s">
        <v>3159</v>
      </c>
      <c r="H879" t="s">
        <v>3160</v>
      </c>
      <c r="I879" s="13">
        <v>44996675500</v>
      </c>
      <c r="J879" s="14">
        <v>10511</v>
      </c>
      <c r="K879" s="14">
        <v>10511</v>
      </c>
      <c r="L879" s="10" t="s">
        <v>99</v>
      </c>
      <c r="M879" s="14">
        <v>0</v>
      </c>
      <c r="N879" s="15">
        <v>0</v>
      </c>
      <c r="O879" t="str">
        <f>IFERROR(VLOOKUP($I879,CHOOSE({1,2},'[1]DIRETORES NTE'!$H$5:$H$31,'[1]DIRETORES NTE'!$E$5:$E$31,),2,0),"-")</f>
        <v>-</v>
      </c>
    </row>
    <row r="880" spans="1:15" x14ac:dyDescent="0.25">
      <c r="A880" s="10">
        <v>878</v>
      </c>
      <c r="B880" s="11">
        <v>26</v>
      </c>
      <c r="C880" s="11" t="s">
        <v>95</v>
      </c>
      <c r="D880" s="11">
        <v>1176095</v>
      </c>
      <c r="E880" s="11">
        <v>29336473</v>
      </c>
      <c r="F880" s="12" t="s">
        <v>3161</v>
      </c>
      <c r="G880" s="11" t="s">
        <v>3162</v>
      </c>
      <c r="H880" t="s">
        <v>3163</v>
      </c>
      <c r="I880" s="13">
        <v>31650236549</v>
      </c>
      <c r="J880" s="14">
        <v>10340</v>
      </c>
      <c r="K880" s="14">
        <v>679.24</v>
      </c>
      <c r="L880" s="10" t="s">
        <v>99</v>
      </c>
      <c r="M880" s="14">
        <v>9660.76</v>
      </c>
      <c r="N880" s="15">
        <v>0.93430947775628626</v>
      </c>
      <c r="O880" t="str">
        <f>IFERROR(VLOOKUP($I880,CHOOSE({1,2},'[1]DIRETORES NTE'!$H$5:$H$31,'[1]DIRETORES NTE'!$E$5:$E$31,),2,0),"-")</f>
        <v>-</v>
      </c>
    </row>
    <row r="881" spans="1:15" x14ac:dyDescent="0.25">
      <c r="A881" s="10">
        <v>879</v>
      </c>
      <c r="B881" s="11">
        <v>18</v>
      </c>
      <c r="C881" s="11" t="s">
        <v>3164</v>
      </c>
      <c r="D881" s="11">
        <v>1108141</v>
      </c>
      <c r="E881" s="11">
        <v>29157536</v>
      </c>
      <c r="F881" s="12" t="s">
        <v>1593</v>
      </c>
      <c r="G881" s="11" t="s">
        <v>3165</v>
      </c>
      <c r="H881" t="s">
        <v>3166</v>
      </c>
      <c r="I881" s="13">
        <v>54422965549</v>
      </c>
      <c r="J881" s="14">
        <v>4124</v>
      </c>
      <c r="K881" s="14">
        <v>4124</v>
      </c>
      <c r="L881" s="10" t="s">
        <v>68</v>
      </c>
      <c r="M881" s="14">
        <v>0</v>
      </c>
      <c r="N881" s="15">
        <v>0</v>
      </c>
      <c r="O881" t="str">
        <f>IFERROR(VLOOKUP($I881,CHOOSE({1,2},'[1]DIRETORES NTE'!$H$5:$H$31,'[1]DIRETORES NTE'!$E$5:$E$31,),2,0),"-")</f>
        <v>-</v>
      </c>
    </row>
    <row r="882" spans="1:15" x14ac:dyDescent="0.25">
      <c r="A882" s="10">
        <v>880</v>
      </c>
      <c r="B882" s="11">
        <v>26</v>
      </c>
      <c r="C882" s="11" t="s">
        <v>95</v>
      </c>
      <c r="D882" s="11">
        <v>1172320</v>
      </c>
      <c r="E882" s="11">
        <v>29192242</v>
      </c>
      <c r="F882" s="12" t="s">
        <v>3167</v>
      </c>
      <c r="G882" s="11" t="s">
        <v>3168</v>
      </c>
      <c r="H882" t="s">
        <v>3169</v>
      </c>
      <c r="I882" s="13">
        <v>78369240500</v>
      </c>
      <c r="J882" s="14">
        <v>3934</v>
      </c>
      <c r="K882" s="14">
        <v>0</v>
      </c>
      <c r="L882" s="10" t="s">
        <v>99</v>
      </c>
      <c r="M882" s="14">
        <v>3934</v>
      </c>
      <c r="N882" s="15">
        <v>1</v>
      </c>
      <c r="O882" t="str">
        <f>IFERROR(VLOOKUP($I882,CHOOSE({1,2},'[1]DIRETORES NTE'!$H$5:$H$31,'[1]DIRETORES NTE'!$E$5:$E$31,),2,0),"-")</f>
        <v>-</v>
      </c>
    </row>
    <row r="883" spans="1:15" x14ac:dyDescent="0.25">
      <c r="A883" s="10">
        <v>881</v>
      </c>
      <c r="B883" s="11">
        <v>20</v>
      </c>
      <c r="C883" s="11" t="s">
        <v>3170</v>
      </c>
      <c r="D883" s="11">
        <v>1125186</v>
      </c>
      <c r="E883" s="11">
        <v>29276411</v>
      </c>
      <c r="F883" s="12" t="s">
        <v>3171</v>
      </c>
      <c r="G883" s="11" t="s">
        <v>3172</v>
      </c>
      <c r="H883" t="s">
        <v>3173</v>
      </c>
      <c r="I883" s="13">
        <v>79694454549</v>
      </c>
      <c r="J883" s="14">
        <v>32008</v>
      </c>
      <c r="K883" s="14">
        <v>32008</v>
      </c>
      <c r="L883" s="10" t="s">
        <v>27</v>
      </c>
      <c r="M883" s="14">
        <v>0</v>
      </c>
      <c r="N883" s="15">
        <v>0</v>
      </c>
      <c r="O883" t="str">
        <f>IFERROR(VLOOKUP($I883,CHOOSE({1,2},'[1]DIRETORES NTE'!$H$5:$H$31,'[1]DIRETORES NTE'!$E$5:$E$31,),2,0),"-")</f>
        <v>-</v>
      </c>
    </row>
    <row r="884" spans="1:15" x14ac:dyDescent="0.25">
      <c r="A884" s="10">
        <v>882</v>
      </c>
      <c r="B884" s="11">
        <v>26</v>
      </c>
      <c r="C884" s="11" t="s">
        <v>95</v>
      </c>
      <c r="D884" s="11">
        <v>1100957</v>
      </c>
      <c r="E884" s="11">
        <v>29190916</v>
      </c>
      <c r="F884" s="12" t="s">
        <v>3174</v>
      </c>
      <c r="G884" s="11" t="s">
        <v>3175</v>
      </c>
      <c r="H884" t="s">
        <v>3176</v>
      </c>
      <c r="I884" s="13">
        <v>69799210534</v>
      </c>
      <c r="J884" s="14">
        <v>6191</v>
      </c>
      <c r="K884" s="14">
        <v>6191</v>
      </c>
      <c r="L884" s="10" t="s">
        <v>99</v>
      </c>
      <c r="M884" s="14">
        <v>0</v>
      </c>
      <c r="N884" s="15">
        <v>0</v>
      </c>
      <c r="O884" t="str">
        <f>IFERROR(VLOOKUP($I884,CHOOSE({1,2},'[1]DIRETORES NTE'!$H$5:$H$31,'[1]DIRETORES NTE'!$E$5:$E$31,),2,0),"-")</f>
        <v>-</v>
      </c>
    </row>
    <row r="885" spans="1:15" x14ac:dyDescent="0.25">
      <c r="A885" s="10">
        <v>883</v>
      </c>
      <c r="B885" s="11">
        <v>20</v>
      </c>
      <c r="C885" s="11" t="s">
        <v>2343</v>
      </c>
      <c r="D885" s="11">
        <v>1178404</v>
      </c>
      <c r="E885" s="11">
        <v>29395860</v>
      </c>
      <c r="F885" s="12" t="s">
        <v>3177</v>
      </c>
      <c r="G885" s="11" t="s">
        <v>3178</v>
      </c>
      <c r="H885" t="s">
        <v>3179</v>
      </c>
      <c r="I885" s="13" t="s">
        <v>3180</v>
      </c>
      <c r="J885" s="14">
        <v>5105</v>
      </c>
      <c r="K885" s="14">
        <v>5105</v>
      </c>
      <c r="L885" s="10" t="s">
        <v>27</v>
      </c>
      <c r="M885" s="14">
        <v>0</v>
      </c>
      <c r="N885" s="15">
        <v>0</v>
      </c>
      <c r="O885" t="str">
        <f>IFERROR(VLOOKUP($I885,CHOOSE({1,2},'[1]DIRETORES NTE'!$H$5:$H$31,'[1]DIRETORES NTE'!$E$5:$E$31,),2,0),"-")</f>
        <v>-</v>
      </c>
    </row>
    <row r="886" spans="1:15" x14ac:dyDescent="0.25">
      <c r="A886" s="10">
        <v>884</v>
      </c>
      <c r="B886" s="11" t="s">
        <v>237</v>
      </c>
      <c r="C886" s="11" t="s">
        <v>237</v>
      </c>
      <c r="D886" s="11" t="s">
        <v>237</v>
      </c>
      <c r="E886" s="11" t="s">
        <v>237</v>
      </c>
      <c r="F886" s="12" t="s">
        <v>237</v>
      </c>
      <c r="G886" s="11" t="s">
        <v>237</v>
      </c>
      <c r="H886" t="s">
        <v>3181</v>
      </c>
      <c r="I886" s="13">
        <v>98793012500</v>
      </c>
      <c r="J886" s="14">
        <v>0</v>
      </c>
      <c r="K886" s="14">
        <v>0</v>
      </c>
      <c r="L886" s="10" t="s">
        <v>373</v>
      </c>
      <c r="M886" s="14">
        <v>0</v>
      </c>
      <c r="N886" s="15" t="e">
        <v>#DIV/0!</v>
      </c>
      <c r="O886" t="str">
        <f>IFERROR(VLOOKUP($I886,CHOOSE({1,2},'[1]DIRETORES NTE'!$H$5:$H$31,'[1]DIRETORES NTE'!$E$5:$E$31,),2,0),"-")</f>
        <v>-</v>
      </c>
    </row>
    <row r="887" spans="1:15" x14ac:dyDescent="0.25">
      <c r="A887" s="10">
        <v>885</v>
      </c>
      <c r="B887" s="11">
        <v>4</v>
      </c>
      <c r="C887" s="11" t="s">
        <v>395</v>
      </c>
      <c r="D887" s="11">
        <v>1178102</v>
      </c>
      <c r="E887" s="11">
        <v>29432120</v>
      </c>
      <c r="F887" s="12" t="s">
        <v>3182</v>
      </c>
      <c r="G887" s="11" t="s">
        <v>3183</v>
      </c>
      <c r="H887" t="s">
        <v>3184</v>
      </c>
      <c r="I887" s="13">
        <v>51489406549</v>
      </c>
      <c r="J887" s="14">
        <v>3318</v>
      </c>
      <c r="K887" s="14">
        <v>3318</v>
      </c>
      <c r="L887" s="10" t="s">
        <v>58</v>
      </c>
      <c r="M887" s="14">
        <v>0</v>
      </c>
      <c r="N887" s="15">
        <v>0</v>
      </c>
      <c r="O887" t="str">
        <f>IFERROR(VLOOKUP($I887,CHOOSE({1,2},'[1]DIRETORES NTE'!$H$5:$H$31,'[1]DIRETORES NTE'!$E$5:$E$31,),2,0),"-")</f>
        <v>-</v>
      </c>
    </row>
    <row r="888" spans="1:15" x14ac:dyDescent="0.25">
      <c r="A888" s="10">
        <v>886</v>
      </c>
      <c r="B888" s="11">
        <v>7</v>
      </c>
      <c r="C888" s="11" t="s">
        <v>3185</v>
      </c>
      <c r="D888" s="11">
        <v>1178216</v>
      </c>
      <c r="E888" s="11">
        <v>29444993</v>
      </c>
      <c r="F888" s="12" t="s">
        <v>3186</v>
      </c>
      <c r="G888" s="11" t="s">
        <v>3187</v>
      </c>
      <c r="H888" t="s">
        <v>3188</v>
      </c>
      <c r="I888" s="13">
        <v>63509008553</v>
      </c>
      <c r="J888" s="14">
        <v>3705</v>
      </c>
      <c r="K888" s="14">
        <v>3705</v>
      </c>
      <c r="L888" s="10" t="s">
        <v>153</v>
      </c>
      <c r="M888" s="14">
        <v>0</v>
      </c>
      <c r="N888" s="15">
        <v>0</v>
      </c>
      <c r="O888" t="str">
        <f>IFERROR(VLOOKUP($I888,CHOOSE({1,2},'[1]DIRETORES NTE'!$H$5:$H$31,'[1]DIRETORES NTE'!$E$5:$E$31,),2,0),"-")</f>
        <v>-</v>
      </c>
    </row>
    <row r="889" spans="1:15" x14ac:dyDescent="0.25">
      <c r="A889" s="10">
        <v>887</v>
      </c>
      <c r="B889" s="11">
        <v>27</v>
      </c>
      <c r="C889" s="11" t="s">
        <v>788</v>
      </c>
      <c r="D889" s="11">
        <v>1146264</v>
      </c>
      <c r="E889" s="11">
        <v>29319218</v>
      </c>
      <c r="F889" s="12" t="s">
        <v>3189</v>
      </c>
      <c r="G889" s="11" t="s">
        <v>3190</v>
      </c>
      <c r="H889" t="s">
        <v>3191</v>
      </c>
      <c r="I889" s="13">
        <v>56021399749</v>
      </c>
      <c r="J889" s="14">
        <v>10089</v>
      </c>
      <c r="K889" s="14">
        <v>10089</v>
      </c>
      <c r="L889" s="10" t="s">
        <v>720</v>
      </c>
      <c r="M889" s="14">
        <v>0</v>
      </c>
      <c r="N889" s="15">
        <v>0</v>
      </c>
      <c r="O889" t="str">
        <f>IFERROR(VLOOKUP($I889,CHOOSE({1,2},'[1]DIRETORES NTE'!$H$5:$H$31,'[1]DIRETORES NTE'!$E$5:$E$31,),2,0),"-")</f>
        <v>-</v>
      </c>
    </row>
    <row r="890" spans="1:15" x14ac:dyDescent="0.25">
      <c r="A890" s="10">
        <v>888</v>
      </c>
      <c r="B890" s="11">
        <v>21</v>
      </c>
      <c r="C890" s="11" t="s">
        <v>3192</v>
      </c>
      <c r="D890" s="11">
        <v>1109164</v>
      </c>
      <c r="E890" s="11">
        <v>29166063</v>
      </c>
      <c r="F890" s="12" t="s">
        <v>3193</v>
      </c>
      <c r="G890" s="11" t="s">
        <v>3194</v>
      </c>
      <c r="H890" t="s">
        <v>3195</v>
      </c>
      <c r="I890" s="13">
        <v>96879572553</v>
      </c>
      <c r="J890" s="14">
        <v>3784</v>
      </c>
      <c r="K890" s="14">
        <v>3784</v>
      </c>
      <c r="L890" s="10" t="s">
        <v>63</v>
      </c>
      <c r="M890" s="14">
        <v>0</v>
      </c>
      <c r="N890" s="15">
        <v>0</v>
      </c>
      <c r="O890" t="str">
        <f>IFERROR(VLOOKUP($I890,CHOOSE({1,2},'[1]DIRETORES NTE'!$H$5:$H$31,'[1]DIRETORES NTE'!$E$5:$E$31,),2,0),"-")</f>
        <v>-</v>
      </c>
    </row>
    <row r="891" spans="1:15" x14ac:dyDescent="0.25">
      <c r="A891" s="10">
        <v>889</v>
      </c>
      <c r="B891" s="11">
        <v>24</v>
      </c>
      <c r="C891" s="11" t="s">
        <v>603</v>
      </c>
      <c r="D891" s="11">
        <v>1174292</v>
      </c>
      <c r="E891" s="11">
        <v>29034965</v>
      </c>
      <c r="F891" s="12" t="s">
        <v>3196</v>
      </c>
      <c r="G891" s="11" t="s">
        <v>3197</v>
      </c>
      <c r="H891" t="s">
        <v>3198</v>
      </c>
      <c r="I891" s="13">
        <v>62769979515</v>
      </c>
      <c r="J891" s="14">
        <v>8992</v>
      </c>
      <c r="K891" s="14">
        <v>8992</v>
      </c>
      <c r="L891" s="10" t="s">
        <v>266</v>
      </c>
      <c r="M891" s="14">
        <v>0</v>
      </c>
      <c r="N891" s="15">
        <v>0</v>
      </c>
      <c r="O891" t="str">
        <f>IFERROR(VLOOKUP($I891,CHOOSE({1,2},'[1]DIRETORES NTE'!$H$5:$H$31,'[1]DIRETORES NTE'!$E$5:$E$31,),2,0),"-")</f>
        <v>-</v>
      </c>
    </row>
    <row r="892" spans="1:15" x14ac:dyDescent="0.25">
      <c r="A892" s="10">
        <v>890</v>
      </c>
      <c r="B892" s="11">
        <v>26</v>
      </c>
      <c r="C892" s="11" t="s">
        <v>95</v>
      </c>
      <c r="D892" s="11">
        <v>1168837</v>
      </c>
      <c r="E892" s="11">
        <v>29182182</v>
      </c>
      <c r="F892" s="12" t="s">
        <v>3199</v>
      </c>
      <c r="G892" s="11" t="s">
        <v>3200</v>
      </c>
      <c r="H892" t="s">
        <v>3201</v>
      </c>
      <c r="I892" s="13">
        <v>17748704520</v>
      </c>
      <c r="J892" s="14">
        <v>4239</v>
      </c>
      <c r="K892" s="14">
        <v>4239</v>
      </c>
      <c r="L892" s="10" t="s">
        <v>99</v>
      </c>
      <c r="M892" s="14">
        <v>0</v>
      </c>
      <c r="N892" s="15">
        <v>0</v>
      </c>
      <c r="O892" t="str">
        <f>IFERROR(VLOOKUP($I892,CHOOSE({1,2},'[1]DIRETORES NTE'!$H$5:$H$31,'[1]DIRETORES NTE'!$E$5:$E$31,),2,0),"-")</f>
        <v>-</v>
      </c>
    </row>
    <row r="893" spans="1:15" x14ac:dyDescent="0.25">
      <c r="A893" s="10">
        <v>891</v>
      </c>
      <c r="B893" s="11">
        <v>26</v>
      </c>
      <c r="C893" s="11" t="s">
        <v>95</v>
      </c>
      <c r="D893" s="11">
        <v>1100701</v>
      </c>
      <c r="E893" s="11">
        <v>29192170</v>
      </c>
      <c r="F893" s="12" t="s">
        <v>3202</v>
      </c>
      <c r="G893" s="11" t="s">
        <v>3203</v>
      </c>
      <c r="H893" t="s">
        <v>3204</v>
      </c>
      <c r="I893" s="13">
        <v>93062362553</v>
      </c>
      <c r="J893" s="14">
        <v>11699</v>
      </c>
      <c r="K893" s="14">
        <v>11699</v>
      </c>
      <c r="L893" s="10" t="s">
        <v>99</v>
      </c>
      <c r="M893" s="14">
        <v>0</v>
      </c>
      <c r="N893" s="15">
        <v>0</v>
      </c>
      <c r="O893" t="str">
        <f>IFERROR(VLOOKUP($I893,CHOOSE({1,2},'[1]DIRETORES NTE'!$H$5:$H$31,'[1]DIRETORES NTE'!$E$5:$E$31,),2,0),"-")</f>
        <v>-</v>
      </c>
    </row>
    <row r="894" spans="1:15" x14ac:dyDescent="0.25">
      <c r="A894" s="10">
        <v>892</v>
      </c>
      <c r="B894" s="11">
        <v>20</v>
      </c>
      <c r="C894" s="11" t="s">
        <v>3205</v>
      </c>
      <c r="D894" s="11">
        <v>1178071</v>
      </c>
      <c r="E894" s="11">
        <v>29428556</v>
      </c>
      <c r="F894" s="12" t="s">
        <v>3206</v>
      </c>
      <c r="G894" s="11" t="s">
        <v>3207</v>
      </c>
      <c r="H894" t="s">
        <v>3208</v>
      </c>
      <c r="I894" s="13">
        <v>97223450525</v>
      </c>
      <c r="J894" s="14">
        <v>10057</v>
      </c>
      <c r="K894" s="14">
        <v>10057</v>
      </c>
      <c r="L894" s="10" t="s">
        <v>27</v>
      </c>
      <c r="M894" s="14">
        <v>0</v>
      </c>
      <c r="N894" s="15">
        <v>0</v>
      </c>
      <c r="O894" t="str">
        <f>IFERROR(VLOOKUP($I894,CHOOSE({1,2},'[1]DIRETORES NTE'!$H$5:$H$31,'[1]DIRETORES NTE'!$E$5:$E$31,),2,0),"-")</f>
        <v>-</v>
      </c>
    </row>
    <row r="895" spans="1:15" x14ac:dyDescent="0.25">
      <c r="A895" s="10">
        <v>893</v>
      </c>
      <c r="B895" s="11">
        <v>4</v>
      </c>
      <c r="C895" s="11" t="s">
        <v>1398</v>
      </c>
      <c r="D895" s="11">
        <v>1178222</v>
      </c>
      <c r="E895" s="11">
        <v>29443296</v>
      </c>
      <c r="F895" s="12" t="s">
        <v>3209</v>
      </c>
      <c r="G895" s="11" t="s">
        <v>3210</v>
      </c>
      <c r="H895" t="s">
        <v>3211</v>
      </c>
      <c r="I895" s="13">
        <v>61885703520</v>
      </c>
      <c r="J895" s="14">
        <v>5064</v>
      </c>
      <c r="K895" s="14">
        <v>5064</v>
      </c>
      <c r="L895" s="10" t="s">
        <v>58</v>
      </c>
      <c r="M895" s="14">
        <v>0</v>
      </c>
      <c r="N895" s="15">
        <v>0</v>
      </c>
      <c r="O895" t="str">
        <f>IFERROR(VLOOKUP($I895,CHOOSE({1,2},'[1]DIRETORES NTE'!$H$5:$H$31,'[1]DIRETORES NTE'!$E$5:$E$31,),2,0),"-")</f>
        <v>-</v>
      </c>
    </row>
    <row r="896" spans="1:15" x14ac:dyDescent="0.25">
      <c r="A896" s="10">
        <v>894</v>
      </c>
      <c r="B896" s="11">
        <v>7</v>
      </c>
      <c r="C896" s="11" t="s">
        <v>820</v>
      </c>
      <c r="D896" s="11">
        <v>1176217</v>
      </c>
      <c r="E896" s="11">
        <v>29368219</v>
      </c>
      <c r="F896" s="12" t="s">
        <v>3212</v>
      </c>
      <c r="G896" s="11" t="s">
        <v>3213</v>
      </c>
      <c r="H896" t="s">
        <v>3214</v>
      </c>
      <c r="I896" s="13">
        <v>25835009534</v>
      </c>
      <c r="J896" s="14">
        <v>33557</v>
      </c>
      <c r="K896" s="14">
        <v>33557</v>
      </c>
      <c r="L896" s="10" t="s">
        <v>153</v>
      </c>
      <c r="M896" s="14">
        <v>0</v>
      </c>
      <c r="N896" s="15">
        <v>0</v>
      </c>
      <c r="O896" t="str">
        <f>IFERROR(VLOOKUP($I896,CHOOSE({1,2},'[1]DIRETORES NTE'!$H$5:$H$31,'[1]DIRETORES NTE'!$E$5:$E$31,),2,0),"-")</f>
        <v>-</v>
      </c>
    </row>
    <row r="897" spans="1:15" x14ac:dyDescent="0.25">
      <c r="A897" s="10">
        <v>895</v>
      </c>
      <c r="B897" s="11">
        <v>5</v>
      </c>
      <c r="C897" s="11" t="s">
        <v>2395</v>
      </c>
      <c r="D897" s="11">
        <v>1161093</v>
      </c>
      <c r="E897" s="11">
        <v>29292808</v>
      </c>
      <c r="F897" s="12" t="s">
        <v>3215</v>
      </c>
      <c r="G897" s="11" t="s">
        <v>3216</v>
      </c>
      <c r="H897" t="s">
        <v>3217</v>
      </c>
      <c r="I897" s="13">
        <v>24960144572</v>
      </c>
      <c r="J897" s="14">
        <v>5190</v>
      </c>
      <c r="K897" s="14">
        <v>5190</v>
      </c>
      <c r="L897" s="10" t="s">
        <v>44</v>
      </c>
      <c r="M897" s="14">
        <v>0</v>
      </c>
      <c r="N897" s="15">
        <v>0</v>
      </c>
      <c r="O897" t="str">
        <f>IFERROR(VLOOKUP($I897,CHOOSE({1,2},'[1]DIRETORES NTE'!$H$5:$H$31,'[1]DIRETORES NTE'!$E$5:$E$31,),2,0),"-")</f>
        <v>-</v>
      </c>
    </row>
    <row r="898" spans="1:15" x14ac:dyDescent="0.25">
      <c r="A898" s="10">
        <v>896</v>
      </c>
      <c r="B898" s="11">
        <v>26</v>
      </c>
      <c r="C898" s="11" t="s">
        <v>95</v>
      </c>
      <c r="D898" s="11">
        <v>1176795</v>
      </c>
      <c r="E898" s="11">
        <v>29404282</v>
      </c>
      <c r="F898" s="12" t="s">
        <v>3218</v>
      </c>
      <c r="G898" s="11" t="s">
        <v>3219</v>
      </c>
      <c r="H898" t="s">
        <v>3220</v>
      </c>
      <c r="I898" s="13">
        <v>95013202515</v>
      </c>
      <c r="J898" s="14">
        <v>18176</v>
      </c>
      <c r="K898" s="14">
        <v>18176</v>
      </c>
      <c r="L898" s="10" t="s">
        <v>99</v>
      </c>
      <c r="M898" s="14">
        <v>0</v>
      </c>
      <c r="N898" s="15">
        <v>0</v>
      </c>
      <c r="O898" t="str">
        <f>IFERROR(VLOOKUP($I898,CHOOSE({1,2},'[1]DIRETORES NTE'!$H$5:$H$31,'[1]DIRETORES NTE'!$E$5:$E$31,),2,0),"-")</f>
        <v>-</v>
      </c>
    </row>
    <row r="899" spans="1:15" x14ac:dyDescent="0.25">
      <c r="A899" s="10">
        <v>897</v>
      </c>
      <c r="B899" s="11">
        <v>13</v>
      </c>
      <c r="C899" s="11" t="s">
        <v>777</v>
      </c>
      <c r="D899" s="11">
        <v>1176438</v>
      </c>
      <c r="E899" s="11">
        <v>29394414</v>
      </c>
      <c r="F899" s="12" t="s">
        <v>649</v>
      </c>
      <c r="G899" s="11" t="s">
        <v>3221</v>
      </c>
      <c r="H899" t="s">
        <v>3222</v>
      </c>
      <c r="I899" s="13">
        <v>82181683549</v>
      </c>
      <c r="J899" s="14">
        <v>13231</v>
      </c>
      <c r="K899" s="14">
        <v>13231</v>
      </c>
      <c r="L899" s="10" t="s">
        <v>33</v>
      </c>
      <c r="M899" s="14">
        <v>0</v>
      </c>
      <c r="N899" s="15">
        <v>0</v>
      </c>
      <c r="O899" t="str">
        <f>IFERROR(VLOOKUP($I899,CHOOSE({1,2},'[1]DIRETORES NTE'!$H$5:$H$31,'[1]DIRETORES NTE'!$E$5:$E$31,),2,0),"-")</f>
        <v>-</v>
      </c>
    </row>
    <row r="900" spans="1:15" x14ac:dyDescent="0.25">
      <c r="A900" s="10">
        <v>898</v>
      </c>
      <c r="B900" s="11">
        <v>26</v>
      </c>
      <c r="C900" s="11" t="s">
        <v>95</v>
      </c>
      <c r="D900" s="11">
        <v>1103174</v>
      </c>
      <c r="E900" s="11">
        <v>29182719</v>
      </c>
      <c r="F900" s="12" t="s">
        <v>3223</v>
      </c>
      <c r="G900" s="11" t="s">
        <v>3224</v>
      </c>
      <c r="H900" t="s">
        <v>3225</v>
      </c>
      <c r="I900" s="13">
        <v>50814222587</v>
      </c>
      <c r="J900" s="14">
        <v>10308</v>
      </c>
      <c r="K900" s="14">
        <v>10308</v>
      </c>
      <c r="L900" s="10" t="s">
        <v>99</v>
      </c>
      <c r="M900" s="14">
        <v>0</v>
      </c>
      <c r="N900" s="15">
        <v>0</v>
      </c>
      <c r="O900" t="str">
        <f>IFERROR(VLOOKUP($I900,CHOOSE({1,2},'[1]DIRETORES NTE'!$H$5:$H$31,'[1]DIRETORES NTE'!$E$5:$E$31,),2,0),"-")</f>
        <v>-</v>
      </c>
    </row>
    <row r="901" spans="1:15" x14ac:dyDescent="0.25">
      <c r="A901" s="10">
        <v>899</v>
      </c>
      <c r="B901" s="11">
        <v>26</v>
      </c>
      <c r="C901" s="11" t="s">
        <v>95</v>
      </c>
      <c r="D901" s="11">
        <v>1100345</v>
      </c>
      <c r="E901" s="11">
        <v>29182123</v>
      </c>
      <c r="F901" s="12" t="s">
        <v>3226</v>
      </c>
      <c r="G901" s="11" t="s">
        <v>3227</v>
      </c>
      <c r="H901" t="s">
        <v>3228</v>
      </c>
      <c r="I901" s="13">
        <v>63020289572</v>
      </c>
      <c r="J901" s="14">
        <v>12119</v>
      </c>
      <c r="K901" s="14">
        <v>12119</v>
      </c>
      <c r="L901" s="10" t="s">
        <v>99</v>
      </c>
      <c r="M901" s="14">
        <v>0</v>
      </c>
      <c r="N901" s="15">
        <v>0</v>
      </c>
      <c r="O901" t="str">
        <f>IFERROR(VLOOKUP($I901,CHOOSE({1,2},'[1]DIRETORES NTE'!$H$5:$H$31,'[1]DIRETORES NTE'!$E$5:$E$31,),2,0),"-")</f>
        <v>-</v>
      </c>
    </row>
    <row r="902" spans="1:15" x14ac:dyDescent="0.25">
      <c r="A902" s="10">
        <v>900</v>
      </c>
      <c r="B902" s="11">
        <v>24</v>
      </c>
      <c r="C902" s="11" t="s">
        <v>3229</v>
      </c>
      <c r="D902" s="11">
        <v>1114133</v>
      </c>
      <c r="E902" s="11">
        <v>29036046</v>
      </c>
      <c r="F902" s="12" t="s">
        <v>3230</v>
      </c>
      <c r="G902" s="11" t="s">
        <v>3231</v>
      </c>
      <c r="H902" t="s">
        <v>3232</v>
      </c>
      <c r="I902" s="13">
        <v>54948681504</v>
      </c>
      <c r="J902" s="14">
        <v>5889</v>
      </c>
      <c r="K902" s="14">
        <v>5889</v>
      </c>
      <c r="L902" s="10" t="s">
        <v>266</v>
      </c>
      <c r="M902" s="14">
        <v>0</v>
      </c>
      <c r="N902" s="15">
        <v>0</v>
      </c>
      <c r="O902" t="str">
        <f>IFERROR(VLOOKUP($I902,CHOOSE({1,2},'[1]DIRETORES NTE'!$H$5:$H$31,'[1]DIRETORES NTE'!$E$5:$E$31,),2,0),"-")</f>
        <v>-</v>
      </c>
    </row>
    <row r="903" spans="1:15" x14ac:dyDescent="0.25">
      <c r="A903" s="10">
        <v>901</v>
      </c>
      <c r="B903" s="11">
        <v>19</v>
      </c>
      <c r="C903" s="11" t="s">
        <v>331</v>
      </c>
      <c r="D903" s="11">
        <v>1105916</v>
      </c>
      <c r="E903" s="11">
        <v>29093511</v>
      </c>
      <c r="F903" s="12" t="s">
        <v>3233</v>
      </c>
      <c r="G903" s="11" t="s">
        <v>3234</v>
      </c>
      <c r="H903" t="s">
        <v>3235</v>
      </c>
      <c r="I903" s="13">
        <v>91074193504</v>
      </c>
      <c r="J903" s="14">
        <v>36091</v>
      </c>
      <c r="K903" s="14">
        <v>36091</v>
      </c>
      <c r="L903" s="10" t="s">
        <v>336</v>
      </c>
      <c r="M903" s="14">
        <v>0</v>
      </c>
      <c r="N903" s="15">
        <v>0</v>
      </c>
      <c r="O903" t="str">
        <f>IFERROR(VLOOKUP($I903,CHOOSE({1,2},'[1]DIRETORES NTE'!$H$5:$H$31,'[1]DIRETORES NTE'!$E$5:$E$31,),2,0),"-")</f>
        <v>-</v>
      </c>
    </row>
    <row r="904" spans="1:15" x14ac:dyDescent="0.25">
      <c r="A904" s="10">
        <v>902</v>
      </c>
      <c r="B904" s="11">
        <v>26</v>
      </c>
      <c r="C904" s="11" t="s">
        <v>95</v>
      </c>
      <c r="D904" s="11">
        <v>1101953</v>
      </c>
      <c r="E904" s="11">
        <v>29193095</v>
      </c>
      <c r="F904" s="12" t="s">
        <v>3236</v>
      </c>
      <c r="G904" s="11" t="s">
        <v>3237</v>
      </c>
      <c r="H904" t="s">
        <v>3238</v>
      </c>
      <c r="I904" s="13">
        <v>25771930504</v>
      </c>
      <c r="J904" s="14">
        <v>5723</v>
      </c>
      <c r="K904" s="14">
        <v>58</v>
      </c>
      <c r="L904" s="10" t="s">
        <v>99</v>
      </c>
      <c r="M904" s="14">
        <v>5665</v>
      </c>
      <c r="N904" s="15">
        <v>0.98986545518084923</v>
      </c>
      <c r="O904" t="str">
        <f>IFERROR(VLOOKUP($I904,CHOOSE({1,2},'[1]DIRETORES NTE'!$H$5:$H$31,'[1]DIRETORES NTE'!$E$5:$E$31,),2,0),"-")</f>
        <v>-</v>
      </c>
    </row>
    <row r="905" spans="1:15" x14ac:dyDescent="0.25">
      <c r="A905" s="10">
        <v>903</v>
      </c>
      <c r="B905" s="11">
        <v>26</v>
      </c>
      <c r="C905" s="11" t="s">
        <v>95</v>
      </c>
      <c r="D905" s="11">
        <v>1103212</v>
      </c>
      <c r="E905" s="11">
        <v>29200075</v>
      </c>
      <c r="F905" s="12" t="s">
        <v>3239</v>
      </c>
      <c r="G905" s="11" t="s">
        <v>3240</v>
      </c>
      <c r="H905" t="s">
        <v>3241</v>
      </c>
      <c r="I905" s="13">
        <v>92425410520</v>
      </c>
      <c r="J905" s="14">
        <v>12867</v>
      </c>
      <c r="K905" s="14">
        <v>429.7</v>
      </c>
      <c r="L905" s="10" t="s">
        <v>99</v>
      </c>
      <c r="M905" s="14">
        <v>12437.3</v>
      </c>
      <c r="N905" s="15">
        <v>0.96660449211160326</v>
      </c>
      <c r="O905" t="str">
        <f>IFERROR(VLOOKUP($I905,CHOOSE({1,2},'[1]DIRETORES NTE'!$H$5:$H$31,'[1]DIRETORES NTE'!$E$5:$E$31,),2,0),"-")</f>
        <v>-</v>
      </c>
    </row>
    <row r="906" spans="1:15" x14ac:dyDescent="0.25">
      <c r="A906" s="10">
        <v>904</v>
      </c>
      <c r="B906" s="11">
        <v>5</v>
      </c>
      <c r="C906" s="11" t="s">
        <v>209</v>
      </c>
      <c r="D906" s="11">
        <v>1111738</v>
      </c>
      <c r="E906" s="11">
        <v>29306205</v>
      </c>
      <c r="F906" s="12" t="s">
        <v>3242</v>
      </c>
      <c r="G906" s="11" t="s">
        <v>3243</v>
      </c>
      <c r="H906" t="s">
        <v>3244</v>
      </c>
      <c r="I906" s="13" t="s">
        <v>3245</v>
      </c>
      <c r="J906" s="14">
        <v>30527</v>
      </c>
      <c r="K906" s="14">
        <v>30527</v>
      </c>
      <c r="L906" s="10" t="s">
        <v>44</v>
      </c>
      <c r="M906" s="14">
        <v>0</v>
      </c>
      <c r="N906" s="15">
        <v>0</v>
      </c>
      <c r="O906" t="str">
        <f>IFERROR(VLOOKUP($I906,CHOOSE({1,2},'[1]DIRETORES NTE'!$H$5:$H$31,'[1]DIRETORES NTE'!$E$5:$E$31,),2,0),"-")</f>
        <v>-</v>
      </c>
    </row>
    <row r="907" spans="1:15" x14ac:dyDescent="0.25">
      <c r="A907" s="10">
        <v>905</v>
      </c>
      <c r="B907" s="11">
        <v>5</v>
      </c>
      <c r="C907" s="11" t="s">
        <v>2185</v>
      </c>
      <c r="D907" s="11">
        <v>1159587</v>
      </c>
      <c r="E907" s="11">
        <v>29311497</v>
      </c>
      <c r="F907" s="12" t="s">
        <v>3246</v>
      </c>
      <c r="G907" s="11" t="s">
        <v>3247</v>
      </c>
      <c r="H907" t="s">
        <v>3248</v>
      </c>
      <c r="I907" s="13" t="s">
        <v>3249</v>
      </c>
      <c r="J907" s="14">
        <v>4039</v>
      </c>
      <c r="K907" s="14">
        <v>4039</v>
      </c>
      <c r="L907" s="10" t="s">
        <v>44</v>
      </c>
      <c r="M907" s="14">
        <v>0</v>
      </c>
      <c r="N907" s="15">
        <v>0</v>
      </c>
      <c r="O907" t="str">
        <f>IFERROR(VLOOKUP($I907,CHOOSE({1,2},'[1]DIRETORES NTE'!$H$5:$H$31,'[1]DIRETORES NTE'!$E$5:$E$31,),2,0),"-")</f>
        <v>-</v>
      </c>
    </row>
    <row r="908" spans="1:15" x14ac:dyDescent="0.25">
      <c r="A908" s="10">
        <v>906</v>
      </c>
      <c r="B908" s="11">
        <v>2</v>
      </c>
      <c r="C908" s="11" t="s">
        <v>3250</v>
      </c>
      <c r="D908" s="11">
        <v>1164742</v>
      </c>
      <c r="E908" s="11">
        <v>29252555</v>
      </c>
      <c r="F908" s="12" t="s">
        <v>3251</v>
      </c>
      <c r="G908" s="11" t="s">
        <v>3252</v>
      </c>
      <c r="H908" t="s">
        <v>3253</v>
      </c>
      <c r="I908" s="13">
        <v>99208628515</v>
      </c>
      <c r="J908" s="14">
        <v>18209</v>
      </c>
      <c r="K908" s="14">
        <v>18209</v>
      </c>
      <c r="L908" s="10" t="s">
        <v>105</v>
      </c>
      <c r="M908" s="14">
        <v>0</v>
      </c>
      <c r="N908" s="15">
        <v>0</v>
      </c>
      <c r="O908" t="str">
        <f>IFERROR(VLOOKUP($I908,CHOOSE({1,2},'[1]DIRETORES NTE'!$H$5:$H$31,'[1]DIRETORES NTE'!$E$5:$E$31,),2,0),"-")</f>
        <v>-</v>
      </c>
    </row>
    <row r="909" spans="1:15" x14ac:dyDescent="0.25">
      <c r="A909" s="10">
        <v>907</v>
      </c>
      <c r="B909" s="11">
        <v>5</v>
      </c>
      <c r="C909" s="11" t="s">
        <v>1646</v>
      </c>
      <c r="D909" s="11">
        <v>1177077</v>
      </c>
      <c r="E909" s="11">
        <v>29406897</v>
      </c>
      <c r="F909" s="12" t="s">
        <v>3254</v>
      </c>
      <c r="G909" s="11" t="s">
        <v>3255</v>
      </c>
      <c r="H909" t="s">
        <v>3256</v>
      </c>
      <c r="I909" s="13">
        <v>31871704553</v>
      </c>
      <c r="J909" s="14">
        <v>6219</v>
      </c>
      <c r="K909" s="14">
        <v>6219</v>
      </c>
      <c r="L909" s="10" t="s">
        <v>44</v>
      </c>
      <c r="M909" s="14">
        <v>0</v>
      </c>
      <c r="N909" s="15">
        <v>0</v>
      </c>
      <c r="O909" t="str">
        <f>IFERROR(VLOOKUP($I909,CHOOSE({1,2},'[1]DIRETORES NTE'!$H$5:$H$31,'[1]DIRETORES NTE'!$E$5:$E$31,),2,0),"-")</f>
        <v>-</v>
      </c>
    </row>
    <row r="910" spans="1:15" x14ac:dyDescent="0.25">
      <c r="A910" s="10">
        <v>908</v>
      </c>
      <c r="B910" s="11">
        <v>24</v>
      </c>
      <c r="C910" s="11" t="s">
        <v>3229</v>
      </c>
      <c r="D910" s="11">
        <v>1178006</v>
      </c>
      <c r="E910" s="11">
        <v>29423708</v>
      </c>
      <c r="F910" s="12" t="s">
        <v>3257</v>
      </c>
      <c r="G910" s="11" t="s">
        <v>3258</v>
      </c>
      <c r="H910" t="s">
        <v>3259</v>
      </c>
      <c r="I910" s="13" t="s">
        <v>3260</v>
      </c>
      <c r="J910" s="14">
        <v>4633</v>
      </c>
      <c r="K910" s="14">
        <v>4633</v>
      </c>
      <c r="L910" s="10" t="s">
        <v>266</v>
      </c>
      <c r="M910" s="14">
        <v>0</v>
      </c>
      <c r="N910" s="15">
        <v>0</v>
      </c>
      <c r="O910" t="str">
        <f>IFERROR(VLOOKUP($I910,CHOOSE({1,2},'[1]DIRETORES NTE'!$H$5:$H$31,'[1]DIRETORES NTE'!$E$5:$E$31,),2,0),"-")</f>
        <v>-</v>
      </c>
    </row>
    <row r="911" spans="1:15" x14ac:dyDescent="0.25">
      <c r="A911" s="10">
        <v>909</v>
      </c>
      <c r="B911" s="11">
        <v>18</v>
      </c>
      <c r="C911" s="11" t="s">
        <v>64</v>
      </c>
      <c r="D911" s="11">
        <v>1107927</v>
      </c>
      <c r="E911" s="11">
        <v>29149835</v>
      </c>
      <c r="F911" s="12" t="s">
        <v>3261</v>
      </c>
      <c r="G911" s="11" t="s">
        <v>3262</v>
      </c>
      <c r="H911" t="s">
        <v>3263</v>
      </c>
      <c r="I911" s="13" t="s">
        <v>3264</v>
      </c>
      <c r="J911" s="14">
        <v>21079</v>
      </c>
      <c r="K911" s="14">
        <v>21079</v>
      </c>
      <c r="L911" s="10" t="s">
        <v>68</v>
      </c>
      <c r="M911" s="14">
        <v>0</v>
      </c>
      <c r="N911" s="15">
        <v>0</v>
      </c>
      <c r="O911" t="str">
        <f>IFERROR(VLOOKUP($I911,CHOOSE({1,2},'[1]DIRETORES NTE'!$H$5:$H$31,'[1]DIRETORES NTE'!$E$5:$E$31,),2,0),"-")</f>
        <v>-</v>
      </c>
    </row>
    <row r="912" spans="1:15" x14ac:dyDescent="0.25">
      <c r="A912" s="10">
        <v>910</v>
      </c>
      <c r="B912" s="11">
        <v>3</v>
      </c>
      <c r="C912" s="11" t="s">
        <v>3265</v>
      </c>
      <c r="D912" s="11">
        <v>1178103</v>
      </c>
      <c r="E912" s="11">
        <v>29221935</v>
      </c>
      <c r="F912" s="12" t="s">
        <v>3266</v>
      </c>
      <c r="G912" s="11" t="s">
        <v>3267</v>
      </c>
      <c r="H912" t="s">
        <v>3268</v>
      </c>
      <c r="I912" s="13" t="s">
        <v>3269</v>
      </c>
      <c r="J912" s="14">
        <v>9559</v>
      </c>
      <c r="K912" s="14">
        <v>9559</v>
      </c>
      <c r="L912" s="10" t="s">
        <v>117</v>
      </c>
      <c r="M912" s="14">
        <v>0</v>
      </c>
      <c r="N912" s="15">
        <v>0</v>
      </c>
      <c r="O912" t="str">
        <f>IFERROR(VLOOKUP($I912,CHOOSE({1,2},'[1]DIRETORES NTE'!$H$5:$H$31,'[1]DIRETORES NTE'!$E$5:$E$31,),2,0),"-")</f>
        <v>-</v>
      </c>
    </row>
    <row r="913" spans="1:15" x14ac:dyDescent="0.25">
      <c r="A913" s="10">
        <v>911</v>
      </c>
      <c r="B913" s="11">
        <v>22</v>
      </c>
      <c r="C913" s="11" t="s">
        <v>3270</v>
      </c>
      <c r="D913" s="11">
        <v>1118406</v>
      </c>
      <c r="E913" s="11">
        <v>29314348</v>
      </c>
      <c r="F913" s="12" t="s">
        <v>3271</v>
      </c>
      <c r="G913" s="11" t="s">
        <v>891</v>
      </c>
      <c r="H913" t="s">
        <v>3272</v>
      </c>
      <c r="I913" s="13">
        <v>71872353568</v>
      </c>
      <c r="J913" s="14">
        <v>0</v>
      </c>
      <c r="K913" s="14">
        <v>0</v>
      </c>
      <c r="L913" s="10" t="s">
        <v>200</v>
      </c>
      <c r="M913" s="14">
        <v>0</v>
      </c>
      <c r="N913" s="15" t="e">
        <v>#DIV/0!</v>
      </c>
      <c r="O913" t="str">
        <f>IFERROR(VLOOKUP($I913,CHOOSE({1,2},'[1]DIRETORES NTE'!$H$5:$H$31,'[1]DIRETORES NTE'!$E$5:$E$31,),2,0),"-")</f>
        <v>-</v>
      </c>
    </row>
    <row r="914" spans="1:15" x14ac:dyDescent="0.25">
      <c r="A914" s="10">
        <v>912</v>
      </c>
      <c r="B914" s="11">
        <v>26</v>
      </c>
      <c r="C914" s="11" t="s">
        <v>95</v>
      </c>
      <c r="D914" s="11">
        <v>1100370</v>
      </c>
      <c r="E914" s="11">
        <v>29191661</v>
      </c>
      <c r="F914" s="12" t="s">
        <v>3273</v>
      </c>
      <c r="G914" s="11" t="s">
        <v>3274</v>
      </c>
      <c r="H914" t="s">
        <v>3275</v>
      </c>
      <c r="I914" s="13">
        <v>31593372515</v>
      </c>
      <c r="J914" s="14">
        <v>32052</v>
      </c>
      <c r="K914" s="14">
        <v>32052</v>
      </c>
      <c r="L914" s="10" t="s">
        <v>99</v>
      </c>
      <c r="M914" s="14">
        <v>0</v>
      </c>
      <c r="N914" s="15">
        <v>0</v>
      </c>
      <c r="O914" t="str">
        <f>IFERROR(VLOOKUP($I914,CHOOSE({1,2},'[1]DIRETORES NTE'!$H$5:$H$31,'[1]DIRETORES NTE'!$E$5:$E$31,),2,0),"-")</f>
        <v>-</v>
      </c>
    </row>
    <row r="915" spans="1:15" x14ac:dyDescent="0.25">
      <c r="A915" s="10">
        <v>913</v>
      </c>
      <c r="B915" s="11">
        <v>20</v>
      </c>
      <c r="C915" s="11" t="s">
        <v>50</v>
      </c>
      <c r="D915" s="11">
        <v>1179790</v>
      </c>
      <c r="E915" s="11">
        <v>44177</v>
      </c>
      <c r="F915" s="12" t="s">
        <v>3276</v>
      </c>
      <c r="G915" s="11" t="s">
        <v>3277</v>
      </c>
      <c r="H915" t="s">
        <v>3278</v>
      </c>
      <c r="I915" s="13">
        <v>94669880500</v>
      </c>
      <c r="J915" s="14">
        <v>1850</v>
      </c>
      <c r="K915" s="14">
        <v>1850</v>
      </c>
      <c r="L915" s="10" t="s">
        <v>27</v>
      </c>
      <c r="M915" s="14">
        <v>0</v>
      </c>
      <c r="N915" s="15">
        <v>0</v>
      </c>
      <c r="O915" t="str">
        <f>IFERROR(VLOOKUP($I915,CHOOSE({1,2},'[1]DIRETORES NTE'!$H$5:$H$31,'[1]DIRETORES NTE'!$E$5:$E$31,),2,0),"-")</f>
        <v>-</v>
      </c>
    </row>
    <row r="916" spans="1:15" x14ac:dyDescent="0.25">
      <c r="A916" s="10">
        <v>914</v>
      </c>
      <c r="B916" s="11">
        <v>3</v>
      </c>
      <c r="C916" s="11" t="s">
        <v>421</v>
      </c>
      <c r="D916" s="11">
        <v>1179708</v>
      </c>
      <c r="E916" s="11">
        <v>29483891</v>
      </c>
      <c r="F916" s="12" t="s">
        <v>3279</v>
      </c>
      <c r="G916" s="11" t="s">
        <v>3280</v>
      </c>
      <c r="H916" t="s">
        <v>3281</v>
      </c>
      <c r="I916" s="13" t="s">
        <v>3282</v>
      </c>
      <c r="J916" s="14">
        <v>2486</v>
      </c>
      <c r="K916" s="14">
        <v>2486</v>
      </c>
      <c r="L916" s="10" t="s">
        <v>117</v>
      </c>
      <c r="M916" s="14">
        <v>0</v>
      </c>
      <c r="N916" s="15">
        <v>0</v>
      </c>
      <c r="O916" t="str">
        <f>IFERROR(VLOOKUP($I916,CHOOSE({1,2},'[1]DIRETORES NTE'!$H$5:$H$31,'[1]DIRETORES NTE'!$E$5:$E$31,),2,0),"-")</f>
        <v>-</v>
      </c>
    </row>
    <row r="917" spans="1:15" x14ac:dyDescent="0.25">
      <c r="A917" s="10">
        <v>915</v>
      </c>
      <c r="B917" s="11">
        <v>26</v>
      </c>
      <c r="C917" s="11" t="s">
        <v>95</v>
      </c>
      <c r="D917" s="11">
        <v>1141998</v>
      </c>
      <c r="E917" s="11">
        <v>29192218</v>
      </c>
      <c r="F917" s="12" t="s">
        <v>3283</v>
      </c>
      <c r="G917" s="11" t="s">
        <v>3284</v>
      </c>
      <c r="H917" t="s">
        <v>3285</v>
      </c>
      <c r="I917" s="13">
        <v>79859275572</v>
      </c>
      <c r="J917" s="14">
        <v>11260</v>
      </c>
      <c r="K917" s="14">
        <v>0.01</v>
      </c>
      <c r="L917" s="10" t="s">
        <v>99</v>
      </c>
      <c r="M917" s="14">
        <v>11259.99</v>
      </c>
      <c r="N917" s="15">
        <v>0.99999911190053281</v>
      </c>
      <c r="O917" t="str">
        <f>IFERROR(VLOOKUP($I917,CHOOSE({1,2},'[1]DIRETORES NTE'!$H$5:$H$31,'[1]DIRETORES NTE'!$E$5:$E$31,),2,0),"-")</f>
        <v>-</v>
      </c>
    </row>
    <row r="918" spans="1:15" x14ac:dyDescent="0.25">
      <c r="A918" s="10">
        <v>916</v>
      </c>
      <c r="B918" s="11">
        <v>27</v>
      </c>
      <c r="C918" s="11" t="s">
        <v>788</v>
      </c>
      <c r="D918" s="11">
        <v>1178012</v>
      </c>
      <c r="E918" s="11">
        <v>29428203</v>
      </c>
      <c r="F918" s="12" t="s">
        <v>3286</v>
      </c>
      <c r="G918" s="11" t="s">
        <v>3287</v>
      </c>
      <c r="H918" t="s">
        <v>3288</v>
      </c>
      <c r="I918" s="13" t="s">
        <v>3289</v>
      </c>
      <c r="J918" s="14">
        <v>12533</v>
      </c>
      <c r="K918" s="14">
        <v>12533</v>
      </c>
      <c r="L918" s="10" t="s">
        <v>720</v>
      </c>
      <c r="M918" s="14">
        <v>0</v>
      </c>
      <c r="N918" s="15">
        <v>0</v>
      </c>
      <c r="O918" t="str">
        <f>IFERROR(VLOOKUP($I918,CHOOSE({1,2},'[1]DIRETORES NTE'!$H$5:$H$31,'[1]DIRETORES NTE'!$E$5:$E$31,),2,0),"-")</f>
        <v>-</v>
      </c>
    </row>
    <row r="919" spans="1:15" x14ac:dyDescent="0.25">
      <c r="A919" s="10">
        <v>917</v>
      </c>
      <c r="B919" s="11">
        <v>9</v>
      </c>
      <c r="C919" s="11" t="s">
        <v>501</v>
      </c>
      <c r="D919" s="11">
        <v>1119445</v>
      </c>
      <c r="E919" s="11">
        <v>29226520</v>
      </c>
      <c r="F919" s="12" t="s">
        <v>3290</v>
      </c>
      <c r="G919" s="11" t="s">
        <v>3291</v>
      </c>
      <c r="H919" t="s">
        <v>3292</v>
      </c>
      <c r="I919" s="13">
        <v>96777397515</v>
      </c>
      <c r="J919" s="14">
        <v>17768</v>
      </c>
      <c r="K919" s="14">
        <v>17768</v>
      </c>
      <c r="L919" s="10" t="s">
        <v>167</v>
      </c>
      <c r="M919" s="14">
        <v>0</v>
      </c>
      <c r="N919" s="15">
        <v>0</v>
      </c>
      <c r="O919" t="str">
        <f>IFERROR(VLOOKUP($I919,CHOOSE({1,2},'[1]DIRETORES NTE'!$H$5:$H$31,'[1]DIRETORES NTE'!$E$5:$E$31,),2,0),"-")</f>
        <v>-</v>
      </c>
    </row>
    <row r="920" spans="1:15" x14ac:dyDescent="0.25">
      <c r="A920" s="10">
        <v>918</v>
      </c>
      <c r="B920" s="11">
        <v>21</v>
      </c>
      <c r="C920" s="11" t="s">
        <v>2611</v>
      </c>
      <c r="D920" s="11">
        <v>1135394</v>
      </c>
      <c r="E920" s="11">
        <v>29163234</v>
      </c>
      <c r="F920" s="12" t="s">
        <v>3293</v>
      </c>
      <c r="G920" s="11" t="s">
        <v>3294</v>
      </c>
      <c r="H920" t="s">
        <v>3295</v>
      </c>
      <c r="I920" s="13" t="s">
        <v>3296</v>
      </c>
      <c r="J920" s="14">
        <v>6879</v>
      </c>
      <c r="K920" s="14">
        <v>6879</v>
      </c>
      <c r="L920" s="10" t="s">
        <v>63</v>
      </c>
      <c r="M920" s="14">
        <v>0</v>
      </c>
      <c r="N920" s="15">
        <v>0</v>
      </c>
      <c r="O920" t="str">
        <f>IFERROR(VLOOKUP($I920,CHOOSE({1,2},'[1]DIRETORES NTE'!$H$5:$H$31,'[1]DIRETORES NTE'!$E$5:$E$31,),2,0),"-")</f>
        <v>-</v>
      </c>
    </row>
    <row r="921" spans="1:15" x14ac:dyDescent="0.25">
      <c r="A921" s="10">
        <v>919</v>
      </c>
      <c r="B921" s="11">
        <v>17</v>
      </c>
      <c r="C921" s="11" t="s">
        <v>2647</v>
      </c>
      <c r="D921" s="11">
        <v>1178254</v>
      </c>
      <c r="E921" s="11">
        <v>29468000</v>
      </c>
      <c r="F921" s="12" t="s">
        <v>3297</v>
      </c>
      <c r="G921" s="11" t="s">
        <v>3298</v>
      </c>
      <c r="H921" t="s">
        <v>3299</v>
      </c>
      <c r="I921" s="13">
        <v>72824727500</v>
      </c>
      <c r="J921" s="14">
        <v>11822</v>
      </c>
      <c r="K921" s="14">
        <v>11822</v>
      </c>
      <c r="L921" s="10" t="s">
        <v>455</v>
      </c>
      <c r="M921" s="14">
        <v>0</v>
      </c>
      <c r="N921" s="15">
        <v>0</v>
      </c>
      <c r="O921" t="str">
        <f>IFERROR(VLOOKUP($I921,CHOOSE({1,2},'[1]DIRETORES NTE'!$H$5:$H$31,'[1]DIRETORES NTE'!$E$5:$E$31,),2,0),"-")</f>
        <v>-</v>
      </c>
    </row>
    <row r="922" spans="1:15" x14ac:dyDescent="0.25">
      <c r="A922" s="10">
        <v>920</v>
      </c>
      <c r="B922" s="11">
        <v>26</v>
      </c>
      <c r="C922" s="11" t="s">
        <v>95</v>
      </c>
      <c r="D922" s="11">
        <v>1102976</v>
      </c>
      <c r="E922" s="11">
        <v>29190932</v>
      </c>
      <c r="F922" s="12" t="s">
        <v>3300</v>
      </c>
      <c r="G922" s="11" t="s">
        <v>3301</v>
      </c>
      <c r="H922" t="s">
        <v>3302</v>
      </c>
      <c r="I922" s="13">
        <v>92584292572</v>
      </c>
      <c r="J922" s="14">
        <v>17630</v>
      </c>
      <c r="K922" s="14">
        <v>30</v>
      </c>
      <c r="L922" s="10" t="s">
        <v>99</v>
      </c>
      <c r="M922" s="14">
        <v>17600</v>
      </c>
      <c r="N922" s="15">
        <v>0.99829835507657405</v>
      </c>
      <c r="O922" t="str">
        <f>IFERROR(VLOOKUP($I922,CHOOSE({1,2},'[1]DIRETORES NTE'!$H$5:$H$31,'[1]DIRETORES NTE'!$E$5:$E$31,),2,0),"-")</f>
        <v>-</v>
      </c>
    </row>
    <row r="923" spans="1:15" x14ac:dyDescent="0.25">
      <c r="A923" s="10">
        <v>921</v>
      </c>
      <c r="B923" s="11">
        <v>8</v>
      </c>
      <c r="C923" s="11" t="s">
        <v>3303</v>
      </c>
      <c r="D923" s="11">
        <v>1118511</v>
      </c>
      <c r="E923" s="11">
        <v>29297974</v>
      </c>
      <c r="F923" s="12" t="s">
        <v>3304</v>
      </c>
      <c r="G923" s="11" t="s">
        <v>3305</v>
      </c>
      <c r="H923" t="s">
        <v>3306</v>
      </c>
      <c r="I923" s="13">
        <v>31466800500</v>
      </c>
      <c r="J923" s="14">
        <v>4789</v>
      </c>
      <c r="K923" s="14">
        <v>0.2</v>
      </c>
      <c r="L923" s="10" t="s">
        <v>285</v>
      </c>
      <c r="M923" s="14">
        <v>4788.8</v>
      </c>
      <c r="N923" s="15">
        <v>0.99995823762789726</v>
      </c>
      <c r="O923" t="str">
        <f>IFERROR(VLOOKUP($I923,CHOOSE({1,2},'[1]DIRETORES NTE'!$H$5:$H$31,'[1]DIRETORES NTE'!$E$5:$E$31,),2,0),"-")</f>
        <v>-</v>
      </c>
    </row>
    <row r="924" spans="1:15" x14ac:dyDescent="0.25">
      <c r="A924" s="10">
        <v>922</v>
      </c>
      <c r="B924" s="11">
        <v>23</v>
      </c>
      <c r="C924" s="11" t="s">
        <v>3307</v>
      </c>
      <c r="D924" s="11">
        <v>1131607</v>
      </c>
      <c r="E924" s="11">
        <v>29011604</v>
      </c>
      <c r="F924" s="12" t="s">
        <v>3308</v>
      </c>
      <c r="G924" s="11" t="s">
        <v>3309</v>
      </c>
      <c r="H924" t="s">
        <v>3310</v>
      </c>
      <c r="I924" s="13">
        <v>36892602134</v>
      </c>
      <c r="J924" s="14">
        <v>11943</v>
      </c>
      <c r="K924" s="14">
        <v>11943</v>
      </c>
      <c r="L924" s="10" t="s">
        <v>373</v>
      </c>
      <c r="M924" s="14">
        <v>0</v>
      </c>
      <c r="N924" s="15">
        <v>0</v>
      </c>
      <c r="O924" t="str">
        <f>IFERROR(VLOOKUP($I924,CHOOSE({1,2},'[1]DIRETORES NTE'!$H$5:$H$31,'[1]DIRETORES NTE'!$E$5:$E$31,),2,0),"-")</f>
        <v>-</v>
      </c>
    </row>
    <row r="925" spans="1:15" x14ac:dyDescent="0.25">
      <c r="A925" s="10">
        <v>923</v>
      </c>
      <c r="B925" s="11">
        <v>18</v>
      </c>
      <c r="C925" s="11" t="s">
        <v>64</v>
      </c>
      <c r="D925" s="11">
        <v>1176092</v>
      </c>
      <c r="E925" s="11">
        <v>29150450</v>
      </c>
      <c r="F925" s="12" t="s">
        <v>3311</v>
      </c>
      <c r="G925" s="11" t="s">
        <v>3312</v>
      </c>
      <c r="H925" t="s">
        <v>3313</v>
      </c>
      <c r="I925" s="13">
        <v>72530820520</v>
      </c>
      <c r="J925" s="14">
        <v>11549</v>
      </c>
      <c r="K925" s="14">
        <v>11549</v>
      </c>
      <c r="L925" s="10" t="s">
        <v>68</v>
      </c>
      <c r="M925" s="14">
        <v>0</v>
      </c>
      <c r="N925" s="15">
        <v>0</v>
      </c>
      <c r="O925" t="str">
        <f>IFERROR(VLOOKUP($I925,CHOOSE({1,2},'[1]DIRETORES NTE'!$H$5:$H$31,'[1]DIRETORES NTE'!$E$5:$E$31,),2,0),"-")</f>
        <v>-</v>
      </c>
    </row>
    <row r="926" spans="1:15" x14ac:dyDescent="0.25">
      <c r="A926" s="10">
        <v>924</v>
      </c>
      <c r="B926" s="11">
        <v>18</v>
      </c>
      <c r="C926" s="11" t="s">
        <v>64</v>
      </c>
      <c r="D926" s="11">
        <v>1108028</v>
      </c>
      <c r="E926" s="11">
        <v>29150663</v>
      </c>
      <c r="F926" s="12" t="s">
        <v>3314</v>
      </c>
      <c r="G926" s="11" t="s">
        <v>3315</v>
      </c>
      <c r="H926" t="s">
        <v>3316</v>
      </c>
      <c r="I926" s="13">
        <v>72517662568</v>
      </c>
      <c r="J926" s="14">
        <v>9474</v>
      </c>
      <c r="K926" s="14">
        <v>9474</v>
      </c>
      <c r="L926" s="10" t="s">
        <v>68</v>
      </c>
      <c r="M926" s="14">
        <v>0</v>
      </c>
      <c r="N926" s="15">
        <v>0</v>
      </c>
      <c r="O926" t="str">
        <f>IFERROR(VLOOKUP($I926,CHOOSE({1,2},'[1]DIRETORES NTE'!$H$5:$H$31,'[1]DIRETORES NTE'!$E$5:$E$31,),2,0),"-")</f>
        <v>-</v>
      </c>
    </row>
    <row r="927" spans="1:15" x14ac:dyDescent="0.25">
      <c r="A927" s="10">
        <v>925</v>
      </c>
      <c r="B927" s="11">
        <v>19</v>
      </c>
      <c r="C927" s="11" t="s">
        <v>3317</v>
      </c>
      <c r="D927" s="11">
        <v>1105460</v>
      </c>
      <c r="E927" s="11">
        <v>29090350</v>
      </c>
      <c r="F927" s="12" t="s">
        <v>3318</v>
      </c>
      <c r="G927" s="11" t="s">
        <v>3319</v>
      </c>
      <c r="H927" t="s">
        <v>3320</v>
      </c>
      <c r="I927" s="13" t="s">
        <v>3321</v>
      </c>
      <c r="J927" s="14">
        <v>6457</v>
      </c>
      <c r="K927" s="14">
        <v>6457</v>
      </c>
      <c r="L927" s="10" t="s">
        <v>336</v>
      </c>
      <c r="M927" s="14">
        <v>0</v>
      </c>
      <c r="N927" s="15">
        <v>0</v>
      </c>
      <c r="O927" t="str">
        <f>IFERROR(VLOOKUP($I927,CHOOSE({1,2},'[1]DIRETORES NTE'!$H$5:$H$31,'[1]DIRETORES NTE'!$E$5:$E$31,),2,0),"-")</f>
        <v>-</v>
      </c>
    </row>
    <row r="928" spans="1:15" x14ac:dyDescent="0.25">
      <c r="A928" s="10">
        <v>926</v>
      </c>
      <c r="B928" s="11">
        <v>7</v>
      </c>
      <c r="C928" s="11" t="s">
        <v>201</v>
      </c>
      <c r="D928" s="11">
        <v>1178128</v>
      </c>
      <c r="E928" s="11">
        <v>29327229</v>
      </c>
      <c r="F928" s="12" t="s">
        <v>3322</v>
      </c>
      <c r="G928" s="11" t="s">
        <v>3323</v>
      </c>
      <c r="H928" t="s">
        <v>3324</v>
      </c>
      <c r="I928" s="13">
        <v>96006773520</v>
      </c>
      <c r="J928" s="14">
        <v>2662</v>
      </c>
      <c r="K928" s="14">
        <v>2662</v>
      </c>
      <c r="L928" s="10" t="s">
        <v>153</v>
      </c>
      <c r="M928" s="14">
        <v>0</v>
      </c>
      <c r="N928" s="15">
        <v>0</v>
      </c>
      <c r="O928" t="str">
        <f>IFERROR(VLOOKUP($I928,CHOOSE({1,2},'[1]DIRETORES NTE'!$H$5:$H$31,'[1]DIRETORES NTE'!$E$5:$E$31,),2,0),"-")</f>
        <v>-</v>
      </c>
    </row>
    <row r="929" spans="1:15" x14ac:dyDescent="0.25">
      <c r="A929" s="10">
        <v>927</v>
      </c>
      <c r="B929" s="11">
        <v>15</v>
      </c>
      <c r="C929" s="11" t="s">
        <v>3325</v>
      </c>
      <c r="D929" s="11">
        <v>1122861</v>
      </c>
      <c r="E929" s="11">
        <v>29085500</v>
      </c>
      <c r="F929" s="12" t="s">
        <v>3326</v>
      </c>
      <c r="G929" s="11" t="s">
        <v>3327</v>
      </c>
      <c r="H929" t="s">
        <v>3328</v>
      </c>
      <c r="I929" s="13">
        <v>39448460520</v>
      </c>
      <c r="J929" s="14">
        <v>15840</v>
      </c>
      <c r="K929" s="14">
        <v>15840</v>
      </c>
      <c r="L929" s="10" t="s">
        <v>280</v>
      </c>
      <c r="M929" s="14">
        <v>0</v>
      </c>
      <c r="N929" s="15">
        <v>0</v>
      </c>
      <c r="O929" t="str">
        <f>IFERROR(VLOOKUP($I929,CHOOSE({1,2},'[1]DIRETORES NTE'!$H$5:$H$31,'[1]DIRETORES NTE'!$E$5:$E$31,),2,0),"-")</f>
        <v>-</v>
      </c>
    </row>
    <row r="930" spans="1:15" x14ac:dyDescent="0.25">
      <c r="A930" s="10">
        <v>928</v>
      </c>
      <c r="B930" s="11">
        <v>20</v>
      </c>
      <c r="C930" s="11" t="s">
        <v>2343</v>
      </c>
      <c r="D930" s="11">
        <v>1124856</v>
      </c>
      <c r="E930" s="11">
        <v>29267480</v>
      </c>
      <c r="F930" s="12" t="s">
        <v>3329</v>
      </c>
      <c r="G930" s="11" t="s">
        <v>3330</v>
      </c>
      <c r="H930" t="s">
        <v>3331</v>
      </c>
      <c r="I930" s="13">
        <v>90712501568</v>
      </c>
      <c r="J930" s="14">
        <v>24751</v>
      </c>
      <c r="K930" s="14">
        <v>24751</v>
      </c>
      <c r="L930" s="10" t="s">
        <v>27</v>
      </c>
      <c r="M930" s="14">
        <v>0</v>
      </c>
      <c r="N930" s="15">
        <v>0</v>
      </c>
      <c r="O930" t="str">
        <f>IFERROR(VLOOKUP($I930,CHOOSE({1,2},'[1]DIRETORES NTE'!$H$5:$H$31,'[1]DIRETORES NTE'!$E$5:$E$31,),2,0),"-")</f>
        <v>-</v>
      </c>
    </row>
    <row r="931" spans="1:15" x14ac:dyDescent="0.25">
      <c r="A931" s="10">
        <v>929</v>
      </c>
      <c r="B931" s="11">
        <v>2</v>
      </c>
      <c r="C931" s="11" t="s">
        <v>967</v>
      </c>
      <c r="D931" s="11">
        <v>1164890</v>
      </c>
      <c r="E931" s="11">
        <v>29047250</v>
      </c>
      <c r="F931" s="12" t="s">
        <v>3332</v>
      </c>
      <c r="G931" s="11" t="s">
        <v>3333</v>
      </c>
      <c r="H931" t="s">
        <v>3334</v>
      </c>
      <c r="I931" s="13">
        <v>37922580568</v>
      </c>
      <c r="J931" s="14">
        <v>7533</v>
      </c>
      <c r="K931" s="14">
        <v>7533</v>
      </c>
      <c r="L931" s="10" t="s">
        <v>105</v>
      </c>
      <c r="M931" s="14">
        <v>0</v>
      </c>
      <c r="N931" s="15">
        <v>0</v>
      </c>
      <c r="O931" t="str">
        <f>IFERROR(VLOOKUP($I931,CHOOSE({1,2},'[1]DIRETORES NTE'!$H$5:$H$31,'[1]DIRETORES NTE'!$E$5:$E$31,),2,0),"-")</f>
        <v>-</v>
      </c>
    </row>
    <row r="932" spans="1:15" x14ac:dyDescent="0.25">
      <c r="A932" s="10">
        <v>930</v>
      </c>
      <c r="B932" s="11">
        <v>26</v>
      </c>
      <c r="C932" s="11" t="s">
        <v>95</v>
      </c>
      <c r="D932" s="11">
        <v>1104570</v>
      </c>
      <c r="E932" s="11">
        <v>29191360</v>
      </c>
      <c r="F932" s="12" t="s">
        <v>3335</v>
      </c>
      <c r="G932" s="11" t="s">
        <v>3336</v>
      </c>
      <c r="H932" t="s">
        <v>3337</v>
      </c>
      <c r="I932" s="13">
        <v>32762747520</v>
      </c>
      <c r="J932" s="14">
        <v>6061</v>
      </c>
      <c r="K932" s="14">
        <v>6061</v>
      </c>
      <c r="L932" s="10" t="s">
        <v>99</v>
      </c>
      <c r="M932" s="14">
        <v>0</v>
      </c>
      <c r="N932" s="15">
        <v>0</v>
      </c>
      <c r="O932" t="str">
        <f>IFERROR(VLOOKUP($I932,CHOOSE({1,2},'[1]DIRETORES NTE'!$H$5:$H$31,'[1]DIRETORES NTE'!$E$5:$E$31,),2,0),"-")</f>
        <v>-</v>
      </c>
    </row>
    <row r="933" spans="1:15" x14ac:dyDescent="0.25">
      <c r="A933" s="10">
        <v>931</v>
      </c>
      <c r="B933" s="11">
        <v>5</v>
      </c>
      <c r="C933" s="11" t="s">
        <v>209</v>
      </c>
      <c r="D933" s="11">
        <v>1112149</v>
      </c>
      <c r="E933" s="11">
        <v>29304296</v>
      </c>
      <c r="F933" s="12" t="s">
        <v>3338</v>
      </c>
      <c r="G933" s="11" t="s">
        <v>3339</v>
      </c>
      <c r="H933" t="s">
        <v>3340</v>
      </c>
      <c r="I933" s="13">
        <v>25972650568</v>
      </c>
      <c r="J933" s="14">
        <v>14315</v>
      </c>
      <c r="K933" s="14">
        <v>14315</v>
      </c>
      <c r="L933" s="10" t="s">
        <v>44</v>
      </c>
      <c r="M933" s="14">
        <v>0</v>
      </c>
      <c r="N933" s="15">
        <v>0</v>
      </c>
      <c r="O933" t="str">
        <f>IFERROR(VLOOKUP($I933,CHOOSE({1,2},'[1]DIRETORES NTE'!$H$5:$H$31,'[1]DIRETORES NTE'!$E$5:$E$31,),2,0),"-")</f>
        <v>-</v>
      </c>
    </row>
    <row r="934" spans="1:15" x14ac:dyDescent="0.25">
      <c r="A934" s="10">
        <v>932</v>
      </c>
      <c r="B934" s="11">
        <v>7</v>
      </c>
      <c r="C934" s="11" t="s">
        <v>3341</v>
      </c>
      <c r="D934" s="11">
        <v>1179661</v>
      </c>
      <c r="E934" s="11">
        <v>29474272</v>
      </c>
      <c r="F934" s="12" t="s">
        <v>3342</v>
      </c>
      <c r="G934" s="11" t="s">
        <v>3343</v>
      </c>
      <c r="H934" t="s">
        <v>3344</v>
      </c>
      <c r="I934" s="13" t="s">
        <v>3345</v>
      </c>
      <c r="J934" s="14">
        <v>10465</v>
      </c>
      <c r="K934" s="14">
        <v>5396.61</v>
      </c>
      <c r="L934" s="10" t="s">
        <v>153</v>
      </c>
      <c r="M934" s="14">
        <v>5068.3900000000003</v>
      </c>
      <c r="N934" s="15">
        <v>0.48431820353559485</v>
      </c>
      <c r="O934" t="str">
        <f>IFERROR(VLOOKUP($I934,CHOOSE({1,2},'[1]DIRETORES NTE'!$H$5:$H$31,'[1]DIRETORES NTE'!$E$5:$E$31,),2,0),"-")</f>
        <v>-</v>
      </c>
    </row>
    <row r="935" spans="1:15" x14ac:dyDescent="0.25">
      <c r="A935" s="10">
        <v>933</v>
      </c>
      <c r="B935" s="11">
        <v>26</v>
      </c>
      <c r="C935" s="11" t="s">
        <v>95</v>
      </c>
      <c r="D935" s="11">
        <v>1101651</v>
      </c>
      <c r="E935" s="11">
        <v>29190770</v>
      </c>
      <c r="F935" s="12" t="s">
        <v>3346</v>
      </c>
      <c r="G935" s="11" t="s">
        <v>3347</v>
      </c>
      <c r="H935" t="s">
        <v>3348</v>
      </c>
      <c r="I935" s="13">
        <v>42943868515</v>
      </c>
      <c r="J935" s="14">
        <v>10352</v>
      </c>
      <c r="K935" s="14">
        <v>1486.5</v>
      </c>
      <c r="L935" s="10" t="s">
        <v>99</v>
      </c>
      <c r="M935" s="14">
        <v>8865.5</v>
      </c>
      <c r="N935" s="15">
        <v>0.85640455950540961</v>
      </c>
      <c r="O935" t="str">
        <f>IFERROR(VLOOKUP($I935,CHOOSE({1,2},'[1]DIRETORES NTE'!$H$5:$H$31,'[1]DIRETORES NTE'!$E$5:$E$31,),2,0),"-")</f>
        <v>-</v>
      </c>
    </row>
    <row r="936" spans="1:15" x14ac:dyDescent="0.25">
      <c r="A936" s="10">
        <v>934</v>
      </c>
      <c r="B936" s="11">
        <v>26</v>
      </c>
      <c r="C936" s="11" t="s">
        <v>95</v>
      </c>
      <c r="D936" s="11">
        <v>1136072</v>
      </c>
      <c r="E936" s="11">
        <v>29192226</v>
      </c>
      <c r="F936" s="12" t="s">
        <v>3349</v>
      </c>
      <c r="G936" s="11" t="s">
        <v>3350</v>
      </c>
      <c r="H936" t="s">
        <v>3351</v>
      </c>
      <c r="I936" s="13">
        <v>51504650549</v>
      </c>
      <c r="J936" s="14">
        <v>13133</v>
      </c>
      <c r="K936" s="14">
        <v>1030.06</v>
      </c>
      <c r="L936" s="10" t="s">
        <v>99</v>
      </c>
      <c r="M936" s="14">
        <v>12102.94</v>
      </c>
      <c r="N936" s="15">
        <v>0.9215670448488541</v>
      </c>
      <c r="O936" t="str">
        <f>IFERROR(VLOOKUP($I936,CHOOSE({1,2},'[1]DIRETORES NTE'!$H$5:$H$31,'[1]DIRETORES NTE'!$E$5:$E$31,),2,0),"-")</f>
        <v>-</v>
      </c>
    </row>
    <row r="937" spans="1:15" x14ac:dyDescent="0.25">
      <c r="A937" s="10">
        <v>935</v>
      </c>
      <c r="B937" s="11">
        <v>19</v>
      </c>
      <c r="C937" s="11" t="s">
        <v>331</v>
      </c>
      <c r="D937" s="11">
        <v>1106289</v>
      </c>
      <c r="E937" s="11">
        <v>29093350</v>
      </c>
      <c r="F937" s="12" t="s">
        <v>3352</v>
      </c>
      <c r="G937" s="11" t="s">
        <v>3353</v>
      </c>
      <c r="H937" t="s">
        <v>3354</v>
      </c>
      <c r="I937" s="13">
        <v>70568251504</v>
      </c>
      <c r="J937" s="14">
        <v>10927</v>
      </c>
      <c r="K937" s="14">
        <v>10927</v>
      </c>
      <c r="L937" s="10" t="s">
        <v>336</v>
      </c>
      <c r="M937" s="14">
        <v>0</v>
      </c>
      <c r="N937" s="15">
        <v>0</v>
      </c>
      <c r="O937" t="str">
        <f>IFERROR(VLOOKUP($I937,CHOOSE({1,2},'[1]DIRETORES NTE'!$H$5:$H$31,'[1]DIRETORES NTE'!$E$5:$E$31,),2,0),"-")</f>
        <v>-</v>
      </c>
    </row>
    <row r="938" spans="1:15" x14ac:dyDescent="0.25">
      <c r="A938" s="10">
        <v>936</v>
      </c>
      <c r="B938" s="11">
        <v>26</v>
      </c>
      <c r="C938" s="11" t="s">
        <v>916</v>
      </c>
      <c r="D938" s="11">
        <v>1103395</v>
      </c>
      <c r="E938" s="11">
        <v>29201853</v>
      </c>
      <c r="F938" s="12" t="s">
        <v>3355</v>
      </c>
      <c r="G938" s="11" t="s">
        <v>3356</v>
      </c>
      <c r="H938" t="s">
        <v>3357</v>
      </c>
      <c r="I938" s="13">
        <v>91284449572</v>
      </c>
      <c r="J938" s="14">
        <v>5860</v>
      </c>
      <c r="K938" s="14">
        <v>0.4</v>
      </c>
      <c r="L938" s="10" t="s">
        <v>99</v>
      </c>
      <c r="M938" s="14">
        <v>5859.6</v>
      </c>
      <c r="N938" s="15">
        <v>0.99993174061433454</v>
      </c>
      <c r="O938" t="str">
        <f>IFERROR(VLOOKUP($I938,CHOOSE({1,2},'[1]DIRETORES NTE'!$H$5:$H$31,'[1]DIRETORES NTE'!$E$5:$E$31,),2,0),"-")</f>
        <v>-</v>
      </c>
    </row>
    <row r="939" spans="1:15" x14ac:dyDescent="0.25">
      <c r="A939" s="10">
        <v>937</v>
      </c>
      <c r="B939" s="11">
        <v>26</v>
      </c>
      <c r="C939" s="11" t="s">
        <v>95</v>
      </c>
      <c r="D939" s="11">
        <v>1174500</v>
      </c>
      <c r="E939" s="11">
        <v>29179815</v>
      </c>
      <c r="F939" s="12" t="s">
        <v>3358</v>
      </c>
      <c r="G939" s="11" t="s">
        <v>3359</v>
      </c>
      <c r="H939" t="s">
        <v>3360</v>
      </c>
      <c r="I939" s="13">
        <v>35927933572</v>
      </c>
      <c r="J939" s="14">
        <v>9752</v>
      </c>
      <c r="K939" s="14">
        <v>9752</v>
      </c>
      <c r="L939" s="10" t="s">
        <v>99</v>
      </c>
      <c r="M939" s="14">
        <v>0</v>
      </c>
      <c r="N939" s="15">
        <v>0</v>
      </c>
      <c r="O939" t="str">
        <f>IFERROR(VLOOKUP($I939,CHOOSE({1,2},'[1]DIRETORES NTE'!$H$5:$H$31,'[1]DIRETORES NTE'!$E$5:$E$31,),2,0),"-")</f>
        <v>-</v>
      </c>
    </row>
    <row r="940" spans="1:15" x14ac:dyDescent="0.25">
      <c r="A940" s="10">
        <v>938</v>
      </c>
      <c r="B940" s="11">
        <v>4</v>
      </c>
      <c r="C940" s="11" t="s">
        <v>3361</v>
      </c>
      <c r="D940" s="11">
        <v>1116446</v>
      </c>
      <c r="E940" s="11">
        <v>29147913</v>
      </c>
      <c r="F940" s="12" t="s">
        <v>3362</v>
      </c>
      <c r="G940" s="11" t="s">
        <v>3363</v>
      </c>
      <c r="H940" t="s">
        <v>3364</v>
      </c>
      <c r="I940" s="13">
        <v>65122828504</v>
      </c>
      <c r="J940" s="14">
        <v>17994</v>
      </c>
      <c r="K940" s="14">
        <v>17994</v>
      </c>
      <c r="L940" s="10" t="s">
        <v>58</v>
      </c>
      <c r="M940" s="14">
        <v>0</v>
      </c>
      <c r="N940" s="15">
        <v>0</v>
      </c>
      <c r="O940" t="str">
        <f>IFERROR(VLOOKUP($I940,CHOOSE({1,2},'[1]DIRETORES NTE'!$H$5:$H$31,'[1]DIRETORES NTE'!$E$5:$E$31,),2,0),"-")</f>
        <v>-</v>
      </c>
    </row>
    <row r="941" spans="1:15" x14ac:dyDescent="0.25">
      <c r="A941" s="10">
        <v>939</v>
      </c>
      <c r="B941" s="11">
        <v>19</v>
      </c>
      <c r="C941" s="11" t="s">
        <v>331</v>
      </c>
      <c r="D941" s="11">
        <v>1163894</v>
      </c>
      <c r="E941" s="11">
        <v>29097509</v>
      </c>
      <c r="F941" s="12" t="s">
        <v>3365</v>
      </c>
      <c r="G941" s="11" t="s">
        <v>3366</v>
      </c>
      <c r="H941" t="s">
        <v>3367</v>
      </c>
      <c r="I941" s="13">
        <v>93116527504</v>
      </c>
      <c r="J941" s="14">
        <v>5450</v>
      </c>
      <c r="K941" s="14">
        <v>239.45</v>
      </c>
      <c r="L941" s="10" t="s">
        <v>336</v>
      </c>
      <c r="M941" s="14">
        <v>5210.55</v>
      </c>
      <c r="N941" s="15">
        <v>0.95606422018348625</v>
      </c>
      <c r="O941" t="str">
        <f>IFERROR(VLOOKUP($I941,CHOOSE({1,2},'[1]DIRETORES NTE'!$H$5:$H$31,'[1]DIRETORES NTE'!$E$5:$E$31,),2,0),"-")</f>
        <v>-</v>
      </c>
    </row>
    <row r="942" spans="1:15" x14ac:dyDescent="0.25">
      <c r="A942" s="10">
        <v>940</v>
      </c>
      <c r="B942" s="11">
        <v>1</v>
      </c>
      <c r="C942" s="11" t="s">
        <v>2999</v>
      </c>
      <c r="D942" s="11">
        <v>1126050</v>
      </c>
      <c r="E942" s="11">
        <v>29062519</v>
      </c>
      <c r="F942" s="12" t="s">
        <v>3368</v>
      </c>
      <c r="G942" s="11" t="s">
        <v>3369</v>
      </c>
      <c r="H942" t="s">
        <v>3370</v>
      </c>
      <c r="I942" s="13" t="s">
        <v>3371</v>
      </c>
      <c r="J942" s="14">
        <v>6630</v>
      </c>
      <c r="K942" s="14">
        <v>6630</v>
      </c>
      <c r="L942" s="10" t="s">
        <v>356</v>
      </c>
      <c r="M942" s="14">
        <v>0</v>
      </c>
      <c r="N942" s="15">
        <v>0</v>
      </c>
      <c r="O942" t="str">
        <f>IFERROR(VLOOKUP($I942,CHOOSE({1,2},'[1]DIRETORES NTE'!$H$5:$H$31,'[1]DIRETORES NTE'!$E$5:$E$31,),2,0),"-")</f>
        <v>-</v>
      </c>
    </row>
    <row r="943" spans="1:15" x14ac:dyDescent="0.25">
      <c r="A943" s="10">
        <v>941</v>
      </c>
      <c r="B943" s="11">
        <v>2</v>
      </c>
      <c r="C943" s="11" t="s">
        <v>100</v>
      </c>
      <c r="D943" s="11">
        <v>1178407</v>
      </c>
      <c r="E943" s="11">
        <v>29397758</v>
      </c>
      <c r="F943" s="12" t="s">
        <v>3372</v>
      </c>
      <c r="G943" s="11" t="s">
        <v>3373</v>
      </c>
      <c r="H943" t="s">
        <v>3374</v>
      </c>
      <c r="I943" s="13">
        <v>56697171634</v>
      </c>
      <c r="J943" s="14">
        <v>2030</v>
      </c>
      <c r="K943" s="14">
        <v>2030</v>
      </c>
      <c r="L943" s="10" t="s">
        <v>105</v>
      </c>
      <c r="M943" s="14">
        <v>0</v>
      </c>
      <c r="N943" s="15">
        <v>0</v>
      </c>
      <c r="O943" t="str">
        <f>IFERROR(VLOOKUP($I943,CHOOSE({1,2},'[1]DIRETORES NTE'!$H$5:$H$31,'[1]DIRETORES NTE'!$E$5:$E$31,),2,0),"-")</f>
        <v>-</v>
      </c>
    </row>
    <row r="944" spans="1:15" x14ac:dyDescent="0.25">
      <c r="A944" s="10">
        <v>942</v>
      </c>
      <c r="B944" s="11">
        <v>5</v>
      </c>
      <c r="C944" s="11" t="s">
        <v>3375</v>
      </c>
      <c r="D944" s="11">
        <v>1178107</v>
      </c>
      <c r="E944" s="11">
        <v>29436184</v>
      </c>
      <c r="F944" s="12" t="s">
        <v>649</v>
      </c>
      <c r="G944" s="11" t="s">
        <v>3376</v>
      </c>
      <c r="H944" t="s">
        <v>3377</v>
      </c>
      <c r="I944" s="13">
        <v>97394696553</v>
      </c>
      <c r="J944" s="14">
        <v>15395</v>
      </c>
      <c r="K944" s="14">
        <v>15395</v>
      </c>
      <c r="L944" s="10" t="s">
        <v>44</v>
      </c>
      <c r="M944" s="14">
        <v>0</v>
      </c>
      <c r="N944" s="15">
        <v>0</v>
      </c>
      <c r="O944" t="str">
        <f>IFERROR(VLOOKUP($I944,CHOOSE({1,2},'[1]DIRETORES NTE'!$H$5:$H$31,'[1]DIRETORES NTE'!$E$5:$E$31,),2,0),"-")</f>
        <v>-</v>
      </c>
    </row>
    <row r="945" spans="1:15" x14ac:dyDescent="0.25">
      <c r="A945" s="10">
        <v>943</v>
      </c>
      <c r="B945" s="11">
        <v>5</v>
      </c>
      <c r="C945" s="11" t="s">
        <v>3378</v>
      </c>
      <c r="D945" s="11">
        <v>1177004</v>
      </c>
      <c r="E945" s="11">
        <v>29406668</v>
      </c>
      <c r="F945" s="12" t="s">
        <v>468</v>
      </c>
      <c r="G945" s="11" t="s">
        <v>3379</v>
      </c>
      <c r="H945" t="s">
        <v>3380</v>
      </c>
      <c r="I945" s="13">
        <v>57607060553</v>
      </c>
      <c r="J945" s="14">
        <v>4572</v>
      </c>
      <c r="K945" s="14">
        <v>4572</v>
      </c>
      <c r="L945" s="10" t="s">
        <v>44</v>
      </c>
      <c r="M945" s="14">
        <v>0</v>
      </c>
      <c r="N945" s="15">
        <v>0</v>
      </c>
      <c r="O945" t="str">
        <f>IFERROR(VLOOKUP($I945,CHOOSE({1,2},'[1]DIRETORES NTE'!$H$5:$H$31,'[1]DIRETORES NTE'!$E$5:$E$31,),2,0),"-")</f>
        <v>-</v>
      </c>
    </row>
    <row r="946" spans="1:15" x14ac:dyDescent="0.25">
      <c r="A946" s="10">
        <v>944</v>
      </c>
      <c r="B946" s="11" t="s">
        <v>237</v>
      </c>
      <c r="C946" s="11" t="s">
        <v>237</v>
      </c>
      <c r="D946" s="11" t="s">
        <v>237</v>
      </c>
      <c r="E946" s="11" t="s">
        <v>237</v>
      </c>
      <c r="F946" s="12" t="s">
        <v>237</v>
      </c>
      <c r="G946" s="11" t="s">
        <v>237</v>
      </c>
      <c r="H946" t="s">
        <v>3381</v>
      </c>
      <c r="I946" s="13">
        <v>65527720504</v>
      </c>
      <c r="J946" s="14">
        <v>3935</v>
      </c>
      <c r="K946" s="14">
        <v>3935</v>
      </c>
      <c r="L946" s="10" t="s">
        <v>200</v>
      </c>
      <c r="M946" s="14">
        <v>0</v>
      </c>
      <c r="N946" s="15">
        <v>0</v>
      </c>
      <c r="O946" t="str">
        <f>IFERROR(VLOOKUP($I946,CHOOSE({1,2},'[1]DIRETORES NTE'!$H$5:$H$31,'[1]DIRETORES NTE'!$E$5:$E$31,),2,0),"-")</f>
        <v>SILVANA PEREIRA SANTOS (DIRETOR DE NTE)</v>
      </c>
    </row>
    <row r="947" spans="1:15" x14ac:dyDescent="0.25">
      <c r="A947" s="10">
        <v>945</v>
      </c>
      <c r="B947" s="11">
        <v>25</v>
      </c>
      <c r="C947" s="11" t="s">
        <v>3382</v>
      </c>
      <c r="D947" s="11">
        <v>1164947</v>
      </c>
      <c r="E947" s="11">
        <v>29076846</v>
      </c>
      <c r="F947" s="12" t="s">
        <v>3383</v>
      </c>
      <c r="G947" s="11" t="s">
        <v>3384</v>
      </c>
      <c r="H947" t="s">
        <v>3385</v>
      </c>
      <c r="I947" s="13">
        <v>77662628515</v>
      </c>
      <c r="J947" s="14">
        <v>21608</v>
      </c>
      <c r="K947" s="14">
        <v>21608</v>
      </c>
      <c r="L947" s="10" t="s">
        <v>80</v>
      </c>
      <c r="M947" s="14">
        <v>0</v>
      </c>
      <c r="N947" s="15">
        <v>0</v>
      </c>
      <c r="O947" t="str">
        <f>IFERROR(VLOOKUP($I947,CHOOSE({1,2},'[1]DIRETORES NTE'!$H$5:$H$31,'[1]DIRETORES NTE'!$E$5:$E$31,),2,0),"-")</f>
        <v>-</v>
      </c>
    </row>
    <row r="948" spans="1:15" x14ac:dyDescent="0.25">
      <c r="A948" s="10">
        <v>946</v>
      </c>
      <c r="B948" s="11">
        <v>26</v>
      </c>
      <c r="C948" s="11" t="s">
        <v>95</v>
      </c>
      <c r="D948" s="11">
        <v>1100523</v>
      </c>
      <c r="E948" s="11">
        <v>29190738</v>
      </c>
      <c r="F948" s="12" t="s">
        <v>3386</v>
      </c>
      <c r="G948" s="11" t="s">
        <v>3387</v>
      </c>
      <c r="H948" t="s">
        <v>3388</v>
      </c>
      <c r="I948" s="13">
        <v>87577860549</v>
      </c>
      <c r="J948" s="14">
        <v>3854</v>
      </c>
      <c r="K948" s="14">
        <v>3854</v>
      </c>
      <c r="L948" s="10" t="s">
        <v>99</v>
      </c>
      <c r="M948" s="14">
        <v>0</v>
      </c>
      <c r="N948" s="15">
        <v>0</v>
      </c>
      <c r="O948" t="str">
        <f>IFERROR(VLOOKUP($I948,CHOOSE({1,2},'[1]DIRETORES NTE'!$H$5:$H$31,'[1]DIRETORES NTE'!$E$5:$E$31,),2,0),"-")</f>
        <v>-</v>
      </c>
    </row>
    <row r="949" spans="1:15" x14ac:dyDescent="0.25">
      <c r="A949" s="10">
        <v>947</v>
      </c>
      <c r="B949" s="11">
        <v>21</v>
      </c>
      <c r="C949" s="11" t="s">
        <v>1070</v>
      </c>
      <c r="D949" s="11">
        <v>1134932</v>
      </c>
      <c r="E949" s="11">
        <v>29174180</v>
      </c>
      <c r="F949" s="12" t="s">
        <v>3389</v>
      </c>
      <c r="G949" s="11" t="s">
        <v>3390</v>
      </c>
      <c r="H949" t="s">
        <v>3391</v>
      </c>
      <c r="I949" s="13">
        <v>45798630544</v>
      </c>
      <c r="J949" s="14">
        <v>4914</v>
      </c>
      <c r="K949" s="14">
        <v>0.5</v>
      </c>
      <c r="L949" s="10" t="s">
        <v>63</v>
      </c>
      <c r="M949" s="14">
        <v>4913.5</v>
      </c>
      <c r="N949" s="15">
        <v>0.99989824989824994</v>
      </c>
      <c r="O949" t="str">
        <f>IFERROR(VLOOKUP($I949,CHOOSE({1,2},'[1]DIRETORES NTE'!$H$5:$H$31,'[1]DIRETORES NTE'!$E$5:$E$31,),2,0),"-")</f>
        <v>-</v>
      </c>
    </row>
    <row r="950" spans="1:15" x14ac:dyDescent="0.25">
      <c r="A950" s="10">
        <v>948</v>
      </c>
      <c r="B950" s="11">
        <v>26</v>
      </c>
      <c r="C950" s="11" t="s">
        <v>95</v>
      </c>
      <c r="D950" s="11">
        <v>1100949</v>
      </c>
      <c r="E950" s="11">
        <v>29192889</v>
      </c>
      <c r="F950" s="12" t="s">
        <v>3392</v>
      </c>
      <c r="G950" s="11" t="s">
        <v>3393</v>
      </c>
      <c r="H950" t="s">
        <v>3394</v>
      </c>
      <c r="I950" s="13">
        <v>45410216504</v>
      </c>
      <c r="J950" s="14">
        <v>10329</v>
      </c>
      <c r="K950" s="14">
        <v>10329</v>
      </c>
      <c r="L950" s="10" t="s">
        <v>99</v>
      </c>
      <c r="M950" s="14">
        <v>0</v>
      </c>
      <c r="N950" s="15">
        <v>0</v>
      </c>
      <c r="O950" t="str">
        <f>IFERROR(VLOOKUP($I950,CHOOSE({1,2},'[1]DIRETORES NTE'!$H$5:$H$31,'[1]DIRETORES NTE'!$E$5:$E$31,),2,0),"-")</f>
        <v>-</v>
      </c>
    </row>
    <row r="951" spans="1:15" x14ac:dyDescent="0.25">
      <c r="A951" s="10">
        <v>949</v>
      </c>
      <c r="B951" s="11">
        <v>3</v>
      </c>
      <c r="C951" s="11" t="s">
        <v>1115</v>
      </c>
      <c r="D951" s="11">
        <v>1178028</v>
      </c>
      <c r="E951" s="11">
        <v>29425557</v>
      </c>
      <c r="F951" s="12" t="s">
        <v>3395</v>
      </c>
      <c r="G951" s="11" t="s">
        <v>3396</v>
      </c>
      <c r="H951" t="s">
        <v>3397</v>
      </c>
      <c r="I951" s="13" t="s">
        <v>3398</v>
      </c>
      <c r="J951" s="14">
        <v>4857</v>
      </c>
      <c r="K951" s="14">
        <v>4857</v>
      </c>
      <c r="L951" s="10" t="s">
        <v>117</v>
      </c>
      <c r="M951" s="14">
        <v>0</v>
      </c>
      <c r="N951" s="15">
        <v>0</v>
      </c>
      <c r="O951" t="str">
        <f>IFERROR(VLOOKUP($I951,CHOOSE({1,2},'[1]DIRETORES NTE'!$H$5:$H$31,'[1]DIRETORES NTE'!$E$5:$E$31,),2,0),"-")</f>
        <v>-</v>
      </c>
    </row>
    <row r="952" spans="1:15" x14ac:dyDescent="0.25">
      <c r="A952" s="10">
        <v>950</v>
      </c>
      <c r="B952" s="11">
        <v>18</v>
      </c>
      <c r="C952" s="11" t="s">
        <v>64</v>
      </c>
      <c r="D952" s="11">
        <v>1107960</v>
      </c>
      <c r="E952" s="11">
        <v>29150191</v>
      </c>
      <c r="F952" s="12" t="s">
        <v>3399</v>
      </c>
      <c r="G952" s="11" t="s">
        <v>3400</v>
      </c>
      <c r="H952" t="s">
        <v>3401</v>
      </c>
      <c r="I952" s="13">
        <v>64774732591</v>
      </c>
      <c r="J952" s="14">
        <v>5300</v>
      </c>
      <c r="K952" s="14">
        <v>5300</v>
      </c>
      <c r="L952" s="10" t="s">
        <v>68</v>
      </c>
      <c r="M952" s="14">
        <v>0</v>
      </c>
      <c r="N952" s="15">
        <v>0</v>
      </c>
      <c r="O952" t="str">
        <f>IFERROR(VLOOKUP($I952,CHOOSE({1,2},'[1]DIRETORES NTE'!$H$5:$H$31,'[1]DIRETORES NTE'!$E$5:$E$31,),2,0),"-")</f>
        <v>-</v>
      </c>
    </row>
    <row r="953" spans="1:15" x14ac:dyDescent="0.25">
      <c r="A953" s="10">
        <v>951</v>
      </c>
      <c r="B953" s="11">
        <v>19</v>
      </c>
      <c r="C953" s="11" t="s">
        <v>3402</v>
      </c>
      <c r="D953" s="11">
        <v>1160380</v>
      </c>
      <c r="E953" s="11">
        <v>29098165</v>
      </c>
      <c r="F953" s="12" t="s">
        <v>3403</v>
      </c>
      <c r="G953" s="11" t="s">
        <v>3404</v>
      </c>
      <c r="H953" t="s">
        <v>3405</v>
      </c>
      <c r="I953" s="13">
        <v>70759685568</v>
      </c>
      <c r="J953" s="14">
        <v>13743</v>
      </c>
      <c r="K953" s="14">
        <v>13743</v>
      </c>
      <c r="L953" s="10" t="s">
        <v>336</v>
      </c>
      <c r="M953" s="14">
        <v>0</v>
      </c>
      <c r="N953" s="15">
        <v>0</v>
      </c>
      <c r="O953" t="str">
        <f>IFERROR(VLOOKUP($I953,CHOOSE({1,2},'[1]DIRETORES NTE'!$H$5:$H$31,'[1]DIRETORES NTE'!$E$5:$E$31,),2,0),"-")</f>
        <v>-</v>
      </c>
    </row>
    <row r="954" spans="1:15" x14ac:dyDescent="0.25">
      <c r="A954" s="10">
        <v>952</v>
      </c>
      <c r="B954" s="11">
        <v>26</v>
      </c>
      <c r="C954" s="11" t="s">
        <v>95</v>
      </c>
      <c r="D954" s="11">
        <v>1103239</v>
      </c>
      <c r="E954" s="11">
        <v>29191130</v>
      </c>
      <c r="F954" s="12" t="s">
        <v>3406</v>
      </c>
      <c r="G954" s="11" t="s">
        <v>3407</v>
      </c>
      <c r="H954" t="s">
        <v>3408</v>
      </c>
      <c r="I954" s="13">
        <v>34925716549</v>
      </c>
      <c r="J954" s="14">
        <v>8324</v>
      </c>
      <c r="K954" s="14">
        <v>8324</v>
      </c>
      <c r="L954" s="10" t="s">
        <v>99</v>
      </c>
      <c r="M954" s="14">
        <v>0</v>
      </c>
      <c r="N954" s="15">
        <v>0</v>
      </c>
      <c r="O954" t="str">
        <f>IFERROR(VLOOKUP($I954,CHOOSE({1,2},'[1]DIRETORES NTE'!$H$5:$H$31,'[1]DIRETORES NTE'!$E$5:$E$31,),2,0),"-")</f>
        <v>-</v>
      </c>
    </row>
    <row r="955" spans="1:15" x14ac:dyDescent="0.25">
      <c r="A955" s="10">
        <v>953</v>
      </c>
      <c r="B955" s="11">
        <v>7</v>
      </c>
      <c r="C955" s="11" t="s">
        <v>820</v>
      </c>
      <c r="D955" s="11">
        <v>1113684</v>
      </c>
      <c r="E955" s="11">
        <v>29327911</v>
      </c>
      <c r="F955" s="12" t="s">
        <v>3409</v>
      </c>
      <c r="G955" s="11" t="s">
        <v>3410</v>
      </c>
      <c r="H955" t="s">
        <v>3411</v>
      </c>
      <c r="I955" s="13" t="s">
        <v>3412</v>
      </c>
      <c r="J955" s="14">
        <v>9093</v>
      </c>
      <c r="K955" s="14">
        <v>9093</v>
      </c>
      <c r="L955" s="10" t="s">
        <v>153</v>
      </c>
      <c r="M955" s="14">
        <v>0</v>
      </c>
      <c r="N955" s="15">
        <v>0</v>
      </c>
      <c r="O955" t="str">
        <f>IFERROR(VLOOKUP($I955,CHOOSE({1,2},'[1]DIRETORES NTE'!$H$5:$H$31,'[1]DIRETORES NTE'!$E$5:$E$31,),2,0),"-")</f>
        <v>-</v>
      </c>
    </row>
    <row r="956" spans="1:15" x14ac:dyDescent="0.25">
      <c r="A956" s="10">
        <v>954</v>
      </c>
      <c r="B956" s="11">
        <v>25</v>
      </c>
      <c r="C956" s="11" t="s">
        <v>3413</v>
      </c>
      <c r="D956" s="11">
        <v>1121172</v>
      </c>
      <c r="E956" s="11">
        <v>29050910</v>
      </c>
      <c r="F956" s="12" t="s">
        <v>3414</v>
      </c>
      <c r="G956" s="11" t="s">
        <v>3415</v>
      </c>
      <c r="H956" t="s">
        <v>3416</v>
      </c>
      <c r="I956" s="13">
        <v>73139513534</v>
      </c>
      <c r="J956" s="14">
        <v>19372</v>
      </c>
      <c r="K956" s="14">
        <v>19372</v>
      </c>
      <c r="L956" s="10" t="s">
        <v>80</v>
      </c>
      <c r="M956" s="14">
        <v>0</v>
      </c>
      <c r="N956" s="15">
        <v>0</v>
      </c>
      <c r="O956" t="str">
        <f>IFERROR(VLOOKUP($I956,CHOOSE({1,2},'[1]DIRETORES NTE'!$H$5:$H$31,'[1]DIRETORES NTE'!$E$5:$E$31,),2,0),"-")</f>
        <v>-</v>
      </c>
    </row>
    <row r="957" spans="1:15" x14ac:dyDescent="0.25">
      <c r="A957" s="10">
        <v>955</v>
      </c>
      <c r="B957" s="11">
        <v>6</v>
      </c>
      <c r="C957" s="11" t="s">
        <v>3417</v>
      </c>
      <c r="D957" s="11">
        <v>1110499</v>
      </c>
      <c r="E957" s="11">
        <v>29288339</v>
      </c>
      <c r="F957" s="12" t="s">
        <v>3418</v>
      </c>
      <c r="G957" s="11" t="s">
        <v>3419</v>
      </c>
      <c r="H957" t="s">
        <v>3420</v>
      </c>
      <c r="I957" s="13">
        <v>44283776572</v>
      </c>
      <c r="J957" s="14">
        <v>8057</v>
      </c>
      <c r="K957" s="14">
        <v>7178.97</v>
      </c>
      <c r="L957" s="10" t="s">
        <v>49</v>
      </c>
      <c r="M957" s="14">
        <v>878.02999999999975</v>
      </c>
      <c r="N957" s="15">
        <v>0.10897728683132676</v>
      </c>
      <c r="O957" t="str">
        <f>IFERROR(VLOOKUP($I957,CHOOSE({1,2},'[1]DIRETORES NTE'!$H$5:$H$31,'[1]DIRETORES NTE'!$E$5:$E$31,),2,0),"-")</f>
        <v>-</v>
      </c>
    </row>
    <row r="958" spans="1:15" x14ac:dyDescent="0.25">
      <c r="A958" s="10">
        <v>956</v>
      </c>
      <c r="B958" s="11">
        <v>18</v>
      </c>
      <c r="C958" s="11" t="s">
        <v>3421</v>
      </c>
      <c r="D958" s="11">
        <v>1160186</v>
      </c>
      <c r="E958" s="11">
        <v>29104505</v>
      </c>
      <c r="F958" s="12" t="s">
        <v>3422</v>
      </c>
      <c r="G958" s="11" t="s">
        <v>3423</v>
      </c>
      <c r="H958" t="s">
        <v>3424</v>
      </c>
      <c r="I958" s="13">
        <v>93192320591</v>
      </c>
      <c r="J958" s="14">
        <v>7326</v>
      </c>
      <c r="K958" s="14">
        <v>7326</v>
      </c>
      <c r="L958" s="10" t="s">
        <v>68</v>
      </c>
      <c r="M958" s="14">
        <v>0</v>
      </c>
      <c r="N958" s="15">
        <v>0</v>
      </c>
      <c r="O958" t="str">
        <f>IFERROR(VLOOKUP($I958,CHOOSE({1,2},'[1]DIRETORES NTE'!$H$5:$H$31,'[1]DIRETORES NTE'!$E$5:$E$31,),2,0),"-")</f>
        <v>-</v>
      </c>
    </row>
    <row r="959" spans="1:15" x14ac:dyDescent="0.25">
      <c r="A959" s="10">
        <v>957</v>
      </c>
      <c r="B959" s="11">
        <v>11</v>
      </c>
      <c r="C959" s="11" t="s">
        <v>188</v>
      </c>
      <c r="D959" s="11">
        <v>1129718</v>
      </c>
      <c r="E959" s="11">
        <v>29336325</v>
      </c>
      <c r="F959" s="12" t="s">
        <v>1142</v>
      </c>
      <c r="G959" s="11" t="s">
        <v>3425</v>
      </c>
      <c r="H959" t="s">
        <v>3426</v>
      </c>
      <c r="I959" s="13" t="s">
        <v>3427</v>
      </c>
      <c r="J959" s="14">
        <v>9432</v>
      </c>
      <c r="K959" s="14">
        <v>9432</v>
      </c>
      <c r="L959" s="10" t="s">
        <v>39</v>
      </c>
      <c r="M959" s="14">
        <v>0</v>
      </c>
      <c r="N959" s="15">
        <v>0</v>
      </c>
      <c r="O959" t="str">
        <f>IFERROR(VLOOKUP($I959,CHOOSE({1,2},'[1]DIRETORES NTE'!$H$5:$H$31,'[1]DIRETORES NTE'!$E$5:$E$31,),2,0),"-")</f>
        <v>-</v>
      </c>
    </row>
    <row r="960" spans="1:15" x14ac:dyDescent="0.25">
      <c r="A960" s="10">
        <v>958</v>
      </c>
      <c r="B960" s="11">
        <v>11</v>
      </c>
      <c r="C960" s="11" t="s">
        <v>188</v>
      </c>
      <c r="D960" s="11">
        <v>1179339</v>
      </c>
      <c r="E960" s="11">
        <v>29461480</v>
      </c>
      <c r="F960" s="12" t="s">
        <v>3428</v>
      </c>
      <c r="G960" s="11" t="s">
        <v>3429</v>
      </c>
      <c r="H960" t="s">
        <v>3430</v>
      </c>
      <c r="I960" s="13">
        <v>44898819591</v>
      </c>
      <c r="J960" s="14">
        <v>10450</v>
      </c>
      <c r="K960" s="14">
        <v>10450</v>
      </c>
      <c r="L960" s="10" t="s">
        <v>39</v>
      </c>
      <c r="M960" s="14">
        <v>0</v>
      </c>
      <c r="N960" s="15">
        <v>0</v>
      </c>
      <c r="O960" t="str">
        <f>IFERROR(VLOOKUP($I960,CHOOSE({1,2},'[1]DIRETORES NTE'!$H$5:$H$31,'[1]DIRETORES NTE'!$E$5:$E$31,),2,0),"-")</f>
        <v>-</v>
      </c>
    </row>
    <row r="961" spans="1:15" x14ac:dyDescent="0.25">
      <c r="A961" s="10">
        <v>959</v>
      </c>
      <c r="B961" s="11">
        <v>4</v>
      </c>
      <c r="C961" s="11" t="s">
        <v>404</v>
      </c>
      <c r="D961" s="11">
        <v>1115814</v>
      </c>
      <c r="E961" s="11">
        <v>29145120</v>
      </c>
      <c r="F961" s="12" t="s">
        <v>3431</v>
      </c>
      <c r="G961" s="11" t="s">
        <v>3432</v>
      </c>
      <c r="H961" t="s">
        <v>3433</v>
      </c>
      <c r="I961" s="13" t="s">
        <v>3434</v>
      </c>
      <c r="J961" s="14">
        <v>4703</v>
      </c>
      <c r="K961" s="14">
        <v>4703</v>
      </c>
      <c r="L961" s="10" t="s">
        <v>58</v>
      </c>
      <c r="M961" s="14">
        <v>0</v>
      </c>
      <c r="N961" s="15">
        <v>0</v>
      </c>
      <c r="O961" t="str">
        <f>IFERROR(VLOOKUP($I961,CHOOSE({1,2},'[1]DIRETORES NTE'!$H$5:$H$31,'[1]DIRETORES NTE'!$E$5:$E$31,),2,0),"-")</f>
        <v>-</v>
      </c>
    </row>
    <row r="962" spans="1:15" x14ac:dyDescent="0.25">
      <c r="A962" s="10">
        <v>960</v>
      </c>
      <c r="B962" s="11">
        <v>4</v>
      </c>
      <c r="C962" s="11" t="s">
        <v>395</v>
      </c>
      <c r="D962" s="11">
        <v>1116713</v>
      </c>
      <c r="E962" s="11">
        <v>29149380</v>
      </c>
      <c r="F962" s="12" t="s">
        <v>3435</v>
      </c>
      <c r="G962" s="11" t="s">
        <v>3436</v>
      </c>
      <c r="H962" t="s">
        <v>3437</v>
      </c>
      <c r="I962" s="13" t="s">
        <v>3438</v>
      </c>
      <c r="J962" s="14">
        <v>15491</v>
      </c>
      <c r="K962" s="14">
        <v>15491</v>
      </c>
      <c r="L962" s="10" t="s">
        <v>58</v>
      </c>
      <c r="M962" s="14">
        <v>0</v>
      </c>
      <c r="N962" s="15">
        <v>0</v>
      </c>
      <c r="O962" t="str">
        <f>IFERROR(VLOOKUP($I962,CHOOSE({1,2},'[1]DIRETORES NTE'!$H$5:$H$31,'[1]DIRETORES NTE'!$E$5:$E$31,),2,0),"-")</f>
        <v>-</v>
      </c>
    </row>
    <row r="963" spans="1:15" x14ac:dyDescent="0.25">
      <c r="A963" s="10">
        <v>961</v>
      </c>
      <c r="B963" s="11">
        <v>22</v>
      </c>
      <c r="C963" s="11" t="s">
        <v>1403</v>
      </c>
      <c r="D963" s="11">
        <v>1176433</v>
      </c>
      <c r="E963" s="11">
        <v>29390532</v>
      </c>
      <c r="F963" s="12" t="s">
        <v>3439</v>
      </c>
      <c r="G963" s="11" t="s">
        <v>3440</v>
      </c>
      <c r="H963" t="s">
        <v>3441</v>
      </c>
      <c r="I963" s="13">
        <v>33861080591</v>
      </c>
      <c r="J963" s="14">
        <v>18674</v>
      </c>
      <c r="K963" s="14">
        <v>18674</v>
      </c>
      <c r="L963" s="10" t="s">
        <v>200</v>
      </c>
      <c r="M963" s="14">
        <v>0</v>
      </c>
      <c r="N963" s="15">
        <v>0</v>
      </c>
      <c r="O963" t="str">
        <f>IFERROR(VLOOKUP($I963,CHOOSE({1,2},'[1]DIRETORES NTE'!$H$5:$H$31,'[1]DIRETORES NTE'!$E$5:$E$31,),2,0),"-")</f>
        <v>-</v>
      </c>
    </row>
    <row r="964" spans="1:15" x14ac:dyDescent="0.25">
      <c r="A964" s="10">
        <v>962</v>
      </c>
      <c r="B964" s="11">
        <v>11</v>
      </c>
      <c r="C964" s="11" t="s">
        <v>3442</v>
      </c>
      <c r="D964" s="11">
        <v>1165455</v>
      </c>
      <c r="E964" s="11">
        <v>29010438</v>
      </c>
      <c r="F964" s="12" t="s">
        <v>3443</v>
      </c>
      <c r="G964" s="11" t="s">
        <v>3444</v>
      </c>
      <c r="H964" t="s">
        <v>3445</v>
      </c>
      <c r="I964" s="13">
        <v>96250194568</v>
      </c>
      <c r="J964" s="14">
        <v>7278</v>
      </c>
      <c r="K964" s="14">
        <v>7278</v>
      </c>
      <c r="L964" s="10" t="s">
        <v>39</v>
      </c>
      <c r="M964" s="14">
        <v>0</v>
      </c>
      <c r="N964" s="15">
        <v>0</v>
      </c>
      <c r="O964" t="str">
        <f>IFERROR(VLOOKUP($I964,CHOOSE({1,2},'[1]DIRETORES NTE'!$H$5:$H$31,'[1]DIRETORES NTE'!$E$5:$E$31,),2,0),"-")</f>
        <v>-</v>
      </c>
    </row>
    <row r="965" spans="1:15" x14ac:dyDescent="0.25">
      <c r="A965" s="10">
        <v>963</v>
      </c>
      <c r="B965" s="11">
        <v>22</v>
      </c>
      <c r="C965" s="11" t="s">
        <v>3446</v>
      </c>
      <c r="D965" s="11">
        <v>1110294</v>
      </c>
      <c r="E965" s="11">
        <v>29309034</v>
      </c>
      <c r="F965" s="12" t="s">
        <v>3447</v>
      </c>
      <c r="G965" s="11" t="s">
        <v>3448</v>
      </c>
      <c r="H965" t="s">
        <v>3449</v>
      </c>
      <c r="I965" s="13" t="s">
        <v>3450</v>
      </c>
      <c r="J965" s="14">
        <v>5129</v>
      </c>
      <c r="K965" s="14">
        <v>5129</v>
      </c>
      <c r="L965" s="10" t="s">
        <v>200</v>
      </c>
      <c r="M965" s="14">
        <v>0</v>
      </c>
      <c r="N965" s="15">
        <v>0</v>
      </c>
      <c r="O965" t="str">
        <f>IFERROR(VLOOKUP($I965,CHOOSE({1,2},'[1]DIRETORES NTE'!$H$5:$H$31,'[1]DIRETORES NTE'!$E$5:$E$31,),2,0),"-")</f>
        <v>-</v>
      </c>
    </row>
    <row r="966" spans="1:15" x14ac:dyDescent="0.25">
      <c r="A966" s="10">
        <v>964</v>
      </c>
      <c r="B966" s="11">
        <v>3</v>
      </c>
      <c r="C966" s="11" t="s">
        <v>3451</v>
      </c>
      <c r="D966" s="11">
        <v>1123647</v>
      </c>
      <c r="E966" s="11">
        <v>29232988</v>
      </c>
      <c r="F966" s="12" t="s">
        <v>3452</v>
      </c>
      <c r="G966" s="11" t="s">
        <v>3453</v>
      </c>
      <c r="H966" t="s">
        <v>3454</v>
      </c>
      <c r="I966" s="13" t="s">
        <v>3455</v>
      </c>
      <c r="J966" s="14">
        <v>11036</v>
      </c>
      <c r="K966" s="14">
        <v>11036</v>
      </c>
      <c r="L966" s="10" t="s">
        <v>117</v>
      </c>
      <c r="M966" s="14">
        <v>0</v>
      </c>
      <c r="N966" s="15">
        <v>0</v>
      </c>
      <c r="O966" t="str">
        <f>IFERROR(VLOOKUP($I966,CHOOSE({1,2},'[1]DIRETORES NTE'!$H$5:$H$31,'[1]DIRETORES NTE'!$E$5:$E$31,),2,0),"-")</f>
        <v>-</v>
      </c>
    </row>
    <row r="967" spans="1:15" x14ac:dyDescent="0.25">
      <c r="A967" s="10">
        <v>965</v>
      </c>
      <c r="B967" s="11">
        <v>22</v>
      </c>
      <c r="C967" s="11" t="s">
        <v>3456</v>
      </c>
      <c r="D967" s="11">
        <v>1178083</v>
      </c>
      <c r="E967" s="11">
        <v>29429498</v>
      </c>
      <c r="F967" s="12" t="s">
        <v>3457</v>
      </c>
      <c r="G967" s="11" t="s">
        <v>1736</v>
      </c>
      <c r="H967" t="s">
        <v>3458</v>
      </c>
      <c r="I967" s="13" t="s">
        <v>3459</v>
      </c>
      <c r="J967" s="14">
        <v>0</v>
      </c>
      <c r="K967" s="14">
        <v>0</v>
      </c>
      <c r="L967" s="10" t="s">
        <v>200</v>
      </c>
      <c r="M967" s="14">
        <v>0</v>
      </c>
      <c r="N967" s="15" t="e">
        <v>#DIV/0!</v>
      </c>
      <c r="O967" t="str">
        <f>IFERROR(VLOOKUP($I967,CHOOSE({1,2},'[1]DIRETORES NTE'!$H$5:$H$31,'[1]DIRETORES NTE'!$E$5:$E$31,),2,0),"-")</f>
        <v>-</v>
      </c>
    </row>
    <row r="968" spans="1:15" x14ac:dyDescent="0.25">
      <c r="A968" s="10">
        <v>966</v>
      </c>
      <c r="B968" s="11" t="s">
        <v>237</v>
      </c>
      <c r="C968" s="11" t="s">
        <v>237</v>
      </c>
      <c r="D968" s="11" t="s">
        <v>237</v>
      </c>
      <c r="E968" s="11" t="s">
        <v>237</v>
      </c>
      <c r="F968" s="12" t="s">
        <v>237</v>
      </c>
      <c r="G968" s="11" t="s">
        <v>237</v>
      </c>
      <c r="H968" t="s">
        <v>3460</v>
      </c>
      <c r="I968" s="13">
        <v>98964798520</v>
      </c>
      <c r="J968" s="14">
        <v>0</v>
      </c>
      <c r="K968" s="14">
        <v>0</v>
      </c>
      <c r="L968" s="10" t="s">
        <v>153</v>
      </c>
      <c r="M968" s="14">
        <v>0</v>
      </c>
      <c r="N968" s="15" t="e">
        <v>#DIV/0!</v>
      </c>
      <c r="O968" t="str">
        <f>IFERROR(VLOOKUP($I968,CHOOSE({1,2},'[1]DIRETORES NTE'!$H$5:$H$31,'[1]DIRETORES NTE'!$E$5:$E$31,),2,0),"-")</f>
        <v>-</v>
      </c>
    </row>
    <row r="969" spans="1:15" x14ac:dyDescent="0.25">
      <c r="A969" s="10">
        <v>967</v>
      </c>
      <c r="B969" s="11">
        <v>20</v>
      </c>
      <c r="C969" s="11" t="s">
        <v>3170</v>
      </c>
      <c r="D969" s="11">
        <v>1125062</v>
      </c>
      <c r="E969" s="11">
        <v>29277230</v>
      </c>
      <c r="F969" s="12" t="s">
        <v>3461</v>
      </c>
      <c r="G969" s="11" t="s">
        <v>3462</v>
      </c>
      <c r="H969" t="s">
        <v>3463</v>
      </c>
      <c r="I969" s="13">
        <v>65640055553</v>
      </c>
      <c r="J969" s="14">
        <v>11277</v>
      </c>
      <c r="K969" s="14">
        <v>11277</v>
      </c>
      <c r="L969" s="10" t="s">
        <v>27</v>
      </c>
      <c r="M969" s="14">
        <v>0</v>
      </c>
      <c r="N969" s="15">
        <v>0</v>
      </c>
      <c r="O969" t="str">
        <f>IFERROR(VLOOKUP($I969,CHOOSE({1,2},'[1]DIRETORES NTE'!$H$5:$H$31,'[1]DIRETORES NTE'!$E$5:$E$31,),2,0),"-")</f>
        <v>-</v>
      </c>
    </row>
    <row r="970" spans="1:15" x14ac:dyDescent="0.25">
      <c r="A970" s="10">
        <v>968</v>
      </c>
      <c r="B970" s="11">
        <v>18</v>
      </c>
      <c r="C970" s="11" t="s">
        <v>64</v>
      </c>
      <c r="D970" s="11">
        <v>1107773</v>
      </c>
      <c r="E970" s="11">
        <v>29150310</v>
      </c>
      <c r="F970" s="12" t="s">
        <v>3464</v>
      </c>
      <c r="G970" s="11" t="s">
        <v>3465</v>
      </c>
      <c r="H970" t="s">
        <v>3466</v>
      </c>
      <c r="I970" s="13">
        <v>40246086572</v>
      </c>
      <c r="J970" s="14">
        <v>13905</v>
      </c>
      <c r="K970" s="14">
        <v>13905</v>
      </c>
      <c r="L970" s="10" t="s">
        <v>68</v>
      </c>
      <c r="M970" s="14">
        <v>0</v>
      </c>
      <c r="N970" s="15">
        <v>0</v>
      </c>
      <c r="O970" t="str">
        <f>IFERROR(VLOOKUP($I970,CHOOSE({1,2},'[1]DIRETORES NTE'!$H$5:$H$31,'[1]DIRETORES NTE'!$E$5:$E$31,),2,0),"-")</f>
        <v>-</v>
      </c>
    </row>
    <row r="971" spans="1:15" x14ac:dyDescent="0.25">
      <c r="A971" s="10">
        <v>969</v>
      </c>
      <c r="B971" s="11">
        <v>26</v>
      </c>
      <c r="C971" s="11" t="s">
        <v>95</v>
      </c>
      <c r="D971" s="11">
        <v>1102160</v>
      </c>
      <c r="E971" s="11">
        <v>29190754</v>
      </c>
      <c r="F971" s="12" t="s">
        <v>3467</v>
      </c>
      <c r="G971" s="11" t="s">
        <v>3468</v>
      </c>
      <c r="H971" t="s">
        <v>3469</v>
      </c>
      <c r="I971" s="13">
        <v>16323220563</v>
      </c>
      <c r="J971" s="14">
        <v>11434</v>
      </c>
      <c r="K971" s="14">
        <v>11434</v>
      </c>
      <c r="L971" s="10" t="s">
        <v>99</v>
      </c>
      <c r="M971" s="14">
        <v>0</v>
      </c>
      <c r="N971" s="15">
        <v>0</v>
      </c>
      <c r="O971" t="str">
        <f>IFERROR(VLOOKUP($I971,CHOOSE({1,2},'[1]DIRETORES NTE'!$H$5:$H$31,'[1]DIRETORES NTE'!$E$5:$E$31,),2,0),"-")</f>
        <v>-</v>
      </c>
    </row>
    <row r="972" spans="1:15" x14ac:dyDescent="0.25">
      <c r="A972" s="10">
        <v>970</v>
      </c>
      <c r="B972" s="11">
        <v>26</v>
      </c>
      <c r="C972" s="11" t="s">
        <v>95</v>
      </c>
      <c r="D972" s="11">
        <v>1100868</v>
      </c>
      <c r="E972" s="11">
        <v>29191572</v>
      </c>
      <c r="F972" s="12" t="s">
        <v>3470</v>
      </c>
      <c r="G972" s="11" t="s">
        <v>3471</v>
      </c>
      <c r="H972" t="s">
        <v>3472</v>
      </c>
      <c r="I972" s="13">
        <v>61496405587</v>
      </c>
      <c r="J972" s="14">
        <v>5528</v>
      </c>
      <c r="K972" s="14">
        <v>5528</v>
      </c>
      <c r="L972" s="10" t="s">
        <v>99</v>
      </c>
      <c r="M972" s="14">
        <v>0</v>
      </c>
      <c r="N972" s="15">
        <v>0</v>
      </c>
      <c r="O972" t="str">
        <f>IFERROR(VLOOKUP($I972,CHOOSE({1,2},'[1]DIRETORES NTE'!$H$5:$H$31,'[1]DIRETORES NTE'!$E$5:$E$31,),2,0),"-")</f>
        <v>-</v>
      </c>
    </row>
    <row r="973" spans="1:15" x14ac:dyDescent="0.25">
      <c r="A973" s="10">
        <v>971</v>
      </c>
      <c r="B973" s="11">
        <v>11</v>
      </c>
      <c r="C973" s="11" t="s">
        <v>3473</v>
      </c>
      <c r="D973" s="11">
        <v>1169558</v>
      </c>
      <c r="E973" s="11">
        <v>29007887</v>
      </c>
      <c r="F973" s="12" t="s">
        <v>3474</v>
      </c>
      <c r="G973" s="11" t="s">
        <v>3475</v>
      </c>
      <c r="H973" t="s">
        <v>3476</v>
      </c>
      <c r="I973" s="13" t="s">
        <v>3477</v>
      </c>
      <c r="J973" s="14">
        <v>6518</v>
      </c>
      <c r="K973" s="14">
        <v>6518</v>
      </c>
      <c r="L973" s="10" t="s">
        <v>39</v>
      </c>
      <c r="M973" s="14">
        <v>0</v>
      </c>
      <c r="N973" s="15">
        <v>0</v>
      </c>
      <c r="O973" t="str">
        <f>IFERROR(VLOOKUP($I973,CHOOSE({1,2},'[1]DIRETORES NTE'!$H$5:$H$31,'[1]DIRETORES NTE'!$E$5:$E$31,),2,0),"-")</f>
        <v>-</v>
      </c>
    </row>
    <row r="974" spans="1:15" x14ac:dyDescent="0.25">
      <c r="A974" s="10">
        <v>972</v>
      </c>
      <c r="B974" s="11">
        <v>6</v>
      </c>
      <c r="C974" s="11" t="s">
        <v>3478</v>
      </c>
      <c r="D974" s="11">
        <v>1178082</v>
      </c>
      <c r="E974" s="11">
        <v>29429269</v>
      </c>
      <c r="F974" s="12" t="s">
        <v>3479</v>
      </c>
      <c r="G974" s="11" t="s">
        <v>3480</v>
      </c>
      <c r="H974" t="s">
        <v>3481</v>
      </c>
      <c r="I974" s="13">
        <v>88553574504</v>
      </c>
      <c r="J974" s="14">
        <v>7196</v>
      </c>
      <c r="K974" s="14">
        <v>7196</v>
      </c>
      <c r="L974" s="10" t="s">
        <v>49</v>
      </c>
      <c r="M974" s="14">
        <v>0</v>
      </c>
      <c r="N974" s="15">
        <v>0</v>
      </c>
      <c r="O974" t="str">
        <f>IFERROR(VLOOKUP($I974,CHOOSE({1,2},'[1]DIRETORES NTE'!$H$5:$H$31,'[1]DIRETORES NTE'!$E$5:$E$31,),2,0),"-")</f>
        <v>-</v>
      </c>
    </row>
    <row r="975" spans="1:15" x14ac:dyDescent="0.25">
      <c r="A975" s="10">
        <v>973</v>
      </c>
      <c r="B975" s="11">
        <v>26</v>
      </c>
      <c r="C975" s="11" t="s">
        <v>95</v>
      </c>
      <c r="D975" s="11">
        <v>1103301</v>
      </c>
      <c r="E975" s="11">
        <v>29185173</v>
      </c>
      <c r="F975" s="12" t="s">
        <v>3482</v>
      </c>
      <c r="G975" s="11" t="s">
        <v>3483</v>
      </c>
      <c r="H975" t="s">
        <v>3484</v>
      </c>
      <c r="I975" s="13">
        <v>89826450553</v>
      </c>
      <c r="J975" s="14">
        <v>7099</v>
      </c>
      <c r="K975" s="14">
        <v>7099</v>
      </c>
      <c r="L975" s="10" t="s">
        <v>99</v>
      </c>
      <c r="M975" s="14">
        <v>0</v>
      </c>
      <c r="N975" s="15">
        <v>0</v>
      </c>
      <c r="O975" t="str">
        <f>IFERROR(VLOOKUP($I975,CHOOSE({1,2},'[1]DIRETORES NTE'!$H$5:$H$31,'[1]DIRETORES NTE'!$E$5:$E$31,),2,0),"-")</f>
        <v>-</v>
      </c>
    </row>
    <row r="976" spans="1:15" x14ac:dyDescent="0.25">
      <c r="A976" s="10">
        <v>974</v>
      </c>
      <c r="B976" s="11">
        <v>24</v>
      </c>
      <c r="C976" s="11" t="s">
        <v>1099</v>
      </c>
      <c r="D976" s="11">
        <v>1179669</v>
      </c>
      <c r="E976" s="11">
        <v>29493773</v>
      </c>
      <c r="F976" s="12" t="s">
        <v>3485</v>
      </c>
      <c r="G976" s="11" t="s">
        <v>3486</v>
      </c>
      <c r="H976" t="s">
        <v>3487</v>
      </c>
      <c r="I976" s="13" t="s">
        <v>3488</v>
      </c>
      <c r="J976" s="14">
        <v>2019</v>
      </c>
      <c r="K976" s="14">
        <v>2019</v>
      </c>
      <c r="L976" s="10" t="s">
        <v>266</v>
      </c>
      <c r="M976" s="14">
        <v>0</v>
      </c>
      <c r="N976" s="15">
        <v>0</v>
      </c>
      <c r="O976" t="str">
        <f>IFERROR(VLOOKUP($I976,CHOOSE({1,2},'[1]DIRETORES NTE'!$H$5:$H$31,'[1]DIRETORES NTE'!$E$5:$E$31,),2,0),"-")</f>
        <v>-</v>
      </c>
    </row>
    <row r="977" spans="1:15" x14ac:dyDescent="0.25">
      <c r="A977" s="10">
        <v>975</v>
      </c>
      <c r="B977" s="11">
        <v>24</v>
      </c>
      <c r="C977" s="11" t="s">
        <v>1099</v>
      </c>
      <c r="D977" s="11">
        <v>1179669</v>
      </c>
      <c r="E977" s="11">
        <v>29493773</v>
      </c>
      <c r="F977" s="12" t="s">
        <v>3485</v>
      </c>
      <c r="G977" s="11" t="s">
        <v>3486</v>
      </c>
      <c r="H977" t="s">
        <v>3487</v>
      </c>
      <c r="I977" s="13" t="s">
        <v>3488</v>
      </c>
      <c r="J977" s="14">
        <v>1224</v>
      </c>
      <c r="K977" s="14">
        <v>1224</v>
      </c>
      <c r="L977" s="10" t="s">
        <v>266</v>
      </c>
      <c r="M977" s="14">
        <v>0</v>
      </c>
      <c r="N977" s="15">
        <v>0</v>
      </c>
      <c r="O977" t="str">
        <f>IFERROR(VLOOKUP($I977,CHOOSE({1,2},'[1]DIRETORES NTE'!$H$5:$H$31,'[1]DIRETORES NTE'!$E$5:$E$31,),2,0),"-")</f>
        <v>-</v>
      </c>
    </row>
    <row r="978" spans="1:15" x14ac:dyDescent="0.25">
      <c r="A978" s="10">
        <v>976</v>
      </c>
      <c r="B978" s="11">
        <v>24</v>
      </c>
      <c r="C978" s="11" t="s">
        <v>1099</v>
      </c>
      <c r="D978" s="11">
        <v>1179669</v>
      </c>
      <c r="E978" s="11">
        <v>29493773</v>
      </c>
      <c r="F978" s="12" t="s">
        <v>3485</v>
      </c>
      <c r="G978" s="11" t="s">
        <v>3486</v>
      </c>
      <c r="H978" t="s">
        <v>3487</v>
      </c>
      <c r="I978" s="13" t="s">
        <v>3488</v>
      </c>
      <c r="J978" s="14">
        <v>2521</v>
      </c>
      <c r="K978" s="14">
        <v>2521</v>
      </c>
      <c r="L978" s="10" t="s">
        <v>266</v>
      </c>
      <c r="M978" s="14">
        <v>0</v>
      </c>
      <c r="N978" s="15">
        <v>0</v>
      </c>
      <c r="O978" t="str">
        <f>IFERROR(VLOOKUP($I978,CHOOSE({1,2},'[1]DIRETORES NTE'!$H$5:$H$31,'[1]DIRETORES NTE'!$E$5:$E$31,),2,0),"-")</f>
        <v>-</v>
      </c>
    </row>
    <row r="979" spans="1:15" x14ac:dyDescent="0.25">
      <c r="A979" s="10">
        <v>977</v>
      </c>
      <c r="B979" s="11">
        <v>24</v>
      </c>
      <c r="C979" s="11" t="s">
        <v>1099</v>
      </c>
      <c r="D979" s="11">
        <v>1179669</v>
      </c>
      <c r="E979" s="11">
        <v>29493773</v>
      </c>
      <c r="F979" s="12" t="s">
        <v>3485</v>
      </c>
      <c r="G979" s="11" t="s">
        <v>3486</v>
      </c>
      <c r="H979" t="s">
        <v>3487</v>
      </c>
      <c r="I979" s="13" t="s">
        <v>3488</v>
      </c>
      <c r="J979" s="14">
        <v>557</v>
      </c>
      <c r="K979" s="14">
        <v>557</v>
      </c>
      <c r="L979" s="10" t="s">
        <v>266</v>
      </c>
      <c r="M979" s="14">
        <v>0</v>
      </c>
      <c r="N979" s="15">
        <v>0</v>
      </c>
      <c r="O979" t="str">
        <f>IFERROR(VLOOKUP($I979,CHOOSE({1,2},'[1]DIRETORES NTE'!$H$5:$H$31,'[1]DIRETORES NTE'!$E$5:$E$31,),2,0),"-")</f>
        <v>-</v>
      </c>
    </row>
    <row r="980" spans="1:15" x14ac:dyDescent="0.25">
      <c r="A980" s="10">
        <v>978</v>
      </c>
      <c r="B980" s="11">
        <v>26</v>
      </c>
      <c r="C980" s="11" t="s">
        <v>95</v>
      </c>
      <c r="D980" s="11">
        <v>1103220</v>
      </c>
      <c r="E980" s="11">
        <v>29182042</v>
      </c>
      <c r="F980" s="12" t="s">
        <v>3489</v>
      </c>
      <c r="G980" s="11" t="s">
        <v>3490</v>
      </c>
      <c r="H980" t="s">
        <v>3491</v>
      </c>
      <c r="I980" s="13" t="s">
        <v>3492</v>
      </c>
      <c r="J980" s="14">
        <v>8889</v>
      </c>
      <c r="K980" s="14">
        <v>8889</v>
      </c>
      <c r="L980" s="10" t="s">
        <v>99</v>
      </c>
      <c r="M980" s="14">
        <v>0</v>
      </c>
      <c r="N980" s="15">
        <v>0</v>
      </c>
      <c r="O980" t="str">
        <f>IFERROR(VLOOKUP($I980,CHOOSE({1,2},'[1]DIRETORES NTE'!$H$5:$H$31,'[1]DIRETORES NTE'!$E$5:$E$31,),2,0),"-")</f>
        <v>-</v>
      </c>
    </row>
    <row r="981" spans="1:15" x14ac:dyDescent="0.25">
      <c r="A981" s="10">
        <v>979</v>
      </c>
      <c r="B981" s="11">
        <v>9</v>
      </c>
      <c r="C981" s="11" t="s">
        <v>162</v>
      </c>
      <c r="D981" s="11">
        <v>1176399</v>
      </c>
      <c r="E981" s="11">
        <v>29369053</v>
      </c>
      <c r="F981" s="12" t="s">
        <v>3493</v>
      </c>
      <c r="G981" s="11" t="s">
        <v>3494</v>
      </c>
      <c r="H981" t="s">
        <v>3495</v>
      </c>
      <c r="I981" s="13">
        <v>75611694500</v>
      </c>
      <c r="J981" s="14">
        <v>10118</v>
      </c>
      <c r="K981" s="14">
        <v>10118</v>
      </c>
      <c r="L981" s="10" t="s">
        <v>167</v>
      </c>
      <c r="M981" s="14">
        <v>0</v>
      </c>
      <c r="N981" s="15">
        <v>0</v>
      </c>
      <c r="O981" t="str">
        <f>IFERROR(VLOOKUP($I981,CHOOSE({1,2},'[1]DIRETORES NTE'!$H$5:$H$31,'[1]DIRETORES NTE'!$E$5:$E$31,),2,0),"-")</f>
        <v>-</v>
      </c>
    </row>
    <row r="982" spans="1:15" x14ac:dyDescent="0.25">
      <c r="A982" s="10">
        <v>980</v>
      </c>
      <c r="B982" s="11" t="s">
        <v>237</v>
      </c>
      <c r="C982" s="11" t="s">
        <v>237</v>
      </c>
      <c r="D982" s="11" t="s">
        <v>237</v>
      </c>
      <c r="E982" s="11" t="s">
        <v>237</v>
      </c>
      <c r="F982" s="12" t="s">
        <v>237</v>
      </c>
      <c r="G982" s="11" t="s">
        <v>237</v>
      </c>
      <c r="H982" t="s">
        <v>3496</v>
      </c>
      <c r="I982" s="13" t="s">
        <v>3497</v>
      </c>
      <c r="J982" s="14">
        <v>0</v>
      </c>
      <c r="K982" s="14">
        <v>0</v>
      </c>
      <c r="L982" s="10" t="s">
        <v>266</v>
      </c>
      <c r="M982" s="14">
        <v>0</v>
      </c>
      <c r="N982" s="15" t="e">
        <v>#DIV/0!</v>
      </c>
      <c r="O982" t="str">
        <f>IFERROR(VLOOKUP($I982,CHOOSE({1,2},'[1]DIRETORES NTE'!$H$5:$H$31,'[1]DIRETORES NTE'!$E$5:$E$31,),2,0),"-")</f>
        <v>-</v>
      </c>
    </row>
    <row r="983" spans="1:15" x14ac:dyDescent="0.25">
      <c r="A983" s="10">
        <v>981</v>
      </c>
      <c r="B983" s="11">
        <v>4</v>
      </c>
      <c r="C983" s="11" t="s">
        <v>675</v>
      </c>
      <c r="D983" s="11">
        <v>1179292</v>
      </c>
      <c r="E983" s="11">
        <v>29460816</v>
      </c>
      <c r="F983" s="12" t="s">
        <v>3498</v>
      </c>
      <c r="G983" s="11" t="s">
        <v>3499</v>
      </c>
      <c r="H983" t="s">
        <v>3500</v>
      </c>
      <c r="I983" s="13" t="s">
        <v>3501</v>
      </c>
      <c r="J983" s="14">
        <v>12027</v>
      </c>
      <c r="K983" s="14">
        <v>12027</v>
      </c>
      <c r="L983" s="10" t="s">
        <v>58</v>
      </c>
      <c r="M983" s="14">
        <v>0</v>
      </c>
      <c r="N983" s="15">
        <v>0</v>
      </c>
      <c r="O983" t="str">
        <f>IFERROR(VLOOKUP($I983,CHOOSE({1,2},'[1]DIRETORES NTE'!$H$5:$H$31,'[1]DIRETORES NTE'!$E$5:$E$31,),2,0),"-")</f>
        <v>-</v>
      </c>
    </row>
    <row r="984" spans="1:15" x14ac:dyDescent="0.25">
      <c r="A984" s="10">
        <v>982</v>
      </c>
      <c r="B984" s="11">
        <v>8</v>
      </c>
      <c r="C984" s="11" t="s">
        <v>281</v>
      </c>
      <c r="D984" s="11">
        <v>1178120</v>
      </c>
      <c r="E984" s="11">
        <v>29437172</v>
      </c>
      <c r="F984" s="12" t="s">
        <v>3502</v>
      </c>
      <c r="G984" s="11" t="s">
        <v>3503</v>
      </c>
      <c r="H984" t="s">
        <v>3504</v>
      </c>
      <c r="I984" s="13">
        <v>54309212549</v>
      </c>
      <c r="J984" s="14">
        <v>2999</v>
      </c>
      <c r="K984" s="14">
        <v>2999</v>
      </c>
      <c r="L984" s="10" t="s">
        <v>285</v>
      </c>
      <c r="M984" s="14">
        <v>0</v>
      </c>
      <c r="N984" s="15">
        <v>0</v>
      </c>
      <c r="O984" t="str">
        <f>IFERROR(VLOOKUP($I984,CHOOSE({1,2},'[1]DIRETORES NTE'!$H$5:$H$31,'[1]DIRETORES NTE'!$E$5:$E$31,),2,0),"-")</f>
        <v>-</v>
      </c>
    </row>
    <row r="985" spans="1:15" x14ac:dyDescent="0.25">
      <c r="A985" s="10">
        <v>983</v>
      </c>
      <c r="B985" s="11">
        <v>24</v>
      </c>
      <c r="C985" s="11" t="s">
        <v>1099</v>
      </c>
      <c r="D985" s="11">
        <v>1179202</v>
      </c>
      <c r="E985" s="11">
        <v>29033950</v>
      </c>
      <c r="F985" s="12" t="s">
        <v>3505</v>
      </c>
      <c r="G985" s="11" t="s">
        <v>3506</v>
      </c>
      <c r="H985" t="s">
        <v>3507</v>
      </c>
      <c r="I985" s="13">
        <v>90933222491</v>
      </c>
      <c r="J985" s="14">
        <v>839</v>
      </c>
      <c r="K985" s="14">
        <v>839</v>
      </c>
      <c r="L985" s="10" t="s">
        <v>266</v>
      </c>
      <c r="M985" s="14">
        <v>0</v>
      </c>
      <c r="N985" s="15">
        <v>0</v>
      </c>
      <c r="O985" t="str">
        <f>IFERROR(VLOOKUP($I985,CHOOSE({1,2},'[1]DIRETORES NTE'!$H$5:$H$31,'[1]DIRETORES NTE'!$E$5:$E$31,),2,0),"-")</f>
        <v>-</v>
      </c>
    </row>
    <row r="986" spans="1:15" x14ac:dyDescent="0.25">
      <c r="A986" s="10">
        <v>984</v>
      </c>
      <c r="B986" s="11">
        <v>26</v>
      </c>
      <c r="C986" s="11" t="s">
        <v>95</v>
      </c>
      <c r="D986" s="11">
        <v>1176800</v>
      </c>
      <c r="E986" s="11">
        <v>29404312</v>
      </c>
      <c r="F986" s="12" t="s">
        <v>3508</v>
      </c>
      <c r="G986" s="11" t="s">
        <v>3509</v>
      </c>
      <c r="H986" t="s">
        <v>3510</v>
      </c>
      <c r="I986" s="13">
        <v>85587060500</v>
      </c>
      <c r="J986" s="14">
        <v>5438</v>
      </c>
      <c r="K986" s="14">
        <v>5438</v>
      </c>
      <c r="L986" s="10" t="s">
        <v>99</v>
      </c>
      <c r="M986" s="14">
        <v>0</v>
      </c>
      <c r="N986" s="15">
        <v>0</v>
      </c>
      <c r="O986" t="str">
        <f>IFERROR(VLOOKUP($I986,CHOOSE({1,2},'[1]DIRETORES NTE'!$H$5:$H$31,'[1]DIRETORES NTE'!$E$5:$E$31,),2,0),"-")</f>
        <v>-</v>
      </c>
    </row>
    <row r="987" spans="1:15" x14ac:dyDescent="0.25">
      <c r="A987" s="10">
        <v>985</v>
      </c>
      <c r="B987" s="11">
        <v>26</v>
      </c>
      <c r="C987" s="11" t="s">
        <v>95</v>
      </c>
      <c r="D987" s="11">
        <v>1104626</v>
      </c>
      <c r="E987" s="11">
        <v>29199026</v>
      </c>
      <c r="F987" s="12" t="s">
        <v>3511</v>
      </c>
      <c r="G987" s="11" t="s">
        <v>3512</v>
      </c>
      <c r="H987" t="s">
        <v>3513</v>
      </c>
      <c r="I987" s="13">
        <v>29029368500</v>
      </c>
      <c r="J987" s="14">
        <v>5191</v>
      </c>
      <c r="K987" s="14">
        <v>5191</v>
      </c>
      <c r="L987" s="10" t="s">
        <v>99</v>
      </c>
      <c r="M987" s="14">
        <v>0</v>
      </c>
      <c r="N987" s="15">
        <v>0</v>
      </c>
      <c r="O987" t="str">
        <f>IFERROR(VLOOKUP($I987,CHOOSE({1,2},'[1]DIRETORES NTE'!$H$5:$H$31,'[1]DIRETORES NTE'!$E$5:$E$31,),2,0),"-")</f>
        <v>-</v>
      </c>
    </row>
    <row r="988" spans="1:15" x14ac:dyDescent="0.25">
      <c r="A988" s="10">
        <v>986</v>
      </c>
      <c r="B988" s="11">
        <v>4</v>
      </c>
      <c r="C988" s="11" t="s">
        <v>929</v>
      </c>
      <c r="D988" s="11">
        <v>1115105</v>
      </c>
      <c r="E988" s="11">
        <v>29124212</v>
      </c>
      <c r="F988" s="12" t="s">
        <v>3514</v>
      </c>
      <c r="G988" s="11" t="s">
        <v>3515</v>
      </c>
      <c r="H988" t="s">
        <v>3516</v>
      </c>
      <c r="I988" s="13">
        <v>58077243568</v>
      </c>
      <c r="J988" s="14">
        <v>33832</v>
      </c>
      <c r="K988" s="14">
        <v>33832</v>
      </c>
      <c r="L988" s="10" t="s">
        <v>58</v>
      </c>
      <c r="M988" s="14">
        <v>0</v>
      </c>
      <c r="N988" s="15">
        <v>0</v>
      </c>
      <c r="O988" t="str">
        <f>IFERROR(VLOOKUP($I988,CHOOSE({1,2},'[1]DIRETORES NTE'!$H$5:$H$31,'[1]DIRETORES NTE'!$E$5:$E$31,),2,0),"-")</f>
        <v>-</v>
      </c>
    </row>
    <row r="989" spans="1:15" x14ac:dyDescent="0.25">
      <c r="A989" s="10">
        <v>987</v>
      </c>
      <c r="B989" s="11">
        <v>3</v>
      </c>
      <c r="C989" s="11" t="s">
        <v>1835</v>
      </c>
      <c r="D989" s="11">
        <v>1132166</v>
      </c>
      <c r="E989" s="11">
        <v>29206936</v>
      </c>
      <c r="F989" s="12" t="s">
        <v>3517</v>
      </c>
      <c r="G989" s="11" t="s">
        <v>3518</v>
      </c>
      <c r="H989" t="s">
        <v>3519</v>
      </c>
      <c r="I989" s="13">
        <v>27027357895</v>
      </c>
      <c r="J989" s="14">
        <v>1767</v>
      </c>
      <c r="K989" s="14">
        <v>1767</v>
      </c>
      <c r="L989" s="10" t="s">
        <v>117</v>
      </c>
      <c r="M989" s="14">
        <v>0</v>
      </c>
      <c r="N989" s="15">
        <v>0</v>
      </c>
      <c r="O989" t="str">
        <f>IFERROR(VLOOKUP($I989,CHOOSE({1,2},'[1]DIRETORES NTE'!$H$5:$H$31,'[1]DIRETORES NTE'!$E$5:$E$31,),2,0),"-")</f>
        <v>-</v>
      </c>
    </row>
    <row r="990" spans="1:15" x14ac:dyDescent="0.25">
      <c r="A990" s="10">
        <v>988</v>
      </c>
      <c r="B990" s="11">
        <v>18</v>
      </c>
      <c r="C990" s="11" t="s">
        <v>3520</v>
      </c>
      <c r="D990" s="11">
        <v>1176401</v>
      </c>
      <c r="E990" s="11">
        <v>29373280</v>
      </c>
      <c r="F990" s="12" t="s">
        <v>3521</v>
      </c>
      <c r="G990" s="11" t="s">
        <v>3522</v>
      </c>
      <c r="H990" t="s">
        <v>3523</v>
      </c>
      <c r="I990" s="13">
        <v>23747234534</v>
      </c>
      <c r="J990" s="14">
        <v>20266</v>
      </c>
      <c r="K990" s="14">
        <v>20266</v>
      </c>
      <c r="L990" s="10" t="s">
        <v>68</v>
      </c>
      <c r="M990" s="14">
        <v>0</v>
      </c>
      <c r="N990" s="15">
        <v>0</v>
      </c>
      <c r="O990" t="str">
        <f>IFERROR(VLOOKUP($I990,CHOOSE({1,2},'[1]DIRETORES NTE'!$H$5:$H$31,'[1]DIRETORES NTE'!$E$5:$E$31,),2,0),"-")</f>
        <v>-</v>
      </c>
    </row>
    <row r="991" spans="1:15" x14ac:dyDescent="0.25">
      <c r="A991" s="10">
        <v>989</v>
      </c>
      <c r="B991" s="11">
        <v>3</v>
      </c>
      <c r="C991" s="11" t="s">
        <v>421</v>
      </c>
      <c r="D991" s="11">
        <v>1179483</v>
      </c>
      <c r="E991" s="11">
        <v>29467870</v>
      </c>
      <c r="F991" s="12" t="s">
        <v>3524</v>
      </c>
      <c r="G991" s="11" t="s">
        <v>3525</v>
      </c>
      <c r="H991" t="s">
        <v>3526</v>
      </c>
      <c r="I991" s="13">
        <v>79024009553</v>
      </c>
      <c r="J991" s="14">
        <v>2018</v>
      </c>
      <c r="K991" s="14">
        <v>2018</v>
      </c>
      <c r="L991" s="10" t="s">
        <v>117</v>
      </c>
      <c r="M991" s="14">
        <v>0</v>
      </c>
      <c r="N991" s="15">
        <v>0</v>
      </c>
      <c r="O991" t="str">
        <f>IFERROR(VLOOKUP($I991,CHOOSE({1,2},'[1]DIRETORES NTE'!$H$5:$H$31,'[1]DIRETORES NTE'!$E$5:$E$31,),2,0),"-")</f>
        <v>-</v>
      </c>
    </row>
    <row r="992" spans="1:15" x14ac:dyDescent="0.25">
      <c r="A992" s="10">
        <v>990</v>
      </c>
      <c r="B992" s="11">
        <v>1</v>
      </c>
      <c r="C992" s="11" t="s">
        <v>3527</v>
      </c>
      <c r="D992" s="11">
        <v>1163088</v>
      </c>
      <c r="E992" s="11">
        <v>29061016</v>
      </c>
      <c r="F992" s="12" t="s">
        <v>3528</v>
      </c>
      <c r="G992" s="11" t="s">
        <v>3529</v>
      </c>
      <c r="H992" t="s">
        <v>3530</v>
      </c>
      <c r="I992" s="13">
        <v>81498403549</v>
      </c>
      <c r="J992" s="14">
        <v>15901</v>
      </c>
      <c r="K992" s="14">
        <v>15901</v>
      </c>
      <c r="L992" s="10" t="s">
        <v>356</v>
      </c>
      <c r="M992" s="14">
        <v>0</v>
      </c>
      <c r="N992" s="15">
        <v>0</v>
      </c>
      <c r="O992" t="str">
        <f>IFERROR(VLOOKUP($I992,CHOOSE({1,2},'[1]DIRETORES NTE'!$H$5:$H$31,'[1]DIRETORES NTE'!$E$5:$E$31,),2,0),"-")</f>
        <v>-</v>
      </c>
    </row>
    <row r="993" spans="1:15" x14ac:dyDescent="0.25">
      <c r="A993" s="10">
        <v>991</v>
      </c>
      <c r="B993" s="11">
        <v>26</v>
      </c>
      <c r="C993" s="11" t="s">
        <v>95</v>
      </c>
      <c r="D993" s="11">
        <v>1104936</v>
      </c>
      <c r="E993" s="11">
        <v>29187320</v>
      </c>
      <c r="F993" s="12" t="s">
        <v>3531</v>
      </c>
      <c r="G993" s="11" t="s">
        <v>3532</v>
      </c>
      <c r="H993" t="s">
        <v>3533</v>
      </c>
      <c r="I993" s="13">
        <v>56543042591</v>
      </c>
      <c r="J993" s="14">
        <v>8340</v>
      </c>
      <c r="K993" s="14">
        <v>8340</v>
      </c>
      <c r="L993" s="10" t="s">
        <v>99</v>
      </c>
      <c r="M993" s="14">
        <v>0</v>
      </c>
      <c r="N993" s="15">
        <v>0</v>
      </c>
      <c r="O993" t="str">
        <f>IFERROR(VLOOKUP($I993,CHOOSE({1,2},'[1]DIRETORES NTE'!$H$5:$H$31,'[1]DIRETORES NTE'!$E$5:$E$31,),2,0),"-")</f>
        <v>-</v>
      </c>
    </row>
    <row r="994" spans="1:15" x14ac:dyDescent="0.25">
      <c r="A994" s="10">
        <v>992</v>
      </c>
      <c r="B994" s="11">
        <v>13</v>
      </c>
      <c r="C994" s="11" t="s">
        <v>3534</v>
      </c>
      <c r="D994" s="11">
        <v>1173130</v>
      </c>
      <c r="E994" s="11">
        <v>29237645</v>
      </c>
      <c r="F994" s="12" t="s">
        <v>3535</v>
      </c>
      <c r="G994" s="11" t="s">
        <v>3536</v>
      </c>
      <c r="H994" t="s">
        <v>3537</v>
      </c>
      <c r="I994" s="13" t="s">
        <v>3538</v>
      </c>
      <c r="J994" s="14">
        <v>31713</v>
      </c>
      <c r="K994" s="14">
        <v>31713</v>
      </c>
      <c r="L994" s="10" t="s">
        <v>33</v>
      </c>
      <c r="M994" s="14">
        <v>0</v>
      </c>
      <c r="N994" s="15">
        <v>0</v>
      </c>
      <c r="O994" t="str">
        <f>IFERROR(VLOOKUP($I994,CHOOSE({1,2},'[1]DIRETORES NTE'!$H$5:$H$31,'[1]DIRETORES NTE'!$E$5:$E$31,),2,0),"-")</f>
        <v>-</v>
      </c>
    </row>
    <row r="995" spans="1:15" x14ac:dyDescent="0.25">
      <c r="A995" s="10">
        <v>993</v>
      </c>
      <c r="B995" s="11">
        <v>2</v>
      </c>
      <c r="C995" s="11" t="s">
        <v>3539</v>
      </c>
      <c r="D995" s="11">
        <v>1131402</v>
      </c>
      <c r="E995" s="11">
        <v>29245893</v>
      </c>
      <c r="F995" s="12" t="s">
        <v>3540</v>
      </c>
      <c r="G995" s="11" t="s">
        <v>3541</v>
      </c>
      <c r="H995" t="s">
        <v>3542</v>
      </c>
      <c r="I995" s="13">
        <v>81678290572</v>
      </c>
      <c r="J995" s="14">
        <v>11405</v>
      </c>
      <c r="K995" s="14">
        <v>11405</v>
      </c>
      <c r="L995" s="10" t="s">
        <v>105</v>
      </c>
      <c r="M995" s="14">
        <v>0</v>
      </c>
      <c r="N995" s="15">
        <v>0</v>
      </c>
      <c r="O995" t="str">
        <f>IFERROR(VLOOKUP($I995,CHOOSE({1,2},'[1]DIRETORES NTE'!$H$5:$H$31,'[1]DIRETORES NTE'!$E$5:$E$31,),2,0),"-")</f>
        <v>-</v>
      </c>
    </row>
    <row r="996" spans="1:15" x14ac:dyDescent="0.25">
      <c r="A996" s="10">
        <v>994</v>
      </c>
      <c r="B996" s="11">
        <v>14</v>
      </c>
      <c r="C996" s="11" t="s">
        <v>3543</v>
      </c>
      <c r="D996" s="11">
        <v>1178268</v>
      </c>
      <c r="E996" s="11">
        <v>29581605</v>
      </c>
      <c r="F996" s="12" t="s">
        <v>3544</v>
      </c>
      <c r="G996" s="11" t="s">
        <v>3545</v>
      </c>
      <c r="H996" t="s">
        <v>3546</v>
      </c>
      <c r="I996" s="13" t="s">
        <v>3547</v>
      </c>
      <c r="J996" s="14">
        <v>23116</v>
      </c>
      <c r="K996" s="14">
        <v>23116</v>
      </c>
      <c r="L996" s="10" t="s">
        <v>147</v>
      </c>
      <c r="M996" s="14">
        <v>0</v>
      </c>
      <c r="N996" s="15">
        <v>0</v>
      </c>
      <c r="O996" t="str">
        <f>IFERROR(VLOOKUP($I996,CHOOSE({1,2},'[1]DIRETORES NTE'!$H$5:$H$31,'[1]DIRETORES NTE'!$E$5:$E$31,),2,0),"-")</f>
        <v>-</v>
      </c>
    </row>
    <row r="997" spans="1:15" x14ac:dyDescent="0.25">
      <c r="A997" s="10">
        <v>995</v>
      </c>
      <c r="B997" s="11">
        <v>14</v>
      </c>
      <c r="C997" s="11" t="s">
        <v>3543</v>
      </c>
      <c r="D997" s="11">
        <v>1178268</v>
      </c>
      <c r="E997" s="11">
        <v>29581605</v>
      </c>
      <c r="F997" s="12" t="s">
        <v>3544</v>
      </c>
      <c r="G997" s="11" t="s">
        <v>3545</v>
      </c>
      <c r="H997" t="s">
        <v>3546</v>
      </c>
      <c r="I997" s="13" t="s">
        <v>3547</v>
      </c>
      <c r="J997" s="14">
        <v>0</v>
      </c>
      <c r="K997" s="14">
        <v>0</v>
      </c>
      <c r="L997" s="10" t="s">
        <v>147</v>
      </c>
      <c r="M997" s="14">
        <v>0</v>
      </c>
      <c r="N997" s="15" t="e">
        <v>#DIV/0!</v>
      </c>
      <c r="O997" t="str">
        <f>IFERROR(VLOOKUP($I997,CHOOSE({1,2},'[1]DIRETORES NTE'!$H$5:$H$31,'[1]DIRETORES NTE'!$E$5:$E$31,),2,0),"-")</f>
        <v>-</v>
      </c>
    </row>
    <row r="998" spans="1:15" x14ac:dyDescent="0.25">
      <c r="A998" s="10">
        <v>996</v>
      </c>
      <c r="B998" s="11">
        <v>5</v>
      </c>
      <c r="C998" s="11" t="s">
        <v>3548</v>
      </c>
      <c r="D998" s="11">
        <v>1170912</v>
      </c>
      <c r="E998" s="11">
        <v>29313171</v>
      </c>
      <c r="F998" s="12" t="s">
        <v>3549</v>
      </c>
      <c r="G998" s="11" t="s">
        <v>3550</v>
      </c>
      <c r="H998" t="s">
        <v>3551</v>
      </c>
      <c r="I998" s="13" t="s">
        <v>3552</v>
      </c>
      <c r="J998" s="14">
        <v>4507</v>
      </c>
      <c r="K998" s="14">
        <v>4507</v>
      </c>
      <c r="L998" s="10" t="s">
        <v>44</v>
      </c>
      <c r="M998" s="14">
        <v>0</v>
      </c>
      <c r="N998" s="15">
        <v>0</v>
      </c>
      <c r="O998" t="str">
        <f>IFERROR(VLOOKUP($I998,CHOOSE({1,2},'[1]DIRETORES NTE'!$H$5:$H$31,'[1]DIRETORES NTE'!$E$5:$E$31,),2,0),"-")</f>
        <v>-</v>
      </c>
    </row>
    <row r="999" spans="1:15" x14ac:dyDescent="0.25">
      <c r="A999" s="10">
        <v>997</v>
      </c>
      <c r="B999" s="11">
        <v>2</v>
      </c>
      <c r="C999" s="11" t="s">
        <v>3553</v>
      </c>
      <c r="D999" s="11">
        <v>1178150</v>
      </c>
      <c r="E999" s="11">
        <v>29437911</v>
      </c>
      <c r="F999" s="12" t="s">
        <v>3554</v>
      </c>
      <c r="G999" s="11" t="s">
        <v>3555</v>
      </c>
      <c r="H999" t="s">
        <v>3556</v>
      </c>
      <c r="I999" s="13" t="s">
        <v>3557</v>
      </c>
      <c r="J999" s="14">
        <v>11555</v>
      </c>
      <c r="K999" s="14">
        <v>4009.94</v>
      </c>
      <c r="L999" s="10" t="s">
        <v>105</v>
      </c>
      <c r="M999" s="14">
        <v>7545.0599999999995</v>
      </c>
      <c r="N999" s="15">
        <v>0.65296927736910426</v>
      </c>
      <c r="O999" t="str">
        <f>IFERROR(VLOOKUP($I999,CHOOSE({1,2},'[1]DIRETORES NTE'!$H$5:$H$31,'[1]DIRETORES NTE'!$E$5:$E$31,),2,0),"-")</f>
        <v>-</v>
      </c>
    </row>
    <row r="1000" spans="1:15" x14ac:dyDescent="0.25">
      <c r="A1000" s="10">
        <v>998</v>
      </c>
      <c r="B1000" s="11">
        <v>20</v>
      </c>
      <c r="C1000" s="11" t="s">
        <v>50</v>
      </c>
      <c r="D1000" s="11">
        <v>1179224</v>
      </c>
      <c r="E1000" s="11">
        <v>29456487</v>
      </c>
      <c r="F1000" s="12" t="s">
        <v>3558</v>
      </c>
      <c r="G1000" s="11" t="s">
        <v>3559</v>
      </c>
      <c r="H1000" t="s">
        <v>3560</v>
      </c>
      <c r="I1000" s="13">
        <v>95626603549</v>
      </c>
      <c r="J1000" s="14">
        <v>7961</v>
      </c>
      <c r="K1000" s="14">
        <v>7961</v>
      </c>
      <c r="L1000" s="10" t="s">
        <v>27</v>
      </c>
      <c r="M1000" s="14">
        <v>0</v>
      </c>
      <c r="N1000" s="15">
        <v>0</v>
      </c>
      <c r="O1000" t="str">
        <f>IFERROR(VLOOKUP($I1000,CHOOSE({1,2},'[1]DIRETORES NTE'!$H$5:$H$31,'[1]DIRETORES NTE'!$E$5:$E$31,),2,0),"-")</f>
        <v>-</v>
      </c>
    </row>
    <row r="1001" spans="1:15" x14ac:dyDescent="0.25">
      <c r="A1001" s="10">
        <v>999</v>
      </c>
      <c r="B1001" s="11">
        <v>4</v>
      </c>
      <c r="C1001" s="11" t="s">
        <v>1417</v>
      </c>
      <c r="D1001" s="11">
        <v>1176868</v>
      </c>
      <c r="E1001" s="11">
        <v>29116422</v>
      </c>
      <c r="F1001" s="12" t="s">
        <v>1920</v>
      </c>
      <c r="G1001" s="11" t="s">
        <v>3561</v>
      </c>
      <c r="H1001" t="s">
        <v>3562</v>
      </c>
      <c r="I1001" s="13">
        <v>67655882568</v>
      </c>
      <c r="J1001" s="14">
        <v>20382</v>
      </c>
      <c r="K1001" s="14">
        <v>20382</v>
      </c>
      <c r="L1001" s="10" t="s">
        <v>58</v>
      </c>
      <c r="M1001" s="14">
        <v>0</v>
      </c>
      <c r="N1001" s="15">
        <v>0</v>
      </c>
      <c r="O1001" t="str">
        <f>IFERROR(VLOOKUP($I1001,CHOOSE({1,2},'[1]DIRETORES NTE'!$H$5:$H$31,'[1]DIRETORES NTE'!$E$5:$E$31,),2,0),"-")</f>
        <v>-</v>
      </c>
    </row>
    <row r="1002" spans="1:15" x14ac:dyDescent="0.25">
      <c r="A1002" s="10">
        <v>1000</v>
      </c>
      <c r="B1002" s="11">
        <v>1</v>
      </c>
      <c r="C1002" s="11" t="s">
        <v>3563</v>
      </c>
      <c r="D1002" s="11">
        <v>1125887</v>
      </c>
      <c r="E1002" s="11">
        <v>29061628</v>
      </c>
      <c r="F1002" s="12" t="s">
        <v>3564</v>
      </c>
      <c r="G1002" s="11" t="s">
        <v>3565</v>
      </c>
      <c r="H1002" t="s">
        <v>3566</v>
      </c>
      <c r="I1002" s="13">
        <v>59245476553</v>
      </c>
      <c r="J1002" s="14">
        <v>6612</v>
      </c>
      <c r="K1002" s="14">
        <v>6612</v>
      </c>
      <c r="L1002" s="10" t="s">
        <v>356</v>
      </c>
      <c r="M1002" s="14">
        <v>0</v>
      </c>
      <c r="N1002" s="15">
        <v>0</v>
      </c>
      <c r="O1002" t="str">
        <f>IFERROR(VLOOKUP($I1002,CHOOSE({1,2},'[1]DIRETORES NTE'!$H$5:$H$31,'[1]DIRETORES NTE'!$E$5:$E$31,),2,0),"-")</f>
        <v>-</v>
      </c>
    </row>
    <row r="1003" spans="1:15" x14ac:dyDescent="0.25">
      <c r="A1003" s="10">
        <v>1001</v>
      </c>
      <c r="B1003" s="11">
        <v>5</v>
      </c>
      <c r="C1003" s="11" t="s">
        <v>1169</v>
      </c>
      <c r="D1003" s="11">
        <v>1111797</v>
      </c>
      <c r="E1003" s="11">
        <v>29295866</v>
      </c>
      <c r="F1003" s="12" t="s">
        <v>3567</v>
      </c>
      <c r="G1003" s="11" t="s">
        <v>3568</v>
      </c>
      <c r="H1003" t="s">
        <v>3569</v>
      </c>
      <c r="I1003" s="13">
        <v>28623891880</v>
      </c>
      <c r="J1003" s="14">
        <v>18009</v>
      </c>
      <c r="K1003" s="14">
        <v>18009</v>
      </c>
      <c r="L1003" s="10" t="s">
        <v>44</v>
      </c>
      <c r="M1003" s="14">
        <v>0</v>
      </c>
      <c r="N1003" s="15">
        <v>0</v>
      </c>
      <c r="O1003" t="str">
        <f>IFERROR(VLOOKUP($I1003,CHOOSE({1,2},'[1]DIRETORES NTE'!$H$5:$H$31,'[1]DIRETORES NTE'!$E$5:$E$31,),2,0),"-")</f>
        <v>-</v>
      </c>
    </row>
    <row r="1004" spans="1:15" x14ac:dyDescent="0.25">
      <c r="A1004" s="10">
        <v>1002</v>
      </c>
      <c r="B1004" s="11" t="s">
        <v>237</v>
      </c>
      <c r="C1004" s="11" t="s">
        <v>237</v>
      </c>
      <c r="D1004" s="11" t="s">
        <v>237</v>
      </c>
      <c r="E1004" s="11" t="s">
        <v>237</v>
      </c>
      <c r="F1004" s="12" t="s">
        <v>237</v>
      </c>
      <c r="G1004" s="11" t="s">
        <v>237</v>
      </c>
      <c r="H1004" t="s">
        <v>3570</v>
      </c>
      <c r="I1004" s="13">
        <v>44392478572</v>
      </c>
      <c r="J1004" s="14">
        <v>0</v>
      </c>
      <c r="K1004" s="14">
        <v>0</v>
      </c>
      <c r="L1004" s="10" t="s">
        <v>147</v>
      </c>
      <c r="M1004" s="14">
        <v>0</v>
      </c>
      <c r="N1004" s="15" t="e">
        <v>#DIV/0!</v>
      </c>
      <c r="O1004" t="str">
        <f>IFERROR(VLOOKUP($I1004,CHOOSE({1,2},'[1]DIRETORES NTE'!$H$5:$H$31,'[1]DIRETORES NTE'!$E$5:$E$31,),2,0),"-")</f>
        <v>VALDECI SILVA CARVALHO DE SANTANA (DIRETOR DE NTE)</v>
      </c>
    </row>
    <row r="1005" spans="1:15" x14ac:dyDescent="0.25">
      <c r="A1005" s="10">
        <v>1003</v>
      </c>
      <c r="B1005" s="11">
        <v>9</v>
      </c>
      <c r="C1005" s="11" t="s">
        <v>3571</v>
      </c>
      <c r="D1005" s="11">
        <v>1118414</v>
      </c>
      <c r="E1005" s="11">
        <v>29234450</v>
      </c>
      <c r="F1005" s="12" t="s">
        <v>1886</v>
      </c>
      <c r="G1005" s="11" t="s">
        <v>3572</v>
      </c>
      <c r="H1005" t="s">
        <v>3573</v>
      </c>
      <c r="I1005" s="13">
        <v>91997542587</v>
      </c>
      <c r="J1005" s="14">
        <v>8577</v>
      </c>
      <c r="K1005" s="14">
        <v>8577</v>
      </c>
      <c r="L1005" s="10" t="s">
        <v>167</v>
      </c>
      <c r="M1005" s="14">
        <v>0</v>
      </c>
      <c r="N1005" s="15">
        <v>0</v>
      </c>
      <c r="O1005" t="str">
        <f>IFERROR(VLOOKUP($I1005,CHOOSE({1,2},'[1]DIRETORES NTE'!$H$5:$H$31,'[1]DIRETORES NTE'!$E$5:$E$31,),2,0),"-")</f>
        <v>-</v>
      </c>
    </row>
    <row r="1006" spans="1:15" x14ac:dyDescent="0.25">
      <c r="A1006" s="10">
        <v>1004</v>
      </c>
      <c r="B1006" s="11">
        <v>4</v>
      </c>
      <c r="C1006" s="11" t="s">
        <v>171</v>
      </c>
      <c r="D1006" s="11">
        <v>1115660</v>
      </c>
      <c r="E1006" s="11">
        <v>29138442</v>
      </c>
      <c r="F1006" s="12" t="s">
        <v>3574</v>
      </c>
      <c r="G1006" s="11" t="s">
        <v>3575</v>
      </c>
      <c r="H1006" t="s">
        <v>3576</v>
      </c>
      <c r="I1006" s="13">
        <v>92534988549</v>
      </c>
      <c r="J1006" s="14">
        <v>3623</v>
      </c>
      <c r="K1006" s="14">
        <v>3623</v>
      </c>
      <c r="L1006" s="10" t="s">
        <v>58</v>
      </c>
      <c r="M1006" s="14">
        <v>0</v>
      </c>
      <c r="N1006" s="15">
        <v>0</v>
      </c>
      <c r="O1006" t="str">
        <f>IFERROR(VLOOKUP($I1006,CHOOSE({1,2},'[1]DIRETORES NTE'!$H$5:$H$31,'[1]DIRETORES NTE'!$E$5:$E$31,),2,0),"-")</f>
        <v>-</v>
      </c>
    </row>
    <row r="1007" spans="1:15" x14ac:dyDescent="0.25">
      <c r="A1007" s="10">
        <v>1005</v>
      </c>
      <c r="B1007" s="11">
        <v>26</v>
      </c>
      <c r="C1007" s="11" t="s">
        <v>95</v>
      </c>
      <c r="D1007" s="11">
        <v>1174713</v>
      </c>
      <c r="E1007" s="11">
        <v>29191211</v>
      </c>
      <c r="F1007" s="12" t="s">
        <v>3577</v>
      </c>
      <c r="G1007" s="11" t="s">
        <v>3578</v>
      </c>
      <c r="H1007" t="s">
        <v>3579</v>
      </c>
      <c r="I1007" s="13">
        <v>67119808591</v>
      </c>
      <c r="J1007" s="14">
        <v>16281</v>
      </c>
      <c r="K1007" s="14">
        <v>16281</v>
      </c>
      <c r="L1007" s="10" t="s">
        <v>99</v>
      </c>
      <c r="M1007" s="14">
        <v>0</v>
      </c>
      <c r="N1007" s="15">
        <v>0</v>
      </c>
      <c r="O1007" t="str">
        <f>IFERROR(VLOOKUP($I1007,CHOOSE({1,2},'[1]DIRETORES NTE'!$H$5:$H$31,'[1]DIRETORES NTE'!$E$5:$E$31,),2,0),"-")</f>
        <v>-</v>
      </c>
    </row>
    <row r="1008" spans="1:15" x14ac:dyDescent="0.25">
      <c r="A1008" s="10">
        <v>1006</v>
      </c>
      <c r="B1008" s="11">
        <v>6</v>
      </c>
      <c r="C1008" s="11" t="s">
        <v>1108</v>
      </c>
      <c r="D1008" s="11">
        <v>1179138</v>
      </c>
      <c r="E1008" s="11">
        <v>29448816</v>
      </c>
      <c r="F1008" s="12" t="s">
        <v>3580</v>
      </c>
      <c r="G1008" s="11" t="s">
        <v>3581</v>
      </c>
      <c r="H1008" t="s">
        <v>3582</v>
      </c>
      <c r="I1008" s="13" t="s">
        <v>3583</v>
      </c>
      <c r="J1008" s="14">
        <v>4676</v>
      </c>
      <c r="K1008" s="14">
        <v>4676</v>
      </c>
      <c r="L1008" s="10" t="s">
        <v>49</v>
      </c>
      <c r="M1008" s="14">
        <v>0</v>
      </c>
      <c r="N1008" s="15">
        <v>0</v>
      </c>
      <c r="O1008" t="str">
        <f>IFERROR(VLOOKUP($I1008,CHOOSE({1,2},'[1]DIRETORES NTE'!$H$5:$H$31,'[1]DIRETORES NTE'!$E$5:$E$31,),2,0),"-")</f>
        <v>-</v>
      </c>
    </row>
    <row r="1009" spans="1:15" x14ac:dyDescent="0.25">
      <c r="A1009" s="10">
        <v>1007</v>
      </c>
      <c r="B1009" s="11">
        <v>26</v>
      </c>
      <c r="C1009" s="11" t="s">
        <v>95</v>
      </c>
      <c r="D1009" s="11">
        <v>1103492</v>
      </c>
      <c r="E1009" s="11">
        <v>29188695</v>
      </c>
      <c r="F1009" s="12" t="s">
        <v>3584</v>
      </c>
      <c r="G1009" s="11" t="s">
        <v>3585</v>
      </c>
      <c r="H1009" t="s">
        <v>3586</v>
      </c>
      <c r="I1009" s="13">
        <v>45117284534</v>
      </c>
      <c r="J1009" s="14">
        <v>11911</v>
      </c>
      <c r="K1009" s="14">
        <v>11911</v>
      </c>
      <c r="L1009" s="10" t="s">
        <v>99</v>
      </c>
      <c r="M1009" s="14">
        <v>0</v>
      </c>
      <c r="N1009" s="15">
        <v>0</v>
      </c>
      <c r="O1009" t="str">
        <f>IFERROR(VLOOKUP($I1009,CHOOSE({1,2},'[1]DIRETORES NTE'!$H$5:$H$31,'[1]DIRETORES NTE'!$E$5:$E$31,),2,0),"-")</f>
        <v>-</v>
      </c>
    </row>
    <row r="1010" spans="1:15" x14ac:dyDescent="0.25">
      <c r="A1010" s="10">
        <v>1008</v>
      </c>
      <c r="B1010" s="11">
        <v>13</v>
      </c>
      <c r="C1010" s="11" t="s">
        <v>3587</v>
      </c>
      <c r="D1010" s="11">
        <v>1170866</v>
      </c>
      <c r="E1010" s="11">
        <v>29243882</v>
      </c>
      <c r="F1010" s="12" t="s">
        <v>3588</v>
      </c>
      <c r="G1010" s="11" t="s">
        <v>3589</v>
      </c>
      <c r="H1010" t="s">
        <v>3590</v>
      </c>
      <c r="I1010" s="13">
        <v>48513504572</v>
      </c>
      <c r="J1010" s="14">
        <v>14688</v>
      </c>
      <c r="K1010" s="14">
        <v>11008</v>
      </c>
      <c r="L1010" s="10" t="s">
        <v>33</v>
      </c>
      <c r="M1010" s="14">
        <v>3680</v>
      </c>
      <c r="N1010" s="15">
        <v>0.25054466230936817</v>
      </c>
      <c r="O1010" t="str">
        <f>IFERROR(VLOOKUP($I1010,CHOOSE({1,2},'[1]DIRETORES NTE'!$H$5:$H$31,'[1]DIRETORES NTE'!$E$5:$E$31,),2,0),"-")</f>
        <v>-</v>
      </c>
    </row>
    <row r="1011" spans="1:15" x14ac:dyDescent="0.25">
      <c r="A1011" s="10">
        <v>1009</v>
      </c>
      <c r="B1011" s="11">
        <v>11</v>
      </c>
      <c r="C1011" s="11" t="s">
        <v>3591</v>
      </c>
      <c r="D1011" s="11">
        <v>1130260</v>
      </c>
      <c r="E1011" s="11">
        <v>29007100</v>
      </c>
      <c r="F1011" s="12" t="s">
        <v>3592</v>
      </c>
      <c r="G1011" s="11" t="s">
        <v>3593</v>
      </c>
      <c r="H1011" t="s">
        <v>3594</v>
      </c>
      <c r="I1011" s="13">
        <v>54465419520</v>
      </c>
      <c r="J1011" s="14">
        <v>7877</v>
      </c>
      <c r="K1011" s="14">
        <v>7877</v>
      </c>
      <c r="L1011" s="10" t="s">
        <v>39</v>
      </c>
      <c r="M1011" s="14">
        <v>0</v>
      </c>
      <c r="N1011" s="15">
        <v>0</v>
      </c>
      <c r="O1011" t="str">
        <f>IFERROR(VLOOKUP($I1011,CHOOSE({1,2},'[1]DIRETORES NTE'!$H$5:$H$31,'[1]DIRETORES NTE'!$E$5:$E$31,),2,0),"-")</f>
        <v>-</v>
      </c>
    </row>
    <row r="1012" spans="1:15" x14ac:dyDescent="0.25">
      <c r="A1012" s="10">
        <v>1010</v>
      </c>
      <c r="B1012" s="11">
        <v>10</v>
      </c>
      <c r="C1012" s="11" t="s">
        <v>1322</v>
      </c>
      <c r="D1012" s="11">
        <v>1170823</v>
      </c>
      <c r="E1012" s="11">
        <v>29024323</v>
      </c>
      <c r="F1012" s="12" t="s">
        <v>3595</v>
      </c>
      <c r="G1012" s="11" t="s">
        <v>3596</v>
      </c>
      <c r="H1012" t="s">
        <v>3597</v>
      </c>
      <c r="I1012" s="13" t="s">
        <v>3598</v>
      </c>
      <c r="J1012" s="14">
        <v>4788</v>
      </c>
      <c r="K1012" s="14">
        <v>4788</v>
      </c>
      <c r="L1012" s="10" t="s">
        <v>21</v>
      </c>
      <c r="M1012" s="14">
        <v>0</v>
      </c>
      <c r="N1012" s="15">
        <v>0</v>
      </c>
      <c r="O1012" t="str">
        <f>IFERROR(VLOOKUP($I1012,CHOOSE({1,2},'[1]DIRETORES NTE'!$H$5:$H$31,'[1]DIRETORES NTE'!$E$5:$E$31,),2,0),"-")</f>
        <v>-</v>
      </c>
    </row>
    <row r="1013" spans="1:15" x14ac:dyDescent="0.25">
      <c r="A1013" s="10">
        <v>1011</v>
      </c>
      <c r="B1013" s="11">
        <v>17</v>
      </c>
      <c r="C1013" s="11" t="s">
        <v>3599</v>
      </c>
      <c r="D1013" s="11">
        <v>1171196</v>
      </c>
      <c r="E1013" s="11">
        <v>29115396</v>
      </c>
      <c r="F1013" s="12" t="s">
        <v>3600</v>
      </c>
      <c r="G1013" s="11" t="s">
        <v>3601</v>
      </c>
      <c r="H1013" t="s">
        <v>3602</v>
      </c>
      <c r="I1013" s="13" t="s">
        <v>3603</v>
      </c>
      <c r="J1013" s="14">
        <v>11047</v>
      </c>
      <c r="K1013" s="14">
        <v>11047</v>
      </c>
      <c r="L1013" s="10" t="s">
        <v>455</v>
      </c>
      <c r="M1013" s="14">
        <v>0</v>
      </c>
      <c r="N1013" s="15">
        <v>0</v>
      </c>
      <c r="O1013" t="str">
        <f>IFERROR(VLOOKUP($I1013,CHOOSE({1,2},'[1]DIRETORES NTE'!$H$5:$H$31,'[1]DIRETORES NTE'!$E$5:$E$31,),2,0),"-")</f>
        <v>-</v>
      </c>
    </row>
    <row r="1014" spans="1:15" x14ac:dyDescent="0.25">
      <c r="A1014" s="10">
        <v>1012</v>
      </c>
      <c r="B1014" s="11">
        <v>26</v>
      </c>
      <c r="C1014" s="11" t="s">
        <v>95</v>
      </c>
      <c r="D1014" s="11">
        <v>1102372</v>
      </c>
      <c r="E1014" s="11">
        <v>29188792</v>
      </c>
      <c r="F1014" s="12" t="s">
        <v>3604</v>
      </c>
      <c r="G1014" s="11" t="s">
        <v>3605</v>
      </c>
      <c r="H1014" t="s">
        <v>3606</v>
      </c>
      <c r="I1014" s="13">
        <v>90750233591</v>
      </c>
      <c r="J1014" s="14">
        <v>11799</v>
      </c>
      <c r="K1014" s="14">
        <v>11799</v>
      </c>
      <c r="L1014" s="10" t="s">
        <v>99</v>
      </c>
      <c r="M1014" s="14">
        <v>0</v>
      </c>
      <c r="N1014" s="15">
        <v>0</v>
      </c>
      <c r="O1014" t="str">
        <f>IFERROR(VLOOKUP($I1014,CHOOSE({1,2},'[1]DIRETORES NTE'!$H$5:$H$31,'[1]DIRETORES NTE'!$E$5:$E$31,),2,0),"-")</f>
        <v>-</v>
      </c>
    </row>
    <row r="1015" spans="1:15" x14ac:dyDescent="0.25">
      <c r="A1015" s="10">
        <v>1013</v>
      </c>
      <c r="B1015" s="11">
        <v>5</v>
      </c>
      <c r="C1015" s="11" t="s">
        <v>2441</v>
      </c>
      <c r="D1015" s="11">
        <v>1111584</v>
      </c>
      <c r="E1015" s="11">
        <v>29294606</v>
      </c>
      <c r="F1015" s="12" t="s">
        <v>3607</v>
      </c>
      <c r="G1015" s="11" t="s">
        <v>3608</v>
      </c>
      <c r="H1015" t="s">
        <v>3609</v>
      </c>
      <c r="I1015" s="13">
        <v>69690464868</v>
      </c>
      <c r="J1015" s="14">
        <v>7395</v>
      </c>
      <c r="K1015" s="14">
        <v>7395</v>
      </c>
      <c r="L1015" s="10" t="s">
        <v>44</v>
      </c>
      <c r="M1015" s="14">
        <v>0</v>
      </c>
      <c r="N1015" s="15">
        <v>0</v>
      </c>
      <c r="O1015" t="str">
        <f>IFERROR(VLOOKUP($I1015,CHOOSE({1,2},'[1]DIRETORES NTE'!$H$5:$H$31,'[1]DIRETORES NTE'!$E$5:$E$31,),2,0),"-")</f>
        <v>-</v>
      </c>
    </row>
    <row r="1016" spans="1:15" x14ac:dyDescent="0.25">
      <c r="A1016" s="10">
        <v>1014</v>
      </c>
      <c r="B1016" s="11">
        <v>26</v>
      </c>
      <c r="C1016" s="11" t="s">
        <v>95</v>
      </c>
      <c r="D1016" s="11">
        <v>1101120</v>
      </c>
      <c r="E1016" s="11">
        <v>29187419</v>
      </c>
      <c r="F1016" s="12" t="s">
        <v>3610</v>
      </c>
      <c r="G1016" s="11" t="s">
        <v>3611</v>
      </c>
      <c r="H1016" t="s">
        <v>3612</v>
      </c>
      <c r="I1016" s="13">
        <v>27485200500</v>
      </c>
      <c r="J1016" s="14">
        <v>11751</v>
      </c>
      <c r="K1016" s="14">
        <v>11751</v>
      </c>
      <c r="L1016" s="10" t="s">
        <v>99</v>
      </c>
      <c r="M1016" s="14">
        <v>0</v>
      </c>
      <c r="N1016" s="15">
        <v>0</v>
      </c>
      <c r="O1016" t="str">
        <f>IFERROR(VLOOKUP($I1016,CHOOSE({1,2},'[1]DIRETORES NTE'!$H$5:$H$31,'[1]DIRETORES NTE'!$E$5:$E$31,),2,0),"-")</f>
        <v>-</v>
      </c>
    </row>
    <row r="1017" spans="1:15" x14ac:dyDescent="0.25">
      <c r="A1017" s="10">
        <v>1015</v>
      </c>
      <c r="B1017" s="11">
        <v>19</v>
      </c>
      <c r="C1017" s="11" t="s">
        <v>331</v>
      </c>
      <c r="D1017" s="11">
        <v>1106211</v>
      </c>
      <c r="E1017" s="11">
        <v>29096596</v>
      </c>
      <c r="F1017" s="12" t="s">
        <v>3613</v>
      </c>
      <c r="G1017" s="11" t="s">
        <v>3614</v>
      </c>
      <c r="H1017" t="s">
        <v>3615</v>
      </c>
      <c r="I1017" s="13">
        <v>97407445591</v>
      </c>
      <c r="J1017" s="14">
        <v>8086</v>
      </c>
      <c r="K1017" s="14">
        <v>8086</v>
      </c>
      <c r="L1017" s="10" t="s">
        <v>336</v>
      </c>
      <c r="M1017" s="14">
        <v>0</v>
      </c>
      <c r="N1017" s="15">
        <v>0</v>
      </c>
      <c r="O1017" t="str">
        <f>IFERROR(VLOOKUP($I1017,CHOOSE({1,2},'[1]DIRETORES NTE'!$H$5:$H$31,'[1]DIRETORES NTE'!$E$5:$E$31,),2,0),"-")</f>
        <v>-</v>
      </c>
    </row>
    <row r="1018" spans="1:15" x14ac:dyDescent="0.25">
      <c r="A1018" s="10">
        <v>1016</v>
      </c>
      <c r="B1018" s="11">
        <v>7</v>
      </c>
      <c r="C1018" s="11" t="s">
        <v>820</v>
      </c>
      <c r="D1018" s="11">
        <v>1176425</v>
      </c>
      <c r="E1018" s="11">
        <v>29389631</v>
      </c>
      <c r="F1018" s="12" t="s">
        <v>3616</v>
      </c>
      <c r="G1018" s="11" t="s">
        <v>3617</v>
      </c>
      <c r="H1018" t="s">
        <v>3618</v>
      </c>
      <c r="I1018" s="13">
        <v>90991869591</v>
      </c>
      <c r="J1018" s="14">
        <v>13774</v>
      </c>
      <c r="K1018" s="14">
        <v>13774</v>
      </c>
      <c r="L1018" s="10" t="s">
        <v>153</v>
      </c>
      <c r="M1018" s="14">
        <v>0</v>
      </c>
      <c r="N1018" s="15">
        <v>0</v>
      </c>
      <c r="O1018" t="str">
        <f>IFERROR(VLOOKUP($I1018,CHOOSE({1,2},'[1]DIRETORES NTE'!$H$5:$H$31,'[1]DIRETORES NTE'!$E$5:$E$31,),2,0),"-")</f>
        <v>-</v>
      </c>
    </row>
    <row r="1019" spans="1:15" x14ac:dyDescent="0.25">
      <c r="A1019" s="10">
        <v>1017</v>
      </c>
      <c r="B1019" s="11">
        <v>18</v>
      </c>
      <c r="C1019" s="11" t="s">
        <v>3619</v>
      </c>
      <c r="D1019" s="11">
        <v>1108222</v>
      </c>
      <c r="E1019" s="11">
        <v>29104580</v>
      </c>
      <c r="F1019" s="12" t="s">
        <v>3620</v>
      </c>
      <c r="G1019" s="11" t="s">
        <v>3621</v>
      </c>
      <c r="H1019" t="s">
        <v>3622</v>
      </c>
      <c r="I1019" s="13">
        <v>51088150500</v>
      </c>
      <c r="J1019" s="14">
        <v>3853</v>
      </c>
      <c r="K1019" s="14">
        <v>3853</v>
      </c>
      <c r="L1019" s="10" t="s">
        <v>68</v>
      </c>
      <c r="M1019" s="14">
        <v>0</v>
      </c>
      <c r="N1019" s="15">
        <v>0</v>
      </c>
      <c r="O1019" t="str">
        <f>IFERROR(VLOOKUP($I1019,CHOOSE({1,2},'[1]DIRETORES NTE'!$H$5:$H$31,'[1]DIRETORES NTE'!$E$5:$E$31,),2,0),"-")</f>
        <v>-</v>
      </c>
    </row>
    <row r="1020" spans="1:15" x14ac:dyDescent="0.25">
      <c r="A1020" s="10">
        <v>1018</v>
      </c>
      <c r="B1020" s="11">
        <v>18</v>
      </c>
      <c r="C1020" s="11" t="s">
        <v>3003</v>
      </c>
      <c r="D1020" s="11">
        <v>1143494</v>
      </c>
      <c r="E1020" s="11">
        <v>29129435</v>
      </c>
      <c r="F1020" s="12" t="s">
        <v>3623</v>
      </c>
      <c r="G1020" s="11" t="s">
        <v>3624</v>
      </c>
      <c r="H1020" t="s">
        <v>3625</v>
      </c>
      <c r="I1020" s="13">
        <v>41920376534</v>
      </c>
      <c r="J1020" s="14">
        <v>6751</v>
      </c>
      <c r="K1020" s="14">
        <v>6751</v>
      </c>
      <c r="L1020" s="10" t="s">
        <v>68</v>
      </c>
      <c r="M1020" s="14">
        <v>0</v>
      </c>
      <c r="N1020" s="15">
        <v>0</v>
      </c>
      <c r="O1020" t="str">
        <f>IFERROR(VLOOKUP($I1020,CHOOSE({1,2},'[1]DIRETORES NTE'!$H$5:$H$31,'[1]DIRETORES NTE'!$E$5:$E$31,),2,0),"-")</f>
        <v>-</v>
      </c>
    </row>
    <row r="1021" spans="1:15" x14ac:dyDescent="0.25">
      <c r="A1021" s="10">
        <v>1019</v>
      </c>
      <c r="B1021" s="11">
        <v>23</v>
      </c>
      <c r="C1021" s="11" t="s">
        <v>3626</v>
      </c>
      <c r="D1021" s="11">
        <v>1141726</v>
      </c>
      <c r="E1021" s="11">
        <v>29013887</v>
      </c>
      <c r="F1021" s="12" t="s">
        <v>3627</v>
      </c>
      <c r="G1021" s="11" t="s">
        <v>3628</v>
      </c>
      <c r="H1021" t="s">
        <v>3629</v>
      </c>
      <c r="I1021" s="13">
        <v>73837539504</v>
      </c>
      <c r="J1021" s="14">
        <v>7143</v>
      </c>
      <c r="K1021" s="14">
        <v>7143</v>
      </c>
      <c r="L1021" s="10" t="s">
        <v>373</v>
      </c>
      <c r="M1021" s="14">
        <v>0</v>
      </c>
      <c r="N1021" s="15">
        <v>0</v>
      </c>
      <c r="O1021" t="str">
        <f>IFERROR(VLOOKUP($I1021,CHOOSE({1,2},'[1]DIRETORES NTE'!$H$5:$H$31,'[1]DIRETORES NTE'!$E$5:$E$31,),2,0),"-")</f>
        <v>-</v>
      </c>
    </row>
    <row r="1022" spans="1:15" x14ac:dyDescent="0.25">
      <c r="A1022" s="10">
        <v>1020</v>
      </c>
      <c r="B1022" s="11">
        <v>5</v>
      </c>
      <c r="C1022" s="11" t="s">
        <v>209</v>
      </c>
      <c r="D1022" s="11">
        <v>1112211</v>
      </c>
      <c r="E1022" s="11">
        <v>29304237</v>
      </c>
      <c r="F1022" s="12" t="s">
        <v>3630</v>
      </c>
      <c r="G1022" s="11" t="s">
        <v>3631</v>
      </c>
      <c r="H1022" t="s">
        <v>3632</v>
      </c>
      <c r="I1022" s="13" t="s">
        <v>3633</v>
      </c>
      <c r="J1022" s="14">
        <v>10137</v>
      </c>
      <c r="K1022" s="14">
        <v>10137</v>
      </c>
      <c r="L1022" s="10" t="s">
        <v>44</v>
      </c>
      <c r="M1022" s="14">
        <v>0</v>
      </c>
      <c r="N1022" s="15">
        <v>0</v>
      </c>
      <c r="O1022" t="str">
        <f>IFERROR(VLOOKUP($I1022,CHOOSE({1,2},'[1]DIRETORES NTE'!$H$5:$H$31,'[1]DIRETORES NTE'!$E$5:$E$31,),2,0),"-")</f>
        <v>-</v>
      </c>
    </row>
    <row r="1023" spans="1:15" x14ac:dyDescent="0.25">
      <c r="A1023" s="10">
        <v>1021</v>
      </c>
      <c r="B1023" s="11">
        <v>26</v>
      </c>
      <c r="C1023" s="11" t="s">
        <v>95</v>
      </c>
      <c r="D1023" s="11">
        <v>1100736</v>
      </c>
      <c r="E1023" s="11">
        <v>29181151</v>
      </c>
      <c r="F1023" s="12" t="s">
        <v>3634</v>
      </c>
      <c r="G1023" s="11" t="s">
        <v>3635</v>
      </c>
      <c r="H1023" t="s">
        <v>3636</v>
      </c>
      <c r="I1023" s="13">
        <v>24293512500</v>
      </c>
      <c r="J1023" s="14">
        <v>11880</v>
      </c>
      <c r="K1023" s="14">
        <v>11880</v>
      </c>
      <c r="L1023" s="10" t="s">
        <v>99</v>
      </c>
      <c r="M1023" s="14">
        <v>0</v>
      </c>
      <c r="N1023" s="15">
        <v>0</v>
      </c>
      <c r="O1023" t="str">
        <f>IFERROR(VLOOKUP($I1023,CHOOSE({1,2},'[1]DIRETORES NTE'!$H$5:$H$31,'[1]DIRETORES NTE'!$E$5:$E$31,),2,0),"-")</f>
        <v>-</v>
      </c>
    </row>
    <row r="1024" spans="1:15" x14ac:dyDescent="0.25">
      <c r="A1024" s="10">
        <v>1022</v>
      </c>
      <c r="B1024" s="11">
        <v>3</v>
      </c>
      <c r="C1024" s="11" t="s">
        <v>3637</v>
      </c>
      <c r="D1024" s="11">
        <v>1170360</v>
      </c>
      <c r="E1024" s="11">
        <v>29215382</v>
      </c>
      <c r="F1024" s="12" t="s">
        <v>3638</v>
      </c>
      <c r="G1024" s="11" t="s">
        <v>3639</v>
      </c>
      <c r="H1024" t="s">
        <v>3640</v>
      </c>
      <c r="I1024" s="13" t="s">
        <v>3641</v>
      </c>
      <c r="J1024" s="14">
        <v>9401</v>
      </c>
      <c r="K1024" s="14">
        <v>9401</v>
      </c>
      <c r="L1024" s="10" t="s">
        <v>117</v>
      </c>
      <c r="M1024" s="14">
        <v>0</v>
      </c>
      <c r="N1024" s="15">
        <v>0</v>
      </c>
      <c r="O1024" t="str">
        <f>IFERROR(VLOOKUP($I1024,CHOOSE({1,2},'[1]DIRETORES NTE'!$H$5:$H$31,'[1]DIRETORES NTE'!$E$5:$E$31,),2,0),"-")</f>
        <v>-</v>
      </c>
    </row>
    <row r="1025" spans="1:15" x14ac:dyDescent="0.25">
      <c r="A1025" s="10">
        <v>1023</v>
      </c>
      <c r="B1025" s="11">
        <v>18</v>
      </c>
      <c r="C1025" s="11" t="s">
        <v>64</v>
      </c>
      <c r="D1025" s="11">
        <v>1105207</v>
      </c>
      <c r="E1025" s="11">
        <v>29150370</v>
      </c>
      <c r="F1025" s="12" t="s">
        <v>3642</v>
      </c>
      <c r="G1025" s="11" t="s">
        <v>3643</v>
      </c>
      <c r="H1025" t="s">
        <v>3644</v>
      </c>
      <c r="I1025" s="13">
        <v>34068287520</v>
      </c>
      <c r="J1025" s="14">
        <v>6259</v>
      </c>
      <c r="K1025" s="14">
        <v>6259</v>
      </c>
      <c r="L1025" s="10" t="s">
        <v>68</v>
      </c>
      <c r="M1025" s="14">
        <v>0</v>
      </c>
      <c r="N1025" s="15">
        <v>0</v>
      </c>
      <c r="O1025" t="str">
        <f>IFERROR(VLOOKUP($I1025,CHOOSE({1,2},'[1]DIRETORES NTE'!$H$5:$H$31,'[1]DIRETORES NTE'!$E$5:$E$31,),2,0),"-")</f>
        <v>-</v>
      </c>
    </row>
    <row r="1026" spans="1:15" x14ac:dyDescent="0.25">
      <c r="A1026" s="10">
        <v>1024</v>
      </c>
      <c r="B1026" s="11">
        <v>26</v>
      </c>
      <c r="C1026" s="11" t="s">
        <v>289</v>
      </c>
      <c r="D1026" s="11">
        <v>1100477</v>
      </c>
      <c r="E1026" s="11">
        <v>29178487</v>
      </c>
      <c r="F1026" s="12" t="s">
        <v>3645</v>
      </c>
      <c r="G1026" s="11" t="s">
        <v>3646</v>
      </c>
      <c r="H1026" t="s">
        <v>3647</v>
      </c>
      <c r="I1026" s="13">
        <v>56779020559</v>
      </c>
      <c r="J1026" s="14">
        <v>9306</v>
      </c>
      <c r="K1026" s="14">
        <v>73.8</v>
      </c>
      <c r="L1026" s="10" t="s">
        <v>99</v>
      </c>
      <c r="M1026" s="14">
        <v>9232.2000000000007</v>
      </c>
      <c r="N1026" s="15">
        <v>0.99206963249516444</v>
      </c>
      <c r="O1026" t="str">
        <f>IFERROR(VLOOKUP($I1026,CHOOSE({1,2},'[1]DIRETORES NTE'!$H$5:$H$31,'[1]DIRETORES NTE'!$E$5:$E$31,),2,0),"-")</f>
        <v>-</v>
      </c>
    </row>
    <row r="1027" spans="1:15" x14ac:dyDescent="0.25">
      <c r="A1027" s="10">
        <v>1025</v>
      </c>
      <c r="B1027" s="11">
        <v>26</v>
      </c>
      <c r="C1027" s="11" t="s">
        <v>712</v>
      </c>
      <c r="D1027" s="11">
        <v>1104707</v>
      </c>
      <c r="E1027" s="11">
        <v>29175950</v>
      </c>
      <c r="F1027" s="12" t="s">
        <v>3648</v>
      </c>
      <c r="G1027" s="11" t="s">
        <v>3649</v>
      </c>
      <c r="H1027" t="s">
        <v>3650</v>
      </c>
      <c r="I1027" s="13" t="s">
        <v>3651</v>
      </c>
      <c r="J1027" s="14">
        <v>19768</v>
      </c>
      <c r="K1027" s="14">
        <v>2547.46</v>
      </c>
      <c r="L1027" s="10" t="s">
        <v>99</v>
      </c>
      <c r="M1027" s="14">
        <v>17220.54</v>
      </c>
      <c r="N1027" s="15">
        <v>0.87113213273978152</v>
      </c>
      <c r="O1027" t="str">
        <f>IFERROR(VLOOKUP($I1027,CHOOSE({1,2},'[1]DIRETORES NTE'!$H$5:$H$31,'[1]DIRETORES NTE'!$E$5:$E$31,),2,0),"-")</f>
        <v>-</v>
      </c>
    </row>
    <row r="1028" spans="1:15" x14ac:dyDescent="0.25">
      <c r="A1028" s="10">
        <v>1026</v>
      </c>
      <c r="B1028" s="11">
        <v>26</v>
      </c>
      <c r="C1028" s="11" t="s">
        <v>95</v>
      </c>
      <c r="D1028" s="11">
        <v>1104715</v>
      </c>
      <c r="E1028" s="11">
        <v>29187079</v>
      </c>
      <c r="F1028" s="12" t="s">
        <v>3652</v>
      </c>
      <c r="G1028" s="11" t="s">
        <v>3653</v>
      </c>
      <c r="H1028" t="s">
        <v>3654</v>
      </c>
      <c r="I1028" s="13">
        <v>95060499553</v>
      </c>
      <c r="J1028" s="14">
        <v>10302</v>
      </c>
      <c r="K1028" s="14">
        <v>10302</v>
      </c>
      <c r="L1028" s="10" t="s">
        <v>99</v>
      </c>
      <c r="M1028" s="14">
        <v>0</v>
      </c>
      <c r="N1028" s="15">
        <v>0</v>
      </c>
      <c r="O1028" t="str">
        <f>IFERROR(VLOOKUP($I1028,CHOOSE({1,2},'[1]DIRETORES NTE'!$H$5:$H$31,'[1]DIRETORES NTE'!$E$5:$E$31,),2,0),"-")</f>
        <v>-</v>
      </c>
    </row>
    <row r="1029" spans="1:15" x14ac:dyDescent="0.25">
      <c r="A1029" s="10">
        <v>1027</v>
      </c>
      <c r="B1029" s="11">
        <v>1</v>
      </c>
      <c r="C1029" s="11" t="s">
        <v>1839</v>
      </c>
      <c r="D1029" s="11">
        <v>1126611</v>
      </c>
      <c r="E1029" s="11">
        <v>29064147</v>
      </c>
      <c r="F1029" s="12" t="s">
        <v>1886</v>
      </c>
      <c r="G1029" s="11" t="s">
        <v>3655</v>
      </c>
      <c r="H1029" t="s">
        <v>3656</v>
      </c>
      <c r="I1029" s="13" t="s">
        <v>3657</v>
      </c>
      <c r="J1029" s="14">
        <v>18363</v>
      </c>
      <c r="K1029" s="14">
        <v>18363</v>
      </c>
      <c r="L1029" s="10" t="s">
        <v>356</v>
      </c>
      <c r="M1029" s="14">
        <v>0</v>
      </c>
      <c r="N1029" s="15">
        <v>0</v>
      </c>
      <c r="O1029" t="str">
        <f>IFERROR(VLOOKUP($I1029,CHOOSE({1,2},'[1]DIRETORES NTE'!$H$5:$H$31,'[1]DIRETORES NTE'!$E$5:$E$31,),2,0),"-")</f>
        <v>-</v>
      </c>
    </row>
    <row r="1030" spans="1:15" x14ac:dyDescent="0.25">
      <c r="A1030" s="10">
        <v>1028</v>
      </c>
      <c r="B1030" s="11">
        <v>25</v>
      </c>
      <c r="C1030" s="11" t="s">
        <v>3658</v>
      </c>
      <c r="D1030" s="11">
        <v>1119577</v>
      </c>
      <c r="E1030" s="11">
        <v>29048184</v>
      </c>
      <c r="F1030" s="12" t="s">
        <v>3659</v>
      </c>
      <c r="G1030" s="11" t="s">
        <v>3660</v>
      </c>
      <c r="H1030" t="s">
        <v>3661</v>
      </c>
      <c r="I1030" s="13" t="s">
        <v>3662</v>
      </c>
      <c r="J1030" s="14">
        <v>12399</v>
      </c>
      <c r="K1030" s="14">
        <v>12399</v>
      </c>
      <c r="L1030" s="10" t="s">
        <v>80</v>
      </c>
      <c r="M1030" s="14">
        <v>0</v>
      </c>
      <c r="N1030" s="15">
        <v>0</v>
      </c>
      <c r="O1030" t="str">
        <f>IFERROR(VLOOKUP($I1030,CHOOSE({1,2},'[1]DIRETORES NTE'!$H$5:$H$31,'[1]DIRETORES NTE'!$E$5:$E$31,),2,0),"-")</f>
        <v>-</v>
      </c>
    </row>
    <row r="1031" spans="1:15" x14ac:dyDescent="0.25">
      <c r="A1031" s="10">
        <v>1029</v>
      </c>
      <c r="B1031" s="11">
        <v>26</v>
      </c>
      <c r="C1031" s="11" t="s">
        <v>95</v>
      </c>
      <c r="D1031" s="11">
        <v>1104243</v>
      </c>
      <c r="E1031" s="11">
        <v>29191157</v>
      </c>
      <c r="F1031" s="12" t="s">
        <v>3663</v>
      </c>
      <c r="G1031" s="11" t="s">
        <v>3664</v>
      </c>
      <c r="H1031" t="s">
        <v>3665</v>
      </c>
      <c r="I1031" s="13">
        <v>22623965587</v>
      </c>
      <c r="J1031" s="14">
        <v>13316</v>
      </c>
      <c r="K1031" s="14">
        <v>3117.3</v>
      </c>
      <c r="L1031" s="10" t="s">
        <v>99</v>
      </c>
      <c r="M1031" s="14">
        <v>10198.700000000001</v>
      </c>
      <c r="N1031" s="15">
        <v>0.7658981676179033</v>
      </c>
      <c r="O1031" t="str">
        <f>IFERROR(VLOOKUP($I1031,CHOOSE({1,2},'[1]DIRETORES NTE'!$H$5:$H$31,'[1]DIRETORES NTE'!$E$5:$E$31,),2,0),"-")</f>
        <v>-</v>
      </c>
    </row>
    <row r="1032" spans="1:15" x14ac:dyDescent="0.25">
      <c r="A1032" s="10">
        <v>1030</v>
      </c>
      <c r="B1032" s="11">
        <v>26</v>
      </c>
      <c r="C1032" s="11" t="s">
        <v>305</v>
      </c>
      <c r="D1032" s="11">
        <v>1103719</v>
      </c>
      <c r="E1032" s="11">
        <v>29177090</v>
      </c>
      <c r="F1032" s="12" t="s">
        <v>3666</v>
      </c>
      <c r="G1032" s="11" t="s">
        <v>3667</v>
      </c>
      <c r="H1032" t="s">
        <v>3668</v>
      </c>
      <c r="I1032" s="13">
        <v>72511877520</v>
      </c>
      <c r="J1032" s="14">
        <v>7103</v>
      </c>
      <c r="K1032" s="14">
        <v>7103</v>
      </c>
      <c r="L1032" s="10" t="s">
        <v>99</v>
      </c>
      <c r="M1032" s="14">
        <v>0</v>
      </c>
      <c r="N1032" s="15">
        <v>0</v>
      </c>
      <c r="O1032" t="str">
        <f>IFERROR(VLOOKUP($I1032,CHOOSE({1,2},'[1]DIRETORES NTE'!$H$5:$H$31,'[1]DIRETORES NTE'!$E$5:$E$31,),2,0),"-")</f>
        <v>-</v>
      </c>
    </row>
    <row r="1033" spans="1:15" x14ac:dyDescent="0.25">
      <c r="A1033" s="10">
        <v>1031</v>
      </c>
      <c r="B1033" s="11">
        <v>24</v>
      </c>
      <c r="C1033" s="11" t="s">
        <v>603</v>
      </c>
      <c r="D1033" s="11">
        <v>1114257</v>
      </c>
      <c r="E1033" s="11">
        <v>29034922</v>
      </c>
      <c r="F1033" s="12" t="s">
        <v>3669</v>
      </c>
      <c r="G1033" s="11" t="s">
        <v>3670</v>
      </c>
      <c r="H1033" t="s">
        <v>3671</v>
      </c>
      <c r="I1033" s="13">
        <v>94855153591</v>
      </c>
      <c r="J1033" s="14">
        <v>11275</v>
      </c>
      <c r="K1033" s="14">
        <v>11275</v>
      </c>
      <c r="L1033" s="10" t="s">
        <v>266</v>
      </c>
      <c r="M1033" s="14">
        <v>0</v>
      </c>
      <c r="N1033" s="15">
        <v>0</v>
      </c>
      <c r="O1033" t="str">
        <f>IFERROR(VLOOKUP($I1033,CHOOSE({1,2},'[1]DIRETORES NTE'!$H$5:$H$31,'[1]DIRETORES NTE'!$E$5:$E$31,),2,0),"-")</f>
        <v>-</v>
      </c>
    </row>
    <row r="1034" spans="1:15" x14ac:dyDescent="0.25">
      <c r="A1034" s="10">
        <v>1032</v>
      </c>
      <c r="B1034" s="11">
        <v>26</v>
      </c>
      <c r="C1034" s="11" t="s">
        <v>400</v>
      </c>
      <c r="D1034" s="11">
        <v>1176461</v>
      </c>
      <c r="E1034" s="11">
        <v>29391253</v>
      </c>
      <c r="F1034" s="12" t="s">
        <v>638</v>
      </c>
      <c r="G1034" s="11" t="s">
        <v>3672</v>
      </c>
      <c r="H1034" t="s">
        <v>3673</v>
      </c>
      <c r="I1034" s="13">
        <v>67029493591</v>
      </c>
      <c r="J1034" s="14">
        <v>13761</v>
      </c>
      <c r="K1034" s="14">
        <v>13761</v>
      </c>
      <c r="L1034" s="10" t="s">
        <v>99</v>
      </c>
      <c r="M1034" s="14">
        <v>0</v>
      </c>
      <c r="N1034" s="15">
        <v>0</v>
      </c>
      <c r="O1034" t="str">
        <f>IFERROR(VLOOKUP($I1034,CHOOSE({1,2},'[1]DIRETORES NTE'!$H$5:$H$31,'[1]DIRETORES NTE'!$E$5:$E$31,),2,0),"-")</f>
        <v>-</v>
      </c>
    </row>
    <row r="1035" spans="1:15" x14ac:dyDescent="0.25">
      <c r="A1035" s="10">
        <v>1033</v>
      </c>
      <c r="B1035" s="11">
        <v>12</v>
      </c>
      <c r="C1035" s="11" t="s">
        <v>2207</v>
      </c>
      <c r="D1035" s="11">
        <v>1127634</v>
      </c>
      <c r="E1035" s="11">
        <v>29240530</v>
      </c>
      <c r="F1035" s="12" t="s">
        <v>3674</v>
      </c>
      <c r="G1035" s="11" t="s">
        <v>3675</v>
      </c>
      <c r="H1035" t="s">
        <v>3676</v>
      </c>
      <c r="I1035" s="13">
        <v>59680601587</v>
      </c>
      <c r="J1035" s="14">
        <v>3685</v>
      </c>
      <c r="K1035" s="14">
        <v>3685</v>
      </c>
      <c r="L1035" s="10" t="s">
        <v>90</v>
      </c>
      <c r="M1035" s="14">
        <v>0</v>
      </c>
      <c r="N1035" s="15">
        <v>0</v>
      </c>
      <c r="O1035" t="str">
        <f>IFERROR(VLOOKUP($I1035,CHOOSE({1,2},'[1]DIRETORES NTE'!$H$5:$H$31,'[1]DIRETORES NTE'!$E$5:$E$31,),2,0),"-")</f>
        <v>-</v>
      </c>
    </row>
    <row r="1036" spans="1:15" x14ac:dyDescent="0.25">
      <c r="A1036" s="10">
        <v>1034</v>
      </c>
      <c r="B1036" s="11">
        <v>1</v>
      </c>
      <c r="C1036" s="11" t="s">
        <v>1839</v>
      </c>
      <c r="D1036" s="11">
        <v>1176431</v>
      </c>
      <c r="E1036" s="11">
        <v>29403230</v>
      </c>
      <c r="F1036" s="12" t="s">
        <v>3677</v>
      </c>
      <c r="G1036" s="11" t="s">
        <v>3678</v>
      </c>
      <c r="H1036" t="s">
        <v>3679</v>
      </c>
      <c r="I1036" s="13">
        <v>61849499500</v>
      </c>
      <c r="J1036" s="14">
        <v>30212</v>
      </c>
      <c r="K1036" s="14">
        <v>30212</v>
      </c>
      <c r="L1036" s="10" t="s">
        <v>356</v>
      </c>
      <c r="M1036" s="14">
        <v>0</v>
      </c>
      <c r="N1036" s="15">
        <v>0</v>
      </c>
      <c r="O1036" t="str">
        <f>IFERROR(VLOOKUP($I1036,CHOOSE({1,2},'[1]DIRETORES NTE'!$H$5:$H$31,'[1]DIRETORES NTE'!$E$5:$E$31,),2,0),"-")</f>
        <v>-</v>
      </c>
    </row>
    <row r="1037" spans="1:15" x14ac:dyDescent="0.25">
      <c r="A1037" s="10">
        <v>1035</v>
      </c>
      <c r="B1037" s="11">
        <v>20</v>
      </c>
      <c r="C1037" s="11" t="s">
        <v>2479</v>
      </c>
      <c r="D1037" s="11">
        <v>1179136</v>
      </c>
      <c r="E1037" s="11">
        <v>29449545</v>
      </c>
      <c r="F1037" s="12" t="s">
        <v>3680</v>
      </c>
      <c r="G1037" s="11" t="s">
        <v>3681</v>
      </c>
      <c r="H1037" t="s">
        <v>3682</v>
      </c>
      <c r="I1037" s="13" t="s">
        <v>3683</v>
      </c>
      <c r="J1037" s="14">
        <v>4067</v>
      </c>
      <c r="K1037" s="14">
        <v>4067</v>
      </c>
      <c r="L1037" s="10" t="s">
        <v>27</v>
      </c>
      <c r="M1037" s="14">
        <v>0</v>
      </c>
      <c r="N1037" s="15">
        <v>0</v>
      </c>
      <c r="O1037" t="str">
        <f>IFERROR(VLOOKUP($I1037,CHOOSE({1,2},'[1]DIRETORES NTE'!$H$5:$H$31,'[1]DIRETORES NTE'!$E$5:$E$31,),2,0),"-")</f>
        <v>-</v>
      </c>
    </row>
    <row r="1038" spans="1:15" x14ac:dyDescent="0.25">
      <c r="A1038" s="10">
        <v>1036</v>
      </c>
      <c r="B1038" s="11">
        <v>11</v>
      </c>
      <c r="C1038" s="11" t="s">
        <v>34</v>
      </c>
      <c r="D1038" s="11">
        <v>1129637</v>
      </c>
      <c r="E1038" s="11">
        <v>29000599</v>
      </c>
      <c r="F1038" s="12" t="s">
        <v>3684</v>
      </c>
      <c r="G1038" s="11" t="s">
        <v>3685</v>
      </c>
      <c r="H1038" t="s">
        <v>3686</v>
      </c>
      <c r="I1038" s="13" t="s">
        <v>3687</v>
      </c>
      <c r="J1038" s="14">
        <v>4426</v>
      </c>
      <c r="K1038" s="14">
        <v>4426</v>
      </c>
      <c r="L1038" s="10" t="s">
        <v>39</v>
      </c>
      <c r="M1038" s="14">
        <v>0</v>
      </c>
      <c r="N1038" s="15">
        <v>0</v>
      </c>
      <c r="O1038" t="str">
        <f>IFERROR(VLOOKUP($I1038,CHOOSE({1,2},'[1]DIRETORES NTE'!$H$5:$H$31,'[1]DIRETORES NTE'!$E$5:$E$31,),2,0),"-")</f>
        <v>-</v>
      </c>
    </row>
    <row r="1039" spans="1:15" x14ac:dyDescent="0.25">
      <c r="A1039" s="10">
        <v>1037</v>
      </c>
      <c r="B1039" s="11">
        <v>11</v>
      </c>
      <c r="C1039" s="11" t="s">
        <v>188</v>
      </c>
      <c r="D1039" s="11">
        <v>1178162</v>
      </c>
      <c r="E1039" s="11">
        <v>29437881</v>
      </c>
      <c r="F1039" s="12" t="s">
        <v>3688</v>
      </c>
      <c r="G1039" s="11" t="s">
        <v>3689</v>
      </c>
      <c r="H1039" t="s">
        <v>3690</v>
      </c>
      <c r="I1039" s="13" t="s">
        <v>3691</v>
      </c>
      <c r="J1039" s="14">
        <v>14497</v>
      </c>
      <c r="K1039" s="14">
        <v>14497</v>
      </c>
      <c r="L1039" s="10" t="s">
        <v>39</v>
      </c>
      <c r="M1039" s="14">
        <v>0</v>
      </c>
      <c r="N1039" s="15">
        <v>0</v>
      </c>
      <c r="O1039" t="str">
        <f>IFERROR(VLOOKUP($I1039,CHOOSE({1,2},'[1]DIRETORES NTE'!$H$5:$H$31,'[1]DIRETORES NTE'!$E$5:$E$31,),2,0),"-")</f>
        <v>-</v>
      </c>
    </row>
    <row r="1040" spans="1:15" x14ac:dyDescent="0.25">
      <c r="A1040" s="10">
        <v>1038</v>
      </c>
      <c r="B1040" s="11">
        <v>27</v>
      </c>
      <c r="C1040" s="11" t="s">
        <v>924</v>
      </c>
      <c r="D1040" s="11">
        <v>1141149</v>
      </c>
      <c r="E1040" s="11">
        <v>29326028</v>
      </c>
      <c r="F1040" s="12" t="s">
        <v>3692</v>
      </c>
      <c r="G1040" s="11" t="s">
        <v>3693</v>
      </c>
      <c r="H1040" t="s">
        <v>3694</v>
      </c>
      <c r="I1040" s="13" t="s">
        <v>3695</v>
      </c>
      <c r="J1040" s="14">
        <v>21840</v>
      </c>
      <c r="K1040" s="14">
        <v>21840</v>
      </c>
      <c r="L1040" s="10" t="s">
        <v>720</v>
      </c>
      <c r="M1040" s="14">
        <v>0</v>
      </c>
      <c r="N1040" s="15">
        <v>0</v>
      </c>
      <c r="O1040" t="str">
        <f>IFERROR(VLOOKUP($I1040,CHOOSE({1,2},'[1]DIRETORES NTE'!$H$5:$H$31,'[1]DIRETORES NTE'!$E$5:$E$31,),2,0),"-")</f>
        <v>-</v>
      </c>
    </row>
    <row r="1041" spans="1:15" x14ac:dyDescent="0.25">
      <c r="A1041" s="10">
        <v>1039</v>
      </c>
      <c r="B1041" s="11">
        <v>25</v>
      </c>
      <c r="C1041" s="11" t="s">
        <v>3696</v>
      </c>
      <c r="D1041" s="11">
        <v>1122020</v>
      </c>
      <c r="E1041" s="11">
        <v>29069106</v>
      </c>
      <c r="F1041" s="12" t="s">
        <v>3697</v>
      </c>
      <c r="G1041" s="11" t="s">
        <v>3698</v>
      </c>
      <c r="H1041" t="s">
        <v>3699</v>
      </c>
      <c r="I1041" s="13" t="s">
        <v>3700</v>
      </c>
      <c r="J1041" s="14">
        <v>9076</v>
      </c>
      <c r="K1041" s="14">
        <v>9076</v>
      </c>
      <c r="L1041" s="10" t="s">
        <v>80</v>
      </c>
      <c r="M1041" s="14">
        <v>0</v>
      </c>
      <c r="N1041" s="15">
        <v>0</v>
      </c>
      <c r="O1041" t="str">
        <f>IFERROR(VLOOKUP($I1041,CHOOSE({1,2},'[1]DIRETORES NTE'!$H$5:$H$31,'[1]DIRETORES NTE'!$E$5:$E$31,),2,0),"-")</f>
        <v>-</v>
      </c>
    </row>
    <row r="1042" spans="1:15" x14ac:dyDescent="0.25">
      <c r="A1042" s="10">
        <v>1040</v>
      </c>
      <c r="B1042" s="11">
        <v>26</v>
      </c>
      <c r="C1042" s="11" t="s">
        <v>95</v>
      </c>
      <c r="D1042" s="11">
        <v>1175280</v>
      </c>
      <c r="E1042" s="11">
        <v>29192307</v>
      </c>
      <c r="F1042" s="12" t="s">
        <v>3701</v>
      </c>
      <c r="G1042" s="11" t="s">
        <v>3702</v>
      </c>
      <c r="H1042" t="s">
        <v>3703</v>
      </c>
      <c r="I1042" s="13">
        <v>64820211587</v>
      </c>
      <c r="J1042" s="14">
        <v>11371</v>
      </c>
      <c r="K1042" s="14">
        <v>0.8</v>
      </c>
      <c r="L1042" s="10" t="s">
        <v>99</v>
      </c>
      <c r="M1042" s="14">
        <v>11370.2</v>
      </c>
      <c r="N1042" s="15">
        <v>0.99992964558965791</v>
      </c>
      <c r="O1042" t="str">
        <f>IFERROR(VLOOKUP($I1042,CHOOSE({1,2},'[1]DIRETORES NTE'!$H$5:$H$31,'[1]DIRETORES NTE'!$E$5:$E$31,),2,0),"-")</f>
        <v>-</v>
      </c>
    </row>
    <row r="1043" spans="1:15" x14ac:dyDescent="0.25">
      <c r="A1043" s="10">
        <v>1041</v>
      </c>
      <c r="B1043" s="11" t="s">
        <v>237</v>
      </c>
      <c r="C1043" s="11" t="s">
        <v>237</v>
      </c>
      <c r="D1043" s="11" t="s">
        <v>237</v>
      </c>
      <c r="E1043" s="11" t="s">
        <v>237</v>
      </c>
      <c r="F1043" s="12" t="s">
        <v>237</v>
      </c>
      <c r="G1043" s="11" t="s">
        <v>237</v>
      </c>
      <c r="H1043" t="s">
        <v>3704</v>
      </c>
      <c r="I1043" s="13">
        <v>86231138534</v>
      </c>
      <c r="J1043" s="14">
        <v>0</v>
      </c>
      <c r="K1043" s="14">
        <v>0</v>
      </c>
      <c r="L1043" s="10" t="s">
        <v>167</v>
      </c>
      <c r="M1043" s="14">
        <v>0</v>
      </c>
      <c r="N1043" s="15" t="e">
        <v>#DIV/0!</v>
      </c>
      <c r="O1043" t="str">
        <f>IFERROR(VLOOKUP($I1043,CHOOSE({1,2},'[1]DIRETORES NTE'!$H$5:$H$31,'[1]DIRETORES NTE'!$E$5:$E$31,),2,0),"-")</f>
        <v>WILLIAMS PANFILE SANTOS BRANDAO (DIRETOR DE NTE)</v>
      </c>
    </row>
    <row r="1044" spans="1:15" x14ac:dyDescent="0.25">
      <c r="A1044" s="10">
        <v>1042</v>
      </c>
      <c r="B1044" s="11">
        <v>21</v>
      </c>
      <c r="C1044" s="11" t="s">
        <v>2353</v>
      </c>
      <c r="D1044" s="11">
        <v>1134568</v>
      </c>
      <c r="E1044" s="11">
        <v>29170583</v>
      </c>
      <c r="F1044" s="12" t="s">
        <v>3705</v>
      </c>
      <c r="G1044" s="11" t="s">
        <v>3706</v>
      </c>
      <c r="H1044" t="s">
        <v>3707</v>
      </c>
      <c r="I1044" s="13">
        <v>91078580510</v>
      </c>
      <c r="J1044" s="14">
        <v>19361</v>
      </c>
      <c r="K1044" s="14">
        <v>89.5</v>
      </c>
      <c r="L1044" s="10" t="s">
        <v>63</v>
      </c>
      <c r="M1044" s="14">
        <v>19271.5</v>
      </c>
      <c r="N1044" s="15">
        <v>0.99537730489127629</v>
      </c>
      <c r="O1044" t="str">
        <f>IFERROR(VLOOKUP($I1044,CHOOSE({1,2},'[1]DIRETORES NTE'!$H$5:$H$31,'[1]DIRETORES NTE'!$E$5:$E$31,),2,0),"-")</f>
        <v>-</v>
      </c>
    </row>
    <row r="1045" spans="1:15" x14ac:dyDescent="0.25">
      <c r="A1045" s="10">
        <v>1043</v>
      </c>
      <c r="B1045" s="11">
        <v>26</v>
      </c>
      <c r="C1045" s="11" t="s">
        <v>95</v>
      </c>
      <c r="D1045" s="11">
        <v>1104103</v>
      </c>
      <c r="E1045" s="11">
        <v>29194776</v>
      </c>
      <c r="F1045" s="12" t="s">
        <v>692</v>
      </c>
      <c r="G1045" s="11" t="s">
        <v>3708</v>
      </c>
      <c r="H1045" t="s">
        <v>3709</v>
      </c>
      <c r="I1045" s="13">
        <v>45683980534</v>
      </c>
      <c r="J1045" s="14">
        <v>4541</v>
      </c>
      <c r="K1045" s="14">
        <v>4541</v>
      </c>
      <c r="L1045" s="10" t="s">
        <v>99</v>
      </c>
      <c r="M1045" s="14">
        <v>0</v>
      </c>
      <c r="N1045" s="15">
        <v>0</v>
      </c>
      <c r="O1045" t="str">
        <f>IFERROR(VLOOKUP($I1045,CHOOSE({1,2},'[1]DIRETORES NTE'!$H$5:$H$31,'[1]DIRETORES NTE'!$E$5:$E$31,),2,0),"-")</f>
        <v>-</v>
      </c>
    </row>
    <row r="1046" spans="1:15" x14ac:dyDescent="0.25">
      <c r="A1046" s="10">
        <v>1044</v>
      </c>
      <c r="B1046" s="11">
        <v>19</v>
      </c>
      <c r="C1046" s="11" t="s">
        <v>331</v>
      </c>
      <c r="D1046" s="11">
        <v>1105886</v>
      </c>
      <c r="E1046" s="11">
        <v>29093660</v>
      </c>
      <c r="F1046" s="12" t="s">
        <v>3710</v>
      </c>
      <c r="G1046" s="11" t="s">
        <v>3711</v>
      </c>
      <c r="H1046" t="s">
        <v>3712</v>
      </c>
      <c r="I1046" s="13">
        <v>18087566572</v>
      </c>
      <c r="J1046" s="14">
        <v>8995</v>
      </c>
      <c r="K1046" s="14">
        <v>7418.32</v>
      </c>
      <c r="L1046" s="10" t="s">
        <v>336</v>
      </c>
      <c r="M1046" s="14">
        <v>1576.6800000000003</v>
      </c>
      <c r="N1046" s="15">
        <v>0.17528404669260703</v>
      </c>
      <c r="O1046" t="str">
        <f>IFERROR(VLOOKUP($I1046,CHOOSE({1,2},'[1]DIRETORES NTE'!$H$5:$H$31,'[1]DIRETORES NTE'!$E$5:$E$31,),2,0),"-")</f>
        <v>-</v>
      </c>
    </row>
    <row r="1047" spans="1:15" x14ac:dyDescent="0.25">
      <c r="A1047" s="10">
        <v>1045</v>
      </c>
      <c r="B1047" s="11">
        <v>3</v>
      </c>
      <c r="C1047" s="11" t="s">
        <v>3713</v>
      </c>
      <c r="D1047" s="11">
        <v>1132565</v>
      </c>
      <c r="E1047" s="11">
        <v>29217768</v>
      </c>
      <c r="F1047" s="12" t="s">
        <v>3714</v>
      </c>
      <c r="G1047" s="11" t="s">
        <v>3715</v>
      </c>
      <c r="H1047" t="s">
        <v>3716</v>
      </c>
      <c r="I1047" s="13">
        <v>66730244534</v>
      </c>
      <c r="J1047" s="14">
        <v>4857</v>
      </c>
      <c r="K1047" s="14">
        <v>4857</v>
      </c>
      <c r="L1047" s="10" t="s">
        <v>117</v>
      </c>
      <c r="M1047" s="14">
        <v>0</v>
      </c>
      <c r="N1047" s="15">
        <v>0</v>
      </c>
      <c r="O1047" t="str">
        <f>IFERROR(VLOOKUP($I1047,CHOOSE({1,2},'[1]DIRETORES NTE'!$H$5:$H$31,'[1]DIRETORES NTE'!$E$5:$E$31,),2,0),"-")</f>
        <v>-</v>
      </c>
    </row>
    <row r="1048" spans="1:15" x14ac:dyDescent="0.25">
      <c r="A1048" s="10">
        <v>1046</v>
      </c>
      <c r="B1048" s="11" t="s">
        <v>237</v>
      </c>
      <c r="C1048" s="11" t="s">
        <v>237</v>
      </c>
      <c r="D1048" s="11" t="s">
        <v>237</v>
      </c>
      <c r="E1048" s="11" t="s">
        <v>237</v>
      </c>
      <c r="F1048" s="12" t="s">
        <v>237</v>
      </c>
      <c r="G1048" s="11" t="s">
        <v>237</v>
      </c>
      <c r="H1048" t="s">
        <v>3717</v>
      </c>
      <c r="I1048" s="13">
        <v>53512650520</v>
      </c>
      <c r="J1048" s="14">
        <v>0</v>
      </c>
      <c r="K1048" s="14">
        <v>0</v>
      </c>
      <c r="L1048" s="10" t="s">
        <v>68</v>
      </c>
      <c r="M1048" s="14">
        <v>0</v>
      </c>
      <c r="N1048" s="15" t="e">
        <v>#DIV/0!</v>
      </c>
      <c r="O1048" t="str">
        <f>IFERROR(VLOOKUP($I1048,CHOOSE({1,2},'[1]DIRETORES NTE'!$H$5:$H$31,'[1]DIRETORES NTE'!$E$5:$E$31,),2,0),"-")</f>
        <v>-</v>
      </c>
    </row>
    <row r="1049" spans="1:15" x14ac:dyDescent="0.25">
      <c r="A1049" s="10">
        <v>1047</v>
      </c>
      <c r="B1049" s="11">
        <v>21</v>
      </c>
      <c r="C1049" s="11" t="s">
        <v>157</v>
      </c>
      <c r="D1049" s="11">
        <v>1176464</v>
      </c>
      <c r="E1049" s="11">
        <v>29391466</v>
      </c>
      <c r="F1049" s="12" t="s">
        <v>3718</v>
      </c>
      <c r="G1049" s="11" t="s">
        <v>3719</v>
      </c>
      <c r="H1049" t="s">
        <v>3720</v>
      </c>
      <c r="I1049" s="13">
        <v>95405305553</v>
      </c>
      <c r="J1049" s="14">
        <v>9991</v>
      </c>
      <c r="K1049" s="14">
        <v>1966.2</v>
      </c>
      <c r="L1049" s="10" t="s">
        <v>63</v>
      </c>
      <c r="M1049" s="14">
        <v>8024.8</v>
      </c>
      <c r="N1049" s="15">
        <v>0.80320288259433492</v>
      </c>
      <c r="O1049" t="str">
        <f>IFERROR(VLOOKUP($I1049,CHOOSE({1,2},'[1]DIRETORES NTE'!$H$5:$H$31,'[1]DIRETORES NTE'!$E$5:$E$31,),2,0),"-")</f>
        <v>-</v>
      </c>
    </row>
    <row r="1050" spans="1:15" x14ac:dyDescent="0.25">
      <c r="A1050" s="10">
        <v>1048</v>
      </c>
      <c r="B1050" s="11">
        <v>12</v>
      </c>
      <c r="C1050" s="11" t="s">
        <v>3721</v>
      </c>
      <c r="D1050" s="11">
        <v>1167709</v>
      </c>
      <c r="E1050" s="11">
        <v>29205387</v>
      </c>
      <c r="F1050" s="12" t="s">
        <v>597</v>
      </c>
      <c r="G1050" s="11" t="s">
        <v>3722</v>
      </c>
      <c r="H1050" t="s">
        <v>3723</v>
      </c>
      <c r="I1050" s="13">
        <v>31924689553</v>
      </c>
      <c r="J1050" s="14">
        <v>6765</v>
      </c>
      <c r="K1050" s="14">
        <v>6765</v>
      </c>
      <c r="L1050" s="10" t="s">
        <v>90</v>
      </c>
      <c r="M1050" s="14">
        <v>0</v>
      </c>
      <c r="N1050" s="15">
        <v>0</v>
      </c>
      <c r="O1050" t="str">
        <f>IFERROR(VLOOKUP($I1050,CHOOSE({1,2},'[1]DIRETORES NTE'!$H$5:$H$31,'[1]DIRETORES NTE'!$E$5:$E$31,),2,0),"-")</f>
        <v>-</v>
      </c>
    </row>
    <row r="1051" spans="1:15" x14ac:dyDescent="0.25">
      <c r="A1051" s="10">
        <v>1049</v>
      </c>
      <c r="B1051" s="11">
        <v>11</v>
      </c>
      <c r="C1051" s="11" t="s">
        <v>188</v>
      </c>
      <c r="D1051" s="11">
        <v>1178162</v>
      </c>
      <c r="E1051" s="11">
        <v>29437881</v>
      </c>
      <c r="F1051" s="12" t="s">
        <v>3688</v>
      </c>
      <c r="G1051" s="11" t="s">
        <v>3689</v>
      </c>
      <c r="H1051" t="s">
        <v>3690</v>
      </c>
      <c r="I1051" s="13" t="s">
        <v>3691</v>
      </c>
      <c r="J1051" s="14">
        <v>0</v>
      </c>
      <c r="K1051" s="14">
        <v>0</v>
      </c>
      <c r="L1051" s="10" t="s">
        <v>39</v>
      </c>
      <c r="M1051" s="14">
        <v>0</v>
      </c>
      <c r="N1051" s="15" t="e">
        <v>#DIV/0!</v>
      </c>
      <c r="O1051" t="str">
        <f>IFERROR(VLOOKUP($I1051,CHOOSE({1,2},'[1]DIRETORES NTE'!$H$5:$H$31,'[1]DIRETORES NTE'!$E$5:$E$31,),2,0),"-")</f>
        <v>-</v>
      </c>
    </row>
    <row r="1052" spans="1:15" x14ac:dyDescent="0.25">
      <c r="A1052" s="10">
        <v>1050</v>
      </c>
      <c r="B1052" s="11">
        <v>27</v>
      </c>
      <c r="C1052" s="11" t="s">
        <v>924</v>
      </c>
      <c r="D1052" s="11">
        <v>1141149</v>
      </c>
      <c r="E1052" s="11">
        <v>29326028</v>
      </c>
      <c r="F1052" s="12" t="s">
        <v>3692</v>
      </c>
      <c r="G1052" s="11" t="s">
        <v>3693</v>
      </c>
      <c r="H1052" t="s">
        <v>3694</v>
      </c>
      <c r="I1052" s="13" t="s">
        <v>3695</v>
      </c>
      <c r="J1052" s="14">
        <v>0</v>
      </c>
      <c r="K1052" s="14">
        <v>0</v>
      </c>
      <c r="L1052" s="10" t="s">
        <v>720</v>
      </c>
      <c r="M1052" s="14">
        <v>0</v>
      </c>
      <c r="N1052" s="15" t="e">
        <v>#DIV/0!</v>
      </c>
      <c r="O1052" t="str">
        <f>IFERROR(VLOOKUP($I1052,CHOOSE({1,2},'[1]DIRETORES NTE'!$H$5:$H$31,'[1]DIRETORES NTE'!$E$5:$E$31,),2,0),"-")</f>
        <v>-</v>
      </c>
    </row>
    <row r="1053" spans="1:15" x14ac:dyDescent="0.25">
      <c r="A1053" s="10">
        <v>1051</v>
      </c>
      <c r="B1053" s="11">
        <v>25</v>
      </c>
      <c r="C1053" s="11" t="s">
        <v>3696</v>
      </c>
      <c r="D1053" s="11">
        <v>1122020</v>
      </c>
      <c r="E1053" s="11">
        <v>29069106</v>
      </c>
      <c r="F1053" s="12" t="s">
        <v>3697</v>
      </c>
      <c r="G1053" s="11" t="s">
        <v>3698</v>
      </c>
      <c r="H1053" t="s">
        <v>3699</v>
      </c>
      <c r="I1053" s="13" t="s">
        <v>3700</v>
      </c>
      <c r="J1053" s="14">
        <v>0</v>
      </c>
      <c r="K1053" s="14">
        <v>0</v>
      </c>
      <c r="L1053" s="10" t="s">
        <v>80</v>
      </c>
      <c r="M1053" s="14">
        <v>0</v>
      </c>
      <c r="N1053" s="15" t="e">
        <v>#DIV/0!</v>
      </c>
      <c r="O1053" t="str">
        <f>IFERROR(VLOOKUP($I1053,CHOOSE({1,2},'[1]DIRETORES NTE'!$H$5:$H$31,'[1]DIRETORES NTE'!$E$5:$E$31,),2,0),"-")</f>
        <v>-</v>
      </c>
    </row>
    <row r="1054" spans="1:15" x14ac:dyDescent="0.25">
      <c r="A1054" s="10">
        <v>1052</v>
      </c>
      <c r="B1054" s="11">
        <v>26</v>
      </c>
      <c r="C1054" s="11" t="s">
        <v>95</v>
      </c>
      <c r="D1054" s="11">
        <v>1175280</v>
      </c>
      <c r="E1054" s="11">
        <v>29192307</v>
      </c>
      <c r="F1054" s="12" t="s">
        <v>3701</v>
      </c>
      <c r="G1054" s="11" t="s">
        <v>3702</v>
      </c>
      <c r="H1054" t="s">
        <v>3703</v>
      </c>
      <c r="I1054" s="13">
        <v>64820211587</v>
      </c>
      <c r="J1054" s="14">
        <v>0</v>
      </c>
      <c r="K1054" s="14">
        <v>0</v>
      </c>
      <c r="L1054" s="10" t="s">
        <v>99</v>
      </c>
      <c r="M1054" s="14">
        <v>0</v>
      </c>
      <c r="N1054" s="15" t="e">
        <v>#DIV/0!</v>
      </c>
      <c r="O1054" t="str">
        <f>IFERROR(VLOOKUP($I1054,CHOOSE({1,2},'[1]DIRETORES NTE'!$H$5:$H$31,'[1]DIRETORES NTE'!$E$5:$E$31,),2,0),"-")</f>
        <v>-</v>
      </c>
    </row>
    <row r="1055" spans="1:15" x14ac:dyDescent="0.25">
      <c r="A1055" s="10">
        <v>1053</v>
      </c>
      <c r="B1055" s="11" t="s">
        <v>237</v>
      </c>
      <c r="C1055" s="11" t="s">
        <v>237</v>
      </c>
      <c r="D1055" s="11" t="s">
        <v>237</v>
      </c>
      <c r="E1055" s="11" t="s">
        <v>237</v>
      </c>
      <c r="F1055" s="12" t="s">
        <v>237</v>
      </c>
      <c r="G1055" s="11" t="s">
        <v>237</v>
      </c>
      <c r="H1055" t="s">
        <v>3704</v>
      </c>
      <c r="I1055" s="13">
        <v>86231138534</v>
      </c>
      <c r="J1055" s="14">
        <v>0</v>
      </c>
      <c r="K1055" s="14">
        <v>0</v>
      </c>
      <c r="L1055" s="10" t="s">
        <v>167</v>
      </c>
      <c r="M1055" s="14">
        <v>0</v>
      </c>
      <c r="N1055" s="15" t="e">
        <v>#DIV/0!</v>
      </c>
      <c r="O1055" t="str">
        <f>IFERROR(VLOOKUP($I1055,CHOOSE({1,2},'[1]DIRETORES NTE'!$H$5:$H$31,'[1]DIRETORES NTE'!$E$5:$E$31,),2,0),"-")</f>
        <v>WILLIAMS PANFILE SANTOS BRANDAO (DIRETOR DE NTE)</v>
      </c>
    </row>
    <row r="1056" spans="1:15" x14ac:dyDescent="0.25">
      <c r="A1056" s="10">
        <v>1054</v>
      </c>
      <c r="B1056" s="11">
        <v>21</v>
      </c>
      <c r="C1056" s="11" t="s">
        <v>2353</v>
      </c>
      <c r="D1056" s="11">
        <v>1134568</v>
      </c>
      <c r="E1056" s="11">
        <v>29170583</v>
      </c>
      <c r="F1056" s="12" t="s">
        <v>3705</v>
      </c>
      <c r="G1056" s="11" t="s">
        <v>3706</v>
      </c>
      <c r="H1056" t="s">
        <v>3707</v>
      </c>
      <c r="I1056" s="13">
        <v>91078580510</v>
      </c>
      <c r="J1056" s="14">
        <v>0</v>
      </c>
      <c r="K1056" s="14">
        <v>0</v>
      </c>
      <c r="L1056" s="10" t="s">
        <v>63</v>
      </c>
      <c r="M1056" s="14">
        <v>0</v>
      </c>
      <c r="N1056" s="15" t="e">
        <v>#DIV/0!</v>
      </c>
      <c r="O1056" t="str">
        <f>IFERROR(VLOOKUP($I1056,CHOOSE({1,2},'[1]DIRETORES NTE'!$H$5:$H$31,'[1]DIRETORES NTE'!$E$5:$E$31,),2,0),"-")</f>
        <v>-</v>
      </c>
    </row>
    <row r="1057" spans="1:15" x14ac:dyDescent="0.25">
      <c r="A1057" s="10">
        <v>1055</v>
      </c>
      <c r="B1057" s="11">
        <v>26</v>
      </c>
      <c r="C1057" s="11" t="s">
        <v>95</v>
      </c>
      <c r="D1057" s="11">
        <v>1104103</v>
      </c>
      <c r="E1057" s="11">
        <v>29194776</v>
      </c>
      <c r="F1057" s="12" t="s">
        <v>692</v>
      </c>
      <c r="G1057" s="11" t="s">
        <v>3708</v>
      </c>
      <c r="H1057" t="s">
        <v>3709</v>
      </c>
      <c r="I1057" s="13">
        <v>45683980534</v>
      </c>
      <c r="J1057" s="14">
        <v>0</v>
      </c>
      <c r="K1057" s="14">
        <v>0</v>
      </c>
      <c r="L1057" s="10" t="s">
        <v>99</v>
      </c>
      <c r="M1057" s="14">
        <v>0</v>
      </c>
      <c r="N1057" s="15" t="e">
        <v>#DIV/0!</v>
      </c>
      <c r="O1057" t="str">
        <f>IFERROR(VLOOKUP($I1057,CHOOSE({1,2},'[1]DIRETORES NTE'!$H$5:$H$31,'[1]DIRETORES NTE'!$E$5:$E$31,),2,0),"-")</f>
        <v>-</v>
      </c>
    </row>
    <row r="1058" spans="1:15" x14ac:dyDescent="0.25">
      <c r="A1058" s="10">
        <v>1056</v>
      </c>
      <c r="B1058" s="11">
        <v>19</v>
      </c>
      <c r="C1058" s="11" t="s">
        <v>331</v>
      </c>
      <c r="D1058" s="11">
        <v>1105886</v>
      </c>
      <c r="E1058" s="11">
        <v>29093660</v>
      </c>
      <c r="F1058" s="12" t="s">
        <v>3710</v>
      </c>
      <c r="G1058" s="11" t="s">
        <v>3711</v>
      </c>
      <c r="H1058" t="s">
        <v>3712</v>
      </c>
      <c r="I1058" s="13">
        <v>18087566572</v>
      </c>
      <c r="J1058" s="14">
        <v>0</v>
      </c>
      <c r="K1058" s="14">
        <v>0</v>
      </c>
      <c r="L1058" s="10" t="s">
        <v>336</v>
      </c>
      <c r="M1058" s="14">
        <v>0</v>
      </c>
      <c r="N1058" s="15" t="e">
        <v>#DIV/0!</v>
      </c>
      <c r="O1058" t="str">
        <f>IFERROR(VLOOKUP($I1058,CHOOSE({1,2},'[1]DIRETORES NTE'!$H$5:$H$31,'[1]DIRETORES NTE'!$E$5:$E$31,),2,0),"-")</f>
        <v>-</v>
      </c>
    </row>
    <row r="1059" spans="1:15" x14ac:dyDescent="0.25">
      <c r="A1059" s="10">
        <v>1057</v>
      </c>
      <c r="B1059" s="11">
        <v>3</v>
      </c>
      <c r="C1059" s="11" t="s">
        <v>3713</v>
      </c>
      <c r="D1059" s="11">
        <v>1132565</v>
      </c>
      <c r="E1059" s="11">
        <v>29217768</v>
      </c>
      <c r="F1059" s="12" t="s">
        <v>3714</v>
      </c>
      <c r="G1059" s="11" t="s">
        <v>3715</v>
      </c>
      <c r="H1059" t="s">
        <v>3716</v>
      </c>
      <c r="I1059" s="13">
        <v>66730244534</v>
      </c>
      <c r="J1059" s="14">
        <v>0</v>
      </c>
      <c r="K1059" s="14">
        <v>0</v>
      </c>
      <c r="L1059" s="10" t="s">
        <v>117</v>
      </c>
      <c r="M1059" s="14">
        <v>0</v>
      </c>
      <c r="N1059" s="15" t="e">
        <v>#DIV/0!</v>
      </c>
      <c r="O1059" t="str">
        <f>IFERROR(VLOOKUP($I1059,CHOOSE({1,2},'[1]DIRETORES NTE'!$H$5:$H$31,'[1]DIRETORES NTE'!$E$5:$E$31,),2,0),"-")</f>
        <v>-</v>
      </c>
    </row>
    <row r="1060" spans="1:15" x14ac:dyDescent="0.25">
      <c r="A1060" s="10">
        <v>1058</v>
      </c>
      <c r="B1060" s="11" t="s">
        <v>237</v>
      </c>
      <c r="C1060" s="11" t="s">
        <v>237</v>
      </c>
      <c r="D1060" s="11" t="s">
        <v>237</v>
      </c>
      <c r="E1060" s="11" t="s">
        <v>237</v>
      </c>
      <c r="F1060" s="12" t="s">
        <v>237</v>
      </c>
      <c r="G1060" s="11" t="s">
        <v>237</v>
      </c>
      <c r="H1060" t="s">
        <v>3717</v>
      </c>
      <c r="I1060" s="13">
        <v>53512650520</v>
      </c>
      <c r="J1060" s="14">
        <v>0</v>
      </c>
      <c r="K1060" s="14">
        <v>0</v>
      </c>
      <c r="L1060" s="10" t="s">
        <v>68</v>
      </c>
      <c r="M1060" s="14">
        <v>0</v>
      </c>
      <c r="N1060" s="15" t="e">
        <v>#DIV/0!</v>
      </c>
      <c r="O1060" t="str">
        <f>IFERROR(VLOOKUP($I1060,CHOOSE({1,2},'[1]DIRETORES NTE'!$H$5:$H$31,'[1]DIRETORES NTE'!$E$5:$E$31,),2,0),"-")</f>
        <v>-</v>
      </c>
    </row>
    <row r="1061" spans="1:15" x14ac:dyDescent="0.25">
      <c r="A1061" s="10">
        <v>1059</v>
      </c>
      <c r="B1061" s="11">
        <v>21</v>
      </c>
      <c r="C1061" s="11" t="s">
        <v>157</v>
      </c>
      <c r="D1061" s="11">
        <v>1176464</v>
      </c>
      <c r="E1061" s="11">
        <v>29391466</v>
      </c>
      <c r="F1061" s="12" t="s">
        <v>3718</v>
      </c>
      <c r="G1061" s="11" t="s">
        <v>3719</v>
      </c>
      <c r="H1061" t="s">
        <v>3720</v>
      </c>
      <c r="I1061" s="13">
        <v>95405305553</v>
      </c>
      <c r="J1061" s="14">
        <v>0</v>
      </c>
      <c r="K1061" s="14">
        <v>0</v>
      </c>
      <c r="L1061" s="10" t="s">
        <v>63</v>
      </c>
      <c r="M1061" s="14">
        <v>0</v>
      </c>
      <c r="N1061" s="15" t="e">
        <v>#DIV/0!</v>
      </c>
      <c r="O1061" t="str">
        <f>IFERROR(VLOOKUP($I1061,CHOOSE({1,2},'[1]DIRETORES NTE'!$H$5:$H$31,'[1]DIRETORES NTE'!$E$5:$E$31,),2,0),"-")</f>
        <v>-</v>
      </c>
    </row>
    <row r="1062" spans="1:15" x14ac:dyDescent="0.25">
      <c r="A1062" s="10">
        <v>1060</v>
      </c>
      <c r="B1062" s="11">
        <v>12</v>
      </c>
      <c r="C1062" s="11" t="s">
        <v>3721</v>
      </c>
      <c r="D1062" s="11">
        <v>1167709</v>
      </c>
      <c r="E1062" s="11">
        <v>29205387</v>
      </c>
      <c r="F1062" s="12" t="s">
        <v>597</v>
      </c>
      <c r="G1062" s="11" t="s">
        <v>3722</v>
      </c>
      <c r="H1062" t="s">
        <v>3723</v>
      </c>
      <c r="I1062" s="13">
        <v>31924689553</v>
      </c>
      <c r="J1062" s="14">
        <v>0</v>
      </c>
      <c r="K1062" s="14">
        <v>0</v>
      </c>
      <c r="L1062" s="10" t="s">
        <v>90</v>
      </c>
      <c r="M1062" s="14">
        <v>0</v>
      </c>
      <c r="N1062" s="15" t="e">
        <v>#DIV/0!</v>
      </c>
      <c r="O1062" t="str">
        <f>IFERROR(VLOOKUP($I1062,CHOOSE({1,2},'[1]DIRETORES NTE'!$H$5:$H$31,'[1]DIRETORES NTE'!$E$5:$E$31,),2,0),"-")</f>
        <v>-</v>
      </c>
    </row>
    <row r="1063" spans="1:15" x14ac:dyDescent="0.25">
      <c r="A1063" s="10">
        <v>1061</v>
      </c>
      <c r="B1063" s="11" t="s">
        <v>237</v>
      </c>
      <c r="C1063" s="11" t="s">
        <v>237</v>
      </c>
      <c r="D1063" s="11" t="s">
        <v>237</v>
      </c>
      <c r="E1063" s="11" t="s">
        <v>237</v>
      </c>
      <c r="F1063" s="12" t="s">
        <v>237</v>
      </c>
      <c r="G1063" s="11" t="s">
        <v>237</v>
      </c>
      <c r="H1063" t="s">
        <v>3717</v>
      </c>
      <c r="I1063" s="13">
        <v>53512650520</v>
      </c>
      <c r="J1063" s="14">
        <v>0</v>
      </c>
      <c r="K1063" s="14">
        <v>0</v>
      </c>
      <c r="L1063" s="10" t="s">
        <v>68</v>
      </c>
      <c r="M1063" s="14">
        <v>0</v>
      </c>
      <c r="N1063" s="15" t="e">
        <v>#DIV/0!</v>
      </c>
      <c r="O1063" t="str">
        <f>IFERROR(VLOOKUP($I1063,CHOOSE({1,2},'[1]DIRETORES NTE'!$H$5:$H$31,'[1]DIRETORES NTE'!$E$5:$E$31,),2,0),"-")</f>
        <v>-</v>
      </c>
    </row>
    <row r="1064" spans="1:15" x14ac:dyDescent="0.25">
      <c r="A1064" s="10">
        <v>1062</v>
      </c>
      <c r="B1064" s="11">
        <v>21</v>
      </c>
      <c r="C1064" s="11" t="s">
        <v>157</v>
      </c>
      <c r="D1064" s="11">
        <v>1176464</v>
      </c>
      <c r="E1064" s="11">
        <v>29391466</v>
      </c>
      <c r="F1064" s="12" t="s">
        <v>3718</v>
      </c>
      <c r="G1064" s="11" t="s">
        <v>3719</v>
      </c>
      <c r="H1064" t="s">
        <v>3720</v>
      </c>
      <c r="I1064" s="13">
        <v>95405305553</v>
      </c>
      <c r="J1064" s="14">
        <v>0</v>
      </c>
      <c r="K1064" s="14">
        <v>0</v>
      </c>
      <c r="L1064" s="10" t="s">
        <v>63</v>
      </c>
      <c r="M1064" s="14">
        <v>0</v>
      </c>
      <c r="N1064" s="15" t="e">
        <v>#DIV/0!</v>
      </c>
      <c r="O1064" t="str">
        <f>IFERROR(VLOOKUP($I1064,CHOOSE({1,2},'[1]DIRETORES NTE'!$H$5:$H$31,'[1]DIRETORES NTE'!$E$5:$E$31,),2,0),"-")</f>
        <v>-</v>
      </c>
    </row>
    <row r="1065" spans="1:15" x14ac:dyDescent="0.25">
      <c r="A1065" s="10">
        <v>1063</v>
      </c>
      <c r="B1065" s="11">
        <v>12</v>
      </c>
      <c r="C1065" s="11" t="s">
        <v>3721</v>
      </c>
      <c r="D1065" s="11">
        <v>1167709</v>
      </c>
      <c r="E1065" s="11">
        <v>29205387</v>
      </c>
      <c r="F1065" s="12" t="s">
        <v>597</v>
      </c>
      <c r="G1065" s="11" t="s">
        <v>3722</v>
      </c>
      <c r="H1065" t="s">
        <v>3723</v>
      </c>
      <c r="I1065" s="13">
        <v>31924689553</v>
      </c>
      <c r="J1065" s="14">
        <v>0</v>
      </c>
      <c r="K1065" s="14">
        <v>0</v>
      </c>
      <c r="L1065" s="10" t="s">
        <v>90</v>
      </c>
      <c r="M1065" s="14">
        <v>0</v>
      </c>
      <c r="N1065" s="15" t="e">
        <v>#DIV/0!</v>
      </c>
      <c r="O1065" t="str">
        <f>IFERROR(VLOOKUP($I1065,CHOOSE({1,2},'[1]DIRETORES NTE'!$H$5:$H$31,'[1]DIRETORES NTE'!$E$5:$E$31,),2,0),"-")</f>
        <v>-</v>
      </c>
    </row>
    <row r="1066" spans="1:15" x14ac:dyDescent="0.25">
      <c r="I1066" s="13"/>
      <c r="M1066" s="14"/>
      <c r="O1066" t="str">
        <f>IFERROR(VLOOKUP($I1066,CHOOSE({1,2},'[1]DIRETORES NTE'!$H$5:$H$31,'[1]DIRETORES NTE'!$E$5:$E$31,),2,0),"-")</f>
        <v>-</v>
      </c>
    </row>
    <row r="1067" spans="1:15" x14ac:dyDescent="0.25">
      <c r="I1067" s="13"/>
      <c r="M1067" s="14"/>
      <c r="O1067" t="str">
        <f>IFERROR(VLOOKUP($I1067,CHOOSE({1,2},'[1]DIRETORES NTE'!$H$5:$H$31,'[1]DIRETORES NTE'!$E$5:$E$31,),2,0),"-")</f>
        <v>-</v>
      </c>
    </row>
    <row r="1068" spans="1:15" x14ac:dyDescent="0.25">
      <c r="I1068" s="13"/>
      <c r="M1068" s="14"/>
      <c r="O1068" t="str">
        <f>IFERROR(VLOOKUP($I1068,CHOOSE({1,2},'[1]DIRETORES NTE'!$H$5:$H$31,'[1]DIRETORES NTE'!$E$5:$E$31,),2,0),"-")</f>
        <v>-</v>
      </c>
    </row>
    <row r="1069" spans="1:15" x14ac:dyDescent="0.25">
      <c r="I1069" s="13"/>
      <c r="M1069" s="14"/>
      <c r="O1069" t="str">
        <f>IFERROR(VLOOKUP($I1069,CHOOSE({1,2},'[1]DIRETORES NTE'!$H$5:$H$31,'[1]DIRETORES NTE'!$E$5:$E$31,),2,0),"-")</f>
        <v>-</v>
      </c>
    </row>
    <row r="1070" spans="1:15" x14ac:dyDescent="0.25">
      <c r="I1070" s="13"/>
      <c r="M1070" s="14"/>
      <c r="O1070" t="str">
        <f>IFERROR(VLOOKUP($I1070,CHOOSE({1,2},'[1]DIRETORES NTE'!$H$5:$H$31,'[1]DIRETORES NTE'!$E$5:$E$31,),2,0),"-")</f>
        <v>-</v>
      </c>
    </row>
    <row r="1071" spans="1:15" x14ac:dyDescent="0.25">
      <c r="I1071" s="13"/>
      <c r="M1071" s="14"/>
      <c r="O1071" t="str">
        <f>IFERROR(VLOOKUP($I1071,CHOOSE({1,2},'[1]DIRETORES NTE'!$H$5:$H$31,'[1]DIRETORES NTE'!$E$5:$E$31,),2,0),"-")</f>
        <v>-</v>
      </c>
    </row>
    <row r="1072" spans="1:15" x14ac:dyDescent="0.25">
      <c r="I1072" s="13"/>
      <c r="M1072" s="14"/>
      <c r="O1072" t="str">
        <f>IFERROR(VLOOKUP($I1072,CHOOSE({1,2},'[1]DIRETORES NTE'!$H$5:$H$31,'[1]DIRETORES NTE'!$E$5:$E$31,),2,0),"-")</f>
        <v>-</v>
      </c>
    </row>
    <row r="1073" spans="9:15" x14ac:dyDescent="0.25">
      <c r="I1073" s="13"/>
      <c r="M1073" s="14"/>
      <c r="O1073" t="str">
        <f>IFERROR(VLOOKUP($I1073,CHOOSE({1,2},'[1]DIRETORES NTE'!$H$5:$H$31,'[1]DIRETORES NTE'!$E$5:$E$31,),2,0),"-")</f>
        <v>-</v>
      </c>
    </row>
    <row r="1074" spans="9:15" x14ac:dyDescent="0.25">
      <c r="I1074" s="13"/>
      <c r="M1074" s="14"/>
      <c r="O1074" t="str">
        <f>IFERROR(VLOOKUP($I1074,CHOOSE({1,2},'[1]DIRETORES NTE'!$H$5:$H$31,'[1]DIRETORES NTE'!$E$5:$E$31,),2,0),"-")</f>
        <v>-</v>
      </c>
    </row>
    <row r="1075" spans="9:15" x14ac:dyDescent="0.25">
      <c r="I1075" s="13"/>
      <c r="M1075" s="14"/>
      <c r="O1075" t="str">
        <f>IFERROR(VLOOKUP($I1075,CHOOSE({1,2},'[1]DIRETORES NTE'!$H$5:$H$31,'[1]DIRETORES NTE'!$E$5:$E$31,),2,0),"-")</f>
        <v>-</v>
      </c>
    </row>
    <row r="1076" spans="9:15" x14ac:dyDescent="0.25">
      <c r="I1076" s="13"/>
      <c r="M1076" s="14"/>
      <c r="O1076" t="str">
        <f>IFERROR(VLOOKUP($I1076,CHOOSE({1,2},'[1]DIRETORES NTE'!$H$5:$H$31,'[1]DIRETORES NTE'!$E$5:$E$31,),2,0),"-")</f>
        <v>-</v>
      </c>
    </row>
    <row r="1077" spans="9:15" x14ac:dyDescent="0.25">
      <c r="I1077" s="13"/>
      <c r="M1077" s="14"/>
      <c r="O1077" t="str">
        <f>IFERROR(VLOOKUP($I1077,CHOOSE({1,2},'[1]DIRETORES NTE'!$H$5:$H$31,'[1]DIRETORES NTE'!$E$5:$E$31,),2,0),"-")</f>
        <v>-</v>
      </c>
    </row>
    <row r="1078" spans="9:15" x14ac:dyDescent="0.25">
      <c r="I1078" s="13"/>
      <c r="M1078" s="14"/>
      <c r="O1078" t="str">
        <f>IFERROR(VLOOKUP($I1078,CHOOSE({1,2},'[1]DIRETORES NTE'!$H$5:$H$31,'[1]DIRETORES NTE'!$E$5:$E$31,),2,0),"-")</f>
        <v>-</v>
      </c>
    </row>
    <row r="1079" spans="9:15" x14ac:dyDescent="0.25">
      <c r="I1079" s="13"/>
      <c r="M1079" s="14"/>
      <c r="O1079" t="str">
        <f>IFERROR(VLOOKUP($I1079,CHOOSE({1,2},'[1]DIRETORES NTE'!$H$5:$H$31,'[1]DIRETORES NTE'!$E$5:$E$31,),2,0),"-")</f>
        <v>-</v>
      </c>
    </row>
    <row r="1080" spans="9:15" x14ac:dyDescent="0.25">
      <c r="I1080" s="13"/>
      <c r="M1080" s="14"/>
      <c r="O1080" t="str">
        <f>IFERROR(VLOOKUP($I1080,CHOOSE({1,2},'[1]DIRETORES NTE'!$H$5:$H$31,'[1]DIRETORES NTE'!$E$5:$E$31,),2,0),"-")</f>
        <v>-</v>
      </c>
    </row>
    <row r="1081" spans="9:15" x14ac:dyDescent="0.25">
      <c r="I1081" s="13"/>
      <c r="M1081" s="14"/>
      <c r="O1081" t="str">
        <f>IFERROR(VLOOKUP($I1081,CHOOSE({1,2},'[1]DIRETORES NTE'!$H$5:$H$31,'[1]DIRETORES NTE'!$E$5:$E$31,),2,0),"-")</f>
        <v>-</v>
      </c>
    </row>
    <row r="1082" spans="9:15" x14ac:dyDescent="0.25">
      <c r="I1082" s="13"/>
      <c r="M1082" s="14"/>
      <c r="O1082" t="str">
        <f>IFERROR(VLOOKUP($I1082,CHOOSE({1,2},'[1]DIRETORES NTE'!$H$5:$H$31,'[1]DIRETORES NTE'!$E$5:$E$31,),2,0),"-")</f>
        <v>-</v>
      </c>
    </row>
    <row r="1083" spans="9:15" x14ac:dyDescent="0.25">
      <c r="I1083" s="13"/>
      <c r="M1083" s="14"/>
      <c r="O1083" t="str">
        <f>IFERROR(VLOOKUP($I1083,CHOOSE({1,2},'[1]DIRETORES NTE'!$H$5:$H$31,'[1]DIRETORES NTE'!$E$5:$E$31,),2,0),"-")</f>
        <v>-</v>
      </c>
    </row>
    <row r="1084" spans="9:15" x14ac:dyDescent="0.25">
      <c r="I1084" s="13"/>
      <c r="M1084" s="14"/>
      <c r="O1084" t="str">
        <f>IFERROR(VLOOKUP($I1084,CHOOSE({1,2},'[1]DIRETORES NTE'!$H$5:$H$31,'[1]DIRETORES NTE'!$E$5:$E$31,),2,0),"-")</f>
        <v>-</v>
      </c>
    </row>
    <row r="1085" spans="9:15" x14ac:dyDescent="0.25">
      <c r="I1085" s="13"/>
      <c r="M1085" s="14"/>
      <c r="O1085" t="str">
        <f>IFERROR(VLOOKUP($I1085,CHOOSE({1,2},'[1]DIRETORES NTE'!$H$5:$H$31,'[1]DIRETORES NTE'!$E$5:$E$31,),2,0),"-")</f>
        <v>-</v>
      </c>
    </row>
    <row r="1086" spans="9:15" x14ac:dyDescent="0.25">
      <c r="I1086" s="13"/>
      <c r="M1086" s="14"/>
      <c r="O1086" t="str">
        <f>IFERROR(VLOOKUP($I1086,CHOOSE({1,2},'[1]DIRETORES NTE'!$H$5:$H$31,'[1]DIRETORES NTE'!$E$5:$E$31,),2,0),"-")</f>
        <v>-</v>
      </c>
    </row>
    <row r="1087" spans="9:15" x14ac:dyDescent="0.25">
      <c r="I1087" s="13"/>
      <c r="M1087" s="14"/>
      <c r="O1087" t="str">
        <f>IFERROR(VLOOKUP($I1087,CHOOSE({1,2},'[1]DIRETORES NTE'!$H$5:$H$31,'[1]DIRETORES NTE'!$E$5:$E$31,),2,0),"-")</f>
        <v>-</v>
      </c>
    </row>
    <row r="1088" spans="9:15" x14ac:dyDescent="0.25">
      <c r="I1088" s="13"/>
      <c r="M1088" s="14"/>
      <c r="O1088" t="str">
        <f>IFERROR(VLOOKUP($I1088,CHOOSE({1,2},'[1]DIRETORES NTE'!$H$5:$H$31,'[1]DIRETORES NTE'!$E$5:$E$31,),2,0),"-")</f>
        <v>-</v>
      </c>
    </row>
    <row r="1089" spans="9:15" x14ac:dyDescent="0.25">
      <c r="I1089" s="13"/>
      <c r="M1089" s="14"/>
      <c r="O1089" t="str">
        <f>IFERROR(VLOOKUP($I1089,CHOOSE({1,2},'[1]DIRETORES NTE'!$H$5:$H$31,'[1]DIRETORES NTE'!$E$5:$E$31,),2,0),"-")</f>
        <v>-</v>
      </c>
    </row>
    <row r="1090" spans="9:15" x14ac:dyDescent="0.25">
      <c r="I1090" s="13"/>
      <c r="M1090" s="14"/>
      <c r="O1090" t="str">
        <f>IFERROR(VLOOKUP($I1090,CHOOSE({1,2},'[1]DIRETORES NTE'!$H$5:$H$31,'[1]DIRETORES NTE'!$E$5:$E$31,),2,0),"-")</f>
        <v>-</v>
      </c>
    </row>
    <row r="1091" spans="9:15" x14ac:dyDescent="0.25">
      <c r="I1091" s="13"/>
      <c r="M1091" s="14"/>
      <c r="O1091" t="str">
        <f>IFERROR(VLOOKUP($I1091,CHOOSE({1,2},'[1]DIRETORES NTE'!$H$5:$H$31,'[1]DIRETORES NTE'!$E$5:$E$31,),2,0),"-")</f>
        <v>-</v>
      </c>
    </row>
    <row r="1092" spans="9:15" x14ac:dyDescent="0.25">
      <c r="I1092" s="13"/>
      <c r="M1092" s="14"/>
      <c r="O1092" t="str">
        <f>IFERROR(VLOOKUP($I1092,CHOOSE({1,2},'[1]DIRETORES NTE'!$H$5:$H$31,'[1]DIRETORES NTE'!$E$5:$E$31,),2,0),"-")</f>
        <v>-</v>
      </c>
    </row>
    <row r="1093" spans="9:15" x14ac:dyDescent="0.25">
      <c r="I1093" s="13"/>
      <c r="M1093" s="14"/>
      <c r="O1093" t="str">
        <f>IFERROR(VLOOKUP($I1093,CHOOSE({1,2},'[1]DIRETORES NTE'!$H$5:$H$31,'[1]DIRETORES NTE'!$E$5:$E$31,),2,0),"-")</f>
        <v>-</v>
      </c>
    </row>
    <row r="1094" spans="9:15" x14ac:dyDescent="0.25">
      <c r="I1094" s="13"/>
      <c r="M1094" s="14"/>
      <c r="O1094" t="str">
        <f>IFERROR(VLOOKUP($I1094,CHOOSE({1,2},'[1]DIRETORES NTE'!$H$5:$H$31,'[1]DIRETORES NTE'!$E$5:$E$31,),2,0),"-")</f>
        <v>-</v>
      </c>
    </row>
    <row r="1095" spans="9:15" x14ac:dyDescent="0.25">
      <c r="I1095" s="13"/>
      <c r="M1095" s="14"/>
      <c r="O1095" t="str">
        <f>IFERROR(VLOOKUP($I1095,CHOOSE({1,2},'[1]DIRETORES NTE'!$H$5:$H$31,'[1]DIRETORES NTE'!$E$5:$E$31,),2,0),"-")</f>
        <v>-</v>
      </c>
    </row>
    <row r="1096" spans="9:15" x14ac:dyDescent="0.25">
      <c r="I1096" s="13"/>
      <c r="M1096" s="14"/>
      <c r="O1096" t="str">
        <f>IFERROR(VLOOKUP($I1096,CHOOSE({1,2},'[1]DIRETORES NTE'!$H$5:$H$31,'[1]DIRETORES NTE'!$E$5:$E$31,),2,0),"-")</f>
        <v>-</v>
      </c>
    </row>
    <row r="1097" spans="9:15" x14ac:dyDescent="0.25">
      <c r="I1097" s="13"/>
      <c r="M1097" s="14"/>
      <c r="O1097" t="str">
        <f>IFERROR(VLOOKUP($I1097,CHOOSE({1,2},'[1]DIRETORES NTE'!$H$5:$H$31,'[1]DIRETORES NTE'!$E$5:$E$31,),2,0),"-")</f>
        <v>-</v>
      </c>
    </row>
    <row r="1098" spans="9:15" x14ac:dyDescent="0.25">
      <c r="I1098" s="13"/>
      <c r="M1098" s="14"/>
      <c r="O1098" t="str">
        <f>IFERROR(VLOOKUP($I1098,CHOOSE({1,2},'[1]DIRETORES NTE'!$H$5:$H$31,'[1]DIRETORES NTE'!$E$5:$E$31,),2,0),"-")</f>
        <v>-</v>
      </c>
    </row>
    <row r="1099" spans="9:15" x14ac:dyDescent="0.25">
      <c r="I1099" s="13"/>
      <c r="M1099" s="14"/>
      <c r="O1099" t="str">
        <f>IFERROR(VLOOKUP($I1099,CHOOSE({1,2},'[1]DIRETORES NTE'!$H$5:$H$31,'[1]DIRETORES NTE'!$E$5:$E$31,),2,0),"-")</f>
        <v>-</v>
      </c>
    </row>
    <row r="1100" spans="9:15" x14ac:dyDescent="0.25">
      <c r="I1100" s="13"/>
      <c r="M1100" s="14"/>
      <c r="O1100" t="str">
        <f>IFERROR(VLOOKUP($I1100,CHOOSE({1,2},'[1]DIRETORES NTE'!$H$5:$H$31,'[1]DIRETORES NTE'!$E$5:$E$31,),2,0),"-")</f>
        <v>-</v>
      </c>
    </row>
    <row r="1101" spans="9:15" x14ac:dyDescent="0.25">
      <c r="I1101" s="13"/>
      <c r="M1101" s="14"/>
      <c r="O1101" t="str">
        <f>IFERROR(VLOOKUP($I1101,CHOOSE({1,2},'[1]DIRETORES NTE'!$H$5:$H$31,'[1]DIRETORES NTE'!$E$5:$E$31,),2,0),"-")</f>
        <v>-</v>
      </c>
    </row>
    <row r="1102" spans="9:15" x14ac:dyDescent="0.25">
      <c r="I1102" s="13"/>
      <c r="M1102" s="14"/>
      <c r="O1102" t="str">
        <f>IFERROR(VLOOKUP($I1102,CHOOSE({1,2},'[1]DIRETORES NTE'!$H$5:$H$31,'[1]DIRETORES NTE'!$E$5:$E$31,),2,0),"-")</f>
        <v>-</v>
      </c>
    </row>
    <row r="1103" spans="9:15" x14ac:dyDescent="0.25">
      <c r="I1103" s="13"/>
      <c r="M1103" s="14"/>
      <c r="O1103" t="str">
        <f>IFERROR(VLOOKUP($I1103,CHOOSE({1,2},'[1]DIRETORES NTE'!$H$5:$H$31,'[1]DIRETORES NTE'!$E$5:$E$31,),2,0),"-")</f>
        <v>-</v>
      </c>
    </row>
    <row r="1104" spans="9:15" x14ac:dyDescent="0.25">
      <c r="I1104" s="13"/>
      <c r="M1104" s="14"/>
      <c r="O1104" t="str">
        <f>IFERROR(VLOOKUP($I1104,CHOOSE({1,2},'[1]DIRETORES NTE'!$H$5:$H$31,'[1]DIRETORES NTE'!$E$5:$E$31,),2,0),"-")</f>
        <v>-</v>
      </c>
    </row>
    <row r="1105" spans="9:15" x14ac:dyDescent="0.25">
      <c r="I1105" s="13"/>
      <c r="M1105" s="14"/>
      <c r="O1105" t="str">
        <f>IFERROR(VLOOKUP($I1105,CHOOSE({1,2},'[1]DIRETORES NTE'!$H$5:$H$31,'[1]DIRETORES NTE'!$E$5:$E$31,),2,0),"-")</f>
        <v>-</v>
      </c>
    </row>
    <row r="1106" spans="9:15" x14ac:dyDescent="0.25">
      <c r="I1106" s="13"/>
      <c r="M1106" s="14"/>
      <c r="O1106" t="str">
        <f>IFERROR(VLOOKUP($I1106,CHOOSE({1,2},'[1]DIRETORES NTE'!$H$5:$H$31,'[1]DIRETORES NTE'!$E$5:$E$31,),2,0),"-")</f>
        <v>-</v>
      </c>
    </row>
    <row r="1107" spans="9:15" x14ac:dyDescent="0.25">
      <c r="I1107" s="13"/>
      <c r="M1107" s="14"/>
      <c r="O1107" t="str">
        <f>IFERROR(VLOOKUP($I1107,CHOOSE({1,2},'[1]DIRETORES NTE'!$H$5:$H$31,'[1]DIRETORES NTE'!$E$5:$E$31,),2,0),"-")</f>
        <v>-</v>
      </c>
    </row>
    <row r="1108" spans="9:15" x14ac:dyDescent="0.25">
      <c r="I1108" s="13"/>
      <c r="M1108" s="14"/>
      <c r="O1108" t="str">
        <f>IFERROR(VLOOKUP($I1108,CHOOSE({1,2},'[1]DIRETORES NTE'!$H$5:$H$31,'[1]DIRETORES NTE'!$E$5:$E$31,),2,0),"-")</f>
        <v>-</v>
      </c>
    </row>
    <row r="1109" spans="9:15" x14ac:dyDescent="0.25">
      <c r="I1109" s="13"/>
      <c r="M1109" s="14"/>
      <c r="O1109" t="str">
        <f>IFERROR(VLOOKUP($I1109,CHOOSE({1,2},'[1]DIRETORES NTE'!$H$5:$H$31,'[1]DIRETORES NTE'!$E$5:$E$31,),2,0),"-")</f>
        <v>-</v>
      </c>
    </row>
    <row r="1110" spans="9:15" x14ac:dyDescent="0.25">
      <c r="I1110" s="13"/>
      <c r="M1110" s="14"/>
      <c r="O1110" t="str">
        <f>IFERROR(VLOOKUP($I1110,CHOOSE({1,2},'[1]DIRETORES NTE'!$H$5:$H$31,'[1]DIRETORES NTE'!$E$5:$E$31,),2,0),"-")</f>
        <v>-</v>
      </c>
    </row>
    <row r="1111" spans="9:15" x14ac:dyDescent="0.25">
      <c r="I1111" s="13"/>
      <c r="M1111" s="14"/>
      <c r="O1111" t="str">
        <f>IFERROR(VLOOKUP($I1111,CHOOSE({1,2},'[1]DIRETORES NTE'!$H$5:$H$31,'[1]DIRETORES NTE'!$E$5:$E$31,),2,0),"-")</f>
        <v>-</v>
      </c>
    </row>
    <row r="1112" spans="9:15" x14ac:dyDescent="0.25">
      <c r="I1112" s="13"/>
      <c r="M1112" s="14"/>
      <c r="O1112" t="str">
        <f>IFERROR(VLOOKUP($I1112,CHOOSE({1,2},'[1]DIRETORES NTE'!$H$5:$H$31,'[1]DIRETORES NTE'!$E$5:$E$31,),2,0),"-")</f>
        <v>-</v>
      </c>
    </row>
    <row r="1113" spans="9:15" x14ac:dyDescent="0.25">
      <c r="I1113" s="13"/>
      <c r="M1113" s="14"/>
      <c r="O1113" t="str">
        <f>IFERROR(VLOOKUP($I1113,CHOOSE({1,2},'[1]DIRETORES NTE'!$H$5:$H$31,'[1]DIRETORES NTE'!$E$5:$E$31,),2,0),"-")</f>
        <v>-</v>
      </c>
    </row>
    <row r="1114" spans="9:15" x14ac:dyDescent="0.25">
      <c r="I1114" s="13"/>
      <c r="M1114" s="14"/>
      <c r="O1114" t="str">
        <f>IFERROR(VLOOKUP($I1114,CHOOSE({1,2},'[1]DIRETORES NTE'!$H$5:$H$31,'[1]DIRETORES NTE'!$E$5:$E$31,),2,0),"-")</f>
        <v>-</v>
      </c>
    </row>
    <row r="1115" spans="9:15" x14ac:dyDescent="0.25">
      <c r="I1115" s="13"/>
      <c r="M1115" s="14"/>
      <c r="O1115" t="str">
        <f>IFERROR(VLOOKUP($I1115,CHOOSE({1,2},'[1]DIRETORES NTE'!$H$5:$H$31,'[1]DIRETORES NTE'!$E$5:$E$31,),2,0),"-")</f>
        <v>-</v>
      </c>
    </row>
    <row r="1116" spans="9:15" x14ac:dyDescent="0.25">
      <c r="I1116" s="13"/>
      <c r="M1116" s="14"/>
      <c r="O1116" t="str">
        <f>IFERROR(VLOOKUP($I1116,CHOOSE({1,2},'[1]DIRETORES NTE'!$H$5:$H$31,'[1]DIRETORES NTE'!$E$5:$E$31,),2,0),"-")</f>
        <v>-</v>
      </c>
    </row>
    <row r="1117" spans="9:15" x14ac:dyDescent="0.25">
      <c r="I1117" s="13"/>
      <c r="M1117" s="14"/>
      <c r="O1117" t="str">
        <f>IFERROR(VLOOKUP($I1117,CHOOSE({1,2},'[1]DIRETORES NTE'!$H$5:$H$31,'[1]DIRETORES NTE'!$E$5:$E$31,),2,0),"-")</f>
        <v>-</v>
      </c>
    </row>
    <row r="1118" spans="9:15" x14ac:dyDescent="0.25">
      <c r="I1118" s="13"/>
      <c r="M1118" s="14"/>
      <c r="O1118" t="str">
        <f>IFERROR(VLOOKUP($I1118,CHOOSE({1,2},'[1]DIRETORES NTE'!$H$5:$H$31,'[1]DIRETORES NTE'!$E$5:$E$31,),2,0),"-")</f>
        <v>-</v>
      </c>
    </row>
    <row r="1119" spans="9:15" x14ac:dyDescent="0.25">
      <c r="I1119" s="13"/>
      <c r="M1119" s="14"/>
      <c r="O1119" t="str">
        <f>IFERROR(VLOOKUP($I1119,CHOOSE({1,2},'[1]DIRETORES NTE'!$H$5:$H$31,'[1]DIRETORES NTE'!$E$5:$E$31,),2,0),"-")</f>
        <v>-</v>
      </c>
    </row>
    <row r="1120" spans="9:15" x14ac:dyDescent="0.25">
      <c r="I1120" s="13"/>
      <c r="M1120" s="14"/>
      <c r="O1120" t="str">
        <f>IFERROR(VLOOKUP($I1120,CHOOSE({1,2},'[1]DIRETORES NTE'!$H$5:$H$31,'[1]DIRETORES NTE'!$E$5:$E$31,),2,0),"-")</f>
        <v>-</v>
      </c>
    </row>
    <row r="1121" spans="9:15" x14ac:dyDescent="0.25">
      <c r="I1121" s="13"/>
      <c r="M1121" s="14"/>
      <c r="O1121" t="str">
        <f>IFERROR(VLOOKUP($I1121,CHOOSE({1,2},'[1]DIRETORES NTE'!$H$5:$H$31,'[1]DIRETORES NTE'!$E$5:$E$31,),2,0),"-")</f>
        <v>-</v>
      </c>
    </row>
    <row r="1122" spans="9:15" x14ac:dyDescent="0.25">
      <c r="I1122" s="13"/>
      <c r="M1122" s="14"/>
      <c r="O1122" t="str">
        <f>IFERROR(VLOOKUP($I1122,CHOOSE({1,2},'[1]DIRETORES NTE'!$H$5:$H$31,'[1]DIRETORES NTE'!$E$5:$E$31,),2,0),"-")</f>
        <v>-</v>
      </c>
    </row>
    <row r="1123" spans="9:15" x14ac:dyDescent="0.25">
      <c r="I1123" s="13"/>
      <c r="M1123" s="14"/>
      <c r="O1123" t="str">
        <f>IFERROR(VLOOKUP($I1123,CHOOSE({1,2},'[1]DIRETORES NTE'!$H$5:$H$31,'[1]DIRETORES NTE'!$E$5:$E$31,),2,0),"-")</f>
        <v>-</v>
      </c>
    </row>
    <row r="1124" spans="9:15" x14ac:dyDescent="0.25">
      <c r="I1124" s="13"/>
      <c r="M1124" s="14"/>
      <c r="O1124" t="str">
        <f>IFERROR(VLOOKUP($I1124,CHOOSE({1,2},'[1]DIRETORES NTE'!$H$5:$H$31,'[1]DIRETORES NTE'!$E$5:$E$31,),2,0),"-")</f>
        <v>-</v>
      </c>
    </row>
    <row r="1125" spans="9:15" x14ac:dyDescent="0.25">
      <c r="I1125" s="13"/>
      <c r="M1125" s="14"/>
      <c r="O1125" t="str">
        <f>IFERROR(VLOOKUP($I1125,CHOOSE({1,2},'[1]DIRETORES NTE'!$H$5:$H$31,'[1]DIRETORES NTE'!$E$5:$E$31,),2,0),"-")</f>
        <v>-</v>
      </c>
    </row>
    <row r="1126" spans="9:15" x14ac:dyDescent="0.25">
      <c r="I1126" s="13"/>
      <c r="M1126" s="14"/>
      <c r="O1126" t="str">
        <f>IFERROR(VLOOKUP($I1126,CHOOSE({1,2},'[1]DIRETORES NTE'!$H$5:$H$31,'[1]DIRETORES NTE'!$E$5:$E$31,),2,0),"-")</f>
        <v>-</v>
      </c>
    </row>
    <row r="1127" spans="9:15" x14ac:dyDescent="0.25">
      <c r="I1127" s="13"/>
      <c r="M1127" s="14"/>
      <c r="O1127" t="str">
        <f>IFERROR(VLOOKUP($I1127,CHOOSE({1,2},'[1]DIRETORES NTE'!$H$5:$H$31,'[1]DIRETORES NTE'!$E$5:$E$31,),2,0),"-")</f>
        <v>-</v>
      </c>
    </row>
    <row r="1128" spans="9:15" x14ac:dyDescent="0.25">
      <c r="I1128" s="13"/>
      <c r="M1128" s="14"/>
      <c r="O1128" t="str">
        <f>IFERROR(VLOOKUP($I1128,CHOOSE({1,2},'[1]DIRETORES NTE'!$H$5:$H$31,'[1]DIRETORES NTE'!$E$5:$E$31,),2,0),"-")</f>
        <v>-</v>
      </c>
    </row>
    <row r="1129" spans="9:15" x14ac:dyDescent="0.25">
      <c r="I1129" s="13"/>
      <c r="M1129" s="14"/>
      <c r="O1129" t="str">
        <f>IFERROR(VLOOKUP($I1129,CHOOSE({1,2},'[1]DIRETORES NTE'!$H$5:$H$31,'[1]DIRETORES NTE'!$E$5:$E$31,),2,0),"-")</f>
        <v>-</v>
      </c>
    </row>
    <row r="1130" spans="9:15" x14ac:dyDescent="0.25">
      <c r="I1130" s="13"/>
      <c r="M1130" s="14"/>
      <c r="O1130" t="str">
        <f>IFERROR(VLOOKUP($I1130,CHOOSE({1,2},'[1]DIRETORES NTE'!$H$5:$H$31,'[1]DIRETORES NTE'!$E$5:$E$31,),2,0),"-")</f>
        <v>-</v>
      </c>
    </row>
    <row r="1131" spans="9:15" x14ac:dyDescent="0.25">
      <c r="I1131" s="13"/>
      <c r="M1131" s="14"/>
      <c r="O1131" t="str">
        <f>IFERROR(VLOOKUP($I1131,CHOOSE({1,2},'[1]DIRETORES NTE'!$H$5:$H$31,'[1]DIRETORES NTE'!$E$5:$E$31,),2,0),"-")</f>
        <v>-</v>
      </c>
    </row>
    <row r="1132" spans="9:15" x14ac:dyDescent="0.25">
      <c r="I1132" s="13"/>
      <c r="M1132" s="14"/>
      <c r="O1132" t="str">
        <f>IFERROR(VLOOKUP($I1132,CHOOSE({1,2},'[1]DIRETORES NTE'!$H$5:$H$31,'[1]DIRETORES NTE'!$E$5:$E$31,),2,0),"-")</f>
        <v>-</v>
      </c>
    </row>
    <row r="1133" spans="9:15" x14ac:dyDescent="0.25">
      <c r="I1133" s="13"/>
      <c r="M1133" s="14"/>
      <c r="O1133" t="str">
        <f>IFERROR(VLOOKUP($I1133,CHOOSE({1,2},'[1]DIRETORES NTE'!$H$5:$H$31,'[1]DIRETORES NTE'!$E$5:$E$31,),2,0),"-")</f>
        <v>-</v>
      </c>
    </row>
    <row r="1134" spans="9:15" x14ac:dyDescent="0.25">
      <c r="I1134" s="13"/>
      <c r="M1134" s="14"/>
      <c r="O1134" t="str">
        <f>IFERROR(VLOOKUP($I1134,CHOOSE({1,2},'[1]DIRETORES NTE'!$H$5:$H$31,'[1]DIRETORES NTE'!$E$5:$E$31,),2,0),"-")</f>
        <v>-</v>
      </c>
    </row>
    <row r="1135" spans="9:15" x14ac:dyDescent="0.25">
      <c r="I1135" s="13"/>
      <c r="M1135" s="14"/>
      <c r="O1135" t="str">
        <f>IFERROR(VLOOKUP($I1135,CHOOSE({1,2},'[1]DIRETORES NTE'!$H$5:$H$31,'[1]DIRETORES NTE'!$E$5:$E$31,),2,0),"-")</f>
        <v>-</v>
      </c>
    </row>
    <row r="1136" spans="9:15" x14ac:dyDescent="0.25">
      <c r="I1136" s="13"/>
      <c r="M1136" s="14"/>
      <c r="O1136" t="str">
        <f>IFERROR(VLOOKUP($I1136,CHOOSE({1,2},'[1]DIRETORES NTE'!$H$5:$H$31,'[1]DIRETORES NTE'!$E$5:$E$31,),2,0),"-")</f>
        <v>-</v>
      </c>
    </row>
    <row r="1137" spans="9:15" x14ac:dyDescent="0.25">
      <c r="I1137" s="13"/>
      <c r="M1137" s="14"/>
      <c r="O1137" t="str">
        <f>IFERROR(VLOOKUP($I1137,CHOOSE({1,2},'[1]DIRETORES NTE'!$H$5:$H$31,'[1]DIRETORES NTE'!$E$5:$E$31,),2,0),"-")</f>
        <v>-</v>
      </c>
    </row>
    <row r="1138" spans="9:15" x14ac:dyDescent="0.25">
      <c r="I1138" s="13"/>
      <c r="M1138" s="14"/>
      <c r="O1138" t="str">
        <f>IFERROR(VLOOKUP($I1138,CHOOSE({1,2},'[1]DIRETORES NTE'!$H$5:$H$31,'[1]DIRETORES NTE'!$E$5:$E$31,),2,0),"-")</f>
        <v>-</v>
      </c>
    </row>
    <row r="1139" spans="9:15" x14ac:dyDescent="0.25">
      <c r="I1139" s="13"/>
      <c r="M1139" s="14"/>
      <c r="O1139" t="str">
        <f>IFERROR(VLOOKUP($I1139,CHOOSE({1,2},'[1]DIRETORES NTE'!$H$5:$H$31,'[1]DIRETORES NTE'!$E$5:$E$31,),2,0),"-")</f>
        <v>-</v>
      </c>
    </row>
    <row r="1140" spans="9:15" x14ac:dyDescent="0.25">
      <c r="I1140" s="13"/>
      <c r="M1140" s="14"/>
      <c r="O1140" t="str">
        <f>IFERROR(VLOOKUP($I1140,CHOOSE({1,2},'[1]DIRETORES NTE'!$H$5:$H$31,'[1]DIRETORES NTE'!$E$5:$E$31,),2,0),"-")</f>
        <v>-</v>
      </c>
    </row>
    <row r="1141" spans="9:15" x14ac:dyDescent="0.25">
      <c r="I1141" s="13"/>
      <c r="M1141" s="14"/>
      <c r="O1141" t="str">
        <f>IFERROR(VLOOKUP($I1141,CHOOSE({1,2},'[1]DIRETORES NTE'!$H$5:$H$31,'[1]DIRETORES NTE'!$E$5:$E$31,),2,0),"-")</f>
        <v>-</v>
      </c>
    </row>
    <row r="1142" spans="9:15" x14ac:dyDescent="0.25">
      <c r="I1142" s="13"/>
      <c r="M1142" s="14"/>
      <c r="O1142" t="str">
        <f>IFERROR(VLOOKUP($I1142,CHOOSE({1,2},'[1]DIRETORES NTE'!$H$5:$H$31,'[1]DIRETORES NTE'!$E$5:$E$31,),2,0),"-")</f>
        <v>-</v>
      </c>
    </row>
    <row r="1143" spans="9:15" x14ac:dyDescent="0.25">
      <c r="I1143" s="13"/>
      <c r="M1143" s="14"/>
      <c r="O1143" t="str">
        <f>IFERROR(VLOOKUP($I1143,CHOOSE({1,2},'[1]DIRETORES NTE'!$H$5:$H$31,'[1]DIRETORES NTE'!$E$5:$E$31,),2,0),"-")</f>
        <v>-</v>
      </c>
    </row>
    <row r="1144" spans="9:15" x14ac:dyDescent="0.25">
      <c r="I1144" s="13"/>
      <c r="M1144" s="14"/>
      <c r="O1144" t="str">
        <f>IFERROR(VLOOKUP($I1144,CHOOSE({1,2},'[1]DIRETORES NTE'!$H$5:$H$31,'[1]DIRETORES NTE'!$E$5:$E$31,),2,0),"-")</f>
        <v>-</v>
      </c>
    </row>
    <row r="1145" spans="9:15" x14ac:dyDescent="0.25">
      <c r="I1145" s="13"/>
      <c r="M1145" s="14"/>
      <c r="O1145" t="str">
        <f>IFERROR(VLOOKUP($I1145,CHOOSE({1,2},'[1]DIRETORES NTE'!$H$5:$H$31,'[1]DIRETORES NTE'!$E$5:$E$31,),2,0),"-")</f>
        <v>-</v>
      </c>
    </row>
    <row r="1146" spans="9:15" x14ac:dyDescent="0.25">
      <c r="I1146" s="13"/>
      <c r="M1146" s="14"/>
      <c r="O1146" t="str">
        <f>IFERROR(VLOOKUP($I1146,CHOOSE({1,2},'[1]DIRETORES NTE'!$H$5:$H$31,'[1]DIRETORES NTE'!$E$5:$E$31,),2,0),"-")</f>
        <v>-</v>
      </c>
    </row>
    <row r="1147" spans="9:15" x14ac:dyDescent="0.25">
      <c r="I1147" s="13"/>
      <c r="M1147" s="14"/>
      <c r="O1147" t="str">
        <f>IFERROR(VLOOKUP($I1147,CHOOSE({1,2},'[1]DIRETORES NTE'!$H$5:$H$31,'[1]DIRETORES NTE'!$E$5:$E$31,),2,0),"-")</f>
        <v>-</v>
      </c>
    </row>
    <row r="1148" spans="9:15" x14ac:dyDescent="0.25">
      <c r="I1148" s="13"/>
      <c r="M1148" s="14"/>
      <c r="O1148" t="str">
        <f>IFERROR(VLOOKUP($I1148,CHOOSE({1,2},'[1]DIRETORES NTE'!$H$5:$H$31,'[1]DIRETORES NTE'!$E$5:$E$31,),2,0),"-")</f>
        <v>-</v>
      </c>
    </row>
    <row r="1149" spans="9:15" x14ac:dyDescent="0.25">
      <c r="I1149" s="13"/>
      <c r="M1149" s="14"/>
      <c r="O1149" t="str">
        <f>IFERROR(VLOOKUP($I1149,CHOOSE({1,2},'[1]DIRETORES NTE'!$H$5:$H$31,'[1]DIRETORES NTE'!$E$5:$E$31,),2,0),"-")</f>
        <v>-</v>
      </c>
    </row>
    <row r="1150" spans="9:15" x14ac:dyDescent="0.25">
      <c r="I1150" s="13"/>
      <c r="M1150" s="14"/>
      <c r="O1150" t="str">
        <f>IFERROR(VLOOKUP($I1150,CHOOSE({1,2},'[1]DIRETORES NTE'!$H$5:$H$31,'[1]DIRETORES NTE'!$E$5:$E$31,),2,0),"-")</f>
        <v>-</v>
      </c>
    </row>
    <row r="1151" spans="9:15" x14ac:dyDescent="0.25">
      <c r="I1151" s="13"/>
      <c r="M1151" s="14"/>
      <c r="O1151" t="str">
        <f>IFERROR(VLOOKUP($I1151,CHOOSE({1,2},'[1]DIRETORES NTE'!$H$5:$H$31,'[1]DIRETORES NTE'!$E$5:$E$31,),2,0),"-")</f>
        <v>-</v>
      </c>
    </row>
    <row r="1152" spans="9:15" x14ac:dyDescent="0.25">
      <c r="I1152" s="13"/>
      <c r="M1152" s="14"/>
      <c r="O1152" t="str">
        <f>IFERROR(VLOOKUP($I1152,CHOOSE({1,2},'[1]DIRETORES NTE'!$H$5:$H$31,'[1]DIRETORES NTE'!$E$5:$E$31,),2,0),"-")</f>
        <v>-</v>
      </c>
    </row>
    <row r="1153" spans="9:15" x14ac:dyDescent="0.25">
      <c r="I1153" s="13"/>
      <c r="M1153" s="14"/>
      <c r="O1153" t="str">
        <f>IFERROR(VLOOKUP($I1153,CHOOSE({1,2},'[1]DIRETORES NTE'!$H$5:$H$31,'[1]DIRETORES NTE'!$E$5:$E$31,),2,0),"-")</f>
        <v>-</v>
      </c>
    </row>
    <row r="1154" spans="9:15" x14ac:dyDescent="0.25">
      <c r="I1154" s="13"/>
      <c r="M1154" s="14"/>
      <c r="O1154" t="str">
        <f>IFERROR(VLOOKUP($I1154,CHOOSE({1,2},'[1]DIRETORES NTE'!$H$5:$H$31,'[1]DIRETORES NTE'!$E$5:$E$31,),2,0),"-")</f>
        <v>-</v>
      </c>
    </row>
    <row r="1155" spans="9:15" x14ac:dyDescent="0.25">
      <c r="I1155" s="13"/>
      <c r="M1155" s="14"/>
      <c r="O1155" t="str">
        <f>IFERROR(VLOOKUP($I1155,CHOOSE({1,2},'[1]DIRETORES NTE'!$H$5:$H$31,'[1]DIRETORES NTE'!$E$5:$E$31,),2,0),"-")</f>
        <v>-</v>
      </c>
    </row>
    <row r="1156" spans="9:15" x14ac:dyDescent="0.25">
      <c r="I1156" s="13"/>
      <c r="M1156" s="14"/>
      <c r="O1156" t="str">
        <f>IFERROR(VLOOKUP($I1156,CHOOSE({1,2},'[1]DIRETORES NTE'!$H$5:$H$31,'[1]DIRETORES NTE'!$E$5:$E$31,),2,0),"-")</f>
        <v>-</v>
      </c>
    </row>
    <row r="1157" spans="9:15" x14ac:dyDescent="0.25">
      <c r="I1157" s="13"/>
      <c r="M1157" s="14"/>
      <c r="O1157" t="str">
        <f>IFERROR(VLOOKUP($I1157,CHOOSE({1,2},'[1]DIRETORES NTE'!$H$5:$H$31,'[1]DIRETORES NTE'!$E$5:$E$31,),2,0),"-")</f>
        <v>-</v>
      </c>
    </row>
    <row r="1158" spans="9:15" x14ac:dyDescent="0.25">
      <c r="I1158" s="13"/>
      <c r="M1158" s="14"/>
      <c r="O1158" t="str">
        <f>IFERROR(VLOOKUP($I1158,CHOOSE({1,2},'[1]DIRETORES NTE'!$H$5:$H$31,'[1]DIRETORES NTE'!$E$5:$E$31,),2,0),"-")</f>
        <v>-</v>
      </c>
    </row>
    <row r="1159" spans="9:15" x14ac:dyDescent="0.25">
      <c r="I1159" s="13"/>
      <c r="M1159" s="14"/>
      <c r="O1159" t="str">
        <f>IFERROR(VLOOKUP($I1159,CHOOSE({1,2},'[1]DIRETORES NTE'!$H$5:$H$31,'[1]DIRETORES NTE'!$E$5:$E$31,),2,0),"-")</f>
        <v>-</v>
      </c>
    </row>
    <row r="1160" spans="9:15" x14ac:dyDescent="0.25">
      <c r="I1160" s="13"/>
      <c r="M1160" s="14"/>
      <c r="O1160" t="str">
        <f>IFERROR(VLOOKUP($I1160,CHOOSE({1,2},'[1]DIRETORES NTE'!$H$5:$H$31,'[1]DIRETORES NTE'!$E$5:$E$31,),2,0),"-")</f>
        <v>-</v>
      </c>
    </row>
    <row r="1161" spans="9:15" x14ac:dyDescent="0.25">
      <c r="I1161" s="13"/>
      <c r="M1161" s="14"/>
      <c r="O1161" t="str">
        <f>IFERROR(VLOOKUP($I1161,CHOOSE({1,2},'[1]DIRETORES NTE'!$H$5:$H$31,'[1]DIRETORES NTE'!$E$5:$E$31,),2,0),"-")</f>
        <v>-</v>
      </c>
    </row>
    <row r="1162" spans="9:15" x14ac:dyDescent="0.25">
      <c r="I1162" s="13"/>
      <c r="M1162" s="14"/>
      <c r="O1162" t="str">
        <f>IFERROR(VLOOKUP($I1162,CHOOSE({1,2},'[1]DIRETORES NTE'!$H$5:$H$31,'[1]DIRETORES NTE'!$E$5:$E$31,),2,0),"-")</f>
        <v>-</v>
      </c>
    </row>
    <row r="1163" spans="9:15" x14ac:dyDescent="0.25">
      <c r="I1163" s="13"/>
      <c r="M1163" s="14"/>
      <c r="O1163" t="str">
        <f>IFERROR(VLOOKUP($I1163,CHOOSE({1,2},'[1]DIRETORES NTE'!$H$5:$H$31,'[1]DIRETORES NTE'!$E$5:$E$31,),2,0),"-")</f>
        <v>-</v>
      </c>
    </row>
    <row r="1164" spans="9:15" x14ac:dyDescent="0.25">
      <c r="I1164" s="13"/>
      <c r="M1164" s="14"/>
      <c r="O1164" t="str">
        <f>IFERROR(VLOOKUP($I1164,CHOOSE({1,2},'[1]DIRETORES NTE'!$H$5:$H$31,'[1]DIRETORES NTE'!$E$5:$E$31,),2,0),"-")</f>
        <v>-</v>
      </c>
    </row>
    <row r="1165" spans="9:15" x14ac:dyDescent="0.25">
      <c r="I1165" s="13"/>
      <c r="M1165" s="14"/>
      <c r="O1165" t="str">
        <f>IFERROR(VLOOKUP($I1165,CHOOSE({1,2},'[1]DIRETORES NTE'!$H$5:$H$31,'[1]DIRETORES NTE'!$E$5:$E$31,),2,0),"-")</f>
        <v>-</v>
      </c>
    </row>
    <row r="1166" spans="9:15" x14ac:dyDescent="0.25">
      <c r="I1166" s="13"/>
      <c r="M1166" s="14"/>
      <c r="O1166" t="str">
        <f>IFERROR(VLOOKUP($I1166,CHOOSE({1,2},'[1]DIRETORES NTE'!$H$5:$H$31,'[1]DIRETORES NTE'!$E$5:$E$31,),2,0),"-")</f>
        <v>-</v>
      </c>
    </row>
    <row r="1167" spans="9:15" x14ac:dyDescent="0.25">
      <c r="I1167" s="13"/>
      <c r="M1167" s="14"/>
      <c r="O1167" t="str">
        <f>IFERROR(VLOOKUP($I1167,CHOOSE({1,2},'[1]DIRETORES NTE'!$H$5:$H$31,'[1]DIRETORES NTE'!$E$5:$E$31,),2,0),"-")</f>
        <v>-</v>
      </c>
    </row>
    <row r="1168" spans="9:15" x14ac:dyDescent="0.25">
      <c r="I1168" s="13"/>
      <c r="M1168" s="14"/>
      <c r="O1168" t="str">
        <f>IFERROR(VLOOKUP($I1168,CHOOSE({1,2},'[1]DIRETORES NTE'!$H$5:$H$31,'[1]DIRETORES NTE'!$E$5:$E$31,),2,0),"-")</f>
        <v>-</v>
      </c>
    </row>
    <row r="1169" spans="9:15" x14ac:dyDescent="0.25">
      <c r="I1169" s="13"/>
      <c r="M1169" s="14"/>
      <c r="O1169" t="str">
        <f>IFERROR(VLOOKUP($I1169,CHOOSE({1,2},'[1]DIRETORES NTE'!$H$5:$H$31,'[1]DIRETORES NTE'!$E$5:$E$31,),2,0),"-")</f>
        <v>-</v>
      </c>
    </row>
    <row r="1170" spans="9:15" x14ac:dyDescent="0.25">
      <c r="I1170" s="13"/>
      <c r="M1170" s="14"/>
      <c r="O1170" t="str">
        <f>IFERROR(VLOOKUP($I1170,CHOOSE({1,2},'[1]DIRETORES NTE'!$H$5:$H$31,'[1]DIRETORES NTE'!$E$5:$E$31,),2,0),"-")</f>
        <v>-</v>
      </c>
    </row>
    <row r="1171" spans="9:15" x14ac:dyDescent="0.25">
      <c r="I1171" s="13"/>
      <c r="M1171" s="14"/>
      <c r="O1171" t="str">
        <f>IFERROR(VLOOKUP($I1171,CHOOSE({1,2},'[1]DIRETORES NTE'!$H$5:$H$31,'[1]DIRETORES NTE'!$E$5:$E$31,),2,0),"-")</f>
        <v>-</v>
      </c>
    </row>
    <row r="1172" spans="9:15" x14ac:dyDescent="0.25">
      <c r="I1172" s="13"/>
      <c r="M1172" s="14"/>
      <c r="O1172" t="str">
        <f>IFERROR(VLOOKUP($I1172,CHOOSE({1,2},'[1]DIRETORES NTE'!$H$5:$H$31,'[1]DIRETORES NTE'!$E$5:$E$31,),2,0),"-")</f>
        <v>-</v>
      </c>
    </row>
    <row r="1173" spans="9:15" x14ac:dyDescent="0.25">
      <c r="I1173" s="13"/>
      <c r="M1173" s="14"/>
      <c r="O1173" t="str">
        <f>IFERROR(VLOOKUP($I1173,CHOOSE({1,2},'[1]DIRETORES NTE'!$H$5:$H$31,'[1]DIRETORES NTE'!$E$5:$E$31,),2,0),"-")</f>
        <v>-</v>
      </c>
    </row>
    <row r="1174" spans="9:15" x14ac:dyDescent="0.25">
      <c r="I1174" s="13"/>
      <c r="M1174" s="14"/>
      <c r="O1174" t="str">
        <f>IFERROR(VLOOKUP($I1174,CHOOSE({1,2},'[1]DIRETORES NTE'!$H$5:$H$31,'[1]DIRETORES NTE'!$E$5:$E$31,),2,0),"-")</f>
        <v>-</v>
      </c>
    </row>
    <row r="1175" spans="9:15" x14ac:dyDescent="0.25">
      <c r="I1175" s="13"/>
      <c r="M1175" s="14"/>
      <c r="O1175" t="str">
        <f>IFERROR(VLOOKUP($I1175,CHOOSE({1,2},'[1]DIRETORES NTE'!$H$5:$H$31,'[1]DIRETORES NTE'!$E$5:$E$31,),2,0),"-")</f>
        <v>-</v>
      </c>
    </row>
    <row r="1176" spans="9:15" x14ac:dyDescent="0.25">
      <c r="I1176" s="13"/>
      <c r="M1176" s="14"/>
      <c r="O1176" t="str">
        <f>IFERROR(VLOOKUP($I1176,CHOOSE({1,2},'[1]DIRETORES NTE'!$H$5:$H$31,'[1]DIRETORES NTE'!$E$5:$E$31,),2,0),"-")</f>
        <v>-</v>
      </c>
    </row>
    <row r="1177" spans="9:15" x14ac:dyDescent="0.25">
      <c r="I1177" s="13"/>
      <c r="M1177" s="14"/>
      <c r="O1177" t="str">
        <f>IFERROR(VLOOKUP($I1177,CHOOSE({1,2},'[1]DIRETORES NTE'!$H$5:$H$31,'[1]DIRETORES NTE'!$E$5:$E$31,),2,0),"-")</f>
        <v>-</v>
      </c>
    </row>
    <row r="1178" spans="9:15" x14ac:dyDescent="0.25">
      <c r="I1178" s="13"/>
      <c r="M1178" s="14"/>
      <c r="O1178" t="str">
        <f>IFERROR(VLOOKUP($I1178,CHOOSE({1,2},'[1]DIRETORES NTE'!$H$5:$H$31,'[1]DIRETORES NTE'!$E$5:$E$31,),2,0),"-")</f>
        <v>-</v>
      </c>
    </row>
    <row r="1179" spans="9:15" x14ac:dyDescent="0.25">
      <c r="I1179" s="13"/>
      <c r="M1179" s="14"/>
      <c r="O1179" t="str">
        <f>IFERROR(VLOOKUP($I1179,CHOOSE({1,2},'[1]DIRETORES NTE'!$H$5:$H$31,'[1]DIRETORES NTE'!$E$5:$E$31,),2,0),"-")</f>
        <v>-</v>
      </c>
    </row>
    <row r="1180" spans="9:15" x14ac:dyDescent="0.25">
      <c r="I1180" s="13"/>
      <c r="M1180" s="14"/>
      <c r="O1180" t="str">
        <f>IFERROR(VLOOKUP($I1180,CHOOSE({1,2},'[1]DIRETORES NTE'!$H$5:$H$31,'[1]DIRETORES NTE'!$E$5:$E$31,),2,0),"-")</f>
        <v>-</v>
      </c>
    </row>
    <row r="1181" spans="9:15" x14ac:dyDescent="0.25">
      <c r="I1181" s="13"/>
      <c r="M1181" s="14"/>
      <c r="O1181" t="str">
        <f>IFERROR(VLOOKUP($I1181,CHOOSE({1,2},'[1]DIRETORES NTE'!$H$5:$H$31,'[1]DIRETORES NTE'!$E$5:$E$31,),2,0),"-")</f>
        <v>-</v>
      </c>
    </row>
    <row r="1182" spans="9:15" x14ac:dyDescent="0.25">
      <c r="I1182" s="13"/>
      <c r="M1182" s="14"/>
      <c r="O1182" t="str">
        <f>IFERROR(VLOOKUP($I1182,CHOOSE({1,2},'[1]DIRETORES NTE'!$H$5:$H$31,'[1]DIRETORES NTE'!$E$5:$E$31,),2,0),"-")</f>
        <v>-</v>
      </c>
    </row>
    <row r="1183" spans="9:15" x14ac:dyDescent="0.25">
      <c r="I1183" s="13"/>
      <c r="M1183" s="14"/>
      <c r="O1183" t="str">
        <f>IFERROR(VLOOKUP($I1183,CHOOSE({1,2},'[1]DIRETORES NTE'!$H$5:$H$31,'[1]DIRETORES NTE'!$E$5:$E$31,),2,0),"-")</f>
        <v>-</v>
      </c>
    </row>
    <row r="1184" spans="9:15" x14ac:dyDescent="0.25">
      <c r="I1184" s="13"/>
      <c r="M1184" s="14"/>
      <c r="O1184" t="str">
        <f>IFERROR(VLOOKUP($I1184,CHOOSE({1,2},'[1]DIRETORES NTE'!$H$5:$H$31,'[1]DIRETORES NTE'!$E$5:$E$31,),2,0),"-")</f>
        <v>-</v>
      </c>
    </row>
    <row r="1185" spans="9:15" x14ac:dyDescent="0.25">
      <c r="I1185" s="13"/>
      <c r="M1185" s="14"/>
      <c r="O1185" t="str">
        <f>IFERROR(VLOOKUP($I1185,CHOOSE({1,2},'[1]DIRETORES NTE'!$H$5:$H$31,'[1]DIRETORES NTE'!$E$5:$E$31,),2,0),"-")</f>
        <v>-</v>
      </c>
    </row>
    <row r="1186" spans="9:15" x14ac:dyDescent="0.25">
      <c r="I1186" s="13"/>
      <c r="M1186" s="14"/>
      <c r="O1186" t="str">
        <f>IFERROR(VLOOKUP($I1186,CHOOSE({1,2},'[1]DIRETORES NTE'!$H$5:$H$31,'[1]DIRETORES NTE'!$E$5:$E$31,),2,0),"-")</f>
        <v>-</v>
      </c>
    </row>
    <row r="1187" spans="9:15" x14ac:dyDescent="0.25">
      <c r="I1187" s="13"/>
      <c r="M1187" s="14"/>
      <c r="O1187" t="str">
        <f>IFERROR(VLOOKUP($I1187,CHOOSE({1,2},'[1]DIRETORES NTE'!$H$5:$H$31,'[1]DIRETORES NTE'!$E$5:$E$31,),2,0),"-")</f>
        <v>-</v>
      </c>
    </row>
    <row r="1188" spans="9:15" x14ac:dyDescent="0.25">
      <c r="I1188" s="13"/>
      <c r="M1188" s="14"/>
      <c r="O1188" t="str">
        <f>IFERROR(VLOOKUP($I1188,CHOOSE({1,2},'[1]DIRETORES NTE'!$H$5:$H$31,'[1]DIRETORES NTE'!$E$5:$E$31,),2,0),"-")</f>
        <v>-</v>
      </c>
    </row>
    <row r="1189" spans="9:15" x14ac:dyDescent="0.25">
      <c r="I1189" s="13"/>
      <c r="M1189" s="14"/>
      <c r="O1189" t="str">
        <f>IFERROR(VLOOKUP($I1189,CHOOSE({1,2},'[1]DIRETORES NTE'!$H$5:$H$31,'[1]DIRETORES NTE'!$E$5:$E$31,),2,0),"-")</f>
        <v>-</v>
      </c>
    </row>
    <row r="1190" spans="9:15" x14ac:dyDescent="0.25">
      <c r="I1190" s="13"/>
      <c r="M1190" s="14"/>
      <c r="O1190" t="str">
        <f>IFERROR(VLOOKUP($I1190,CHOOSE({1,2},'[1]DIRETORES NTE'!$H$5:$H$31,'[1]DIRETORES NTE'!$E$5:$E$31,),2,0),"-")</f>
        <v>-</v>
      </c>
    </row>
    <row r="1191" spans="9:15" x14ac:dyDescent="0.25">
      <c r="I1191" s="13"/>
      <c r="M1191" s="14"/>
      <c r="O1191" t="str">
        <f>IFERROR(VLOOKUP($I1191,CHOOSE({1,2},'[1]DIRETORES NTE'!$H$5:$H$31,'[1]DIRETORES NTE'!$E$5:$E$31,),2,0),"-")</f>
        <v>-</v>
      </c>
    </row>
    <row r="1192" spans="9:15" x14ac:dyDescent="0.25">
      <c r="I1192" s="13"/>
      <c r="M1192" s="14"/>
      <c r="O1192" t="str">
        <f>IFERROR(VLOOKUP($I1192,CHOOSE({1,2},'[1]DIRETORES NTE'!$H$5:$H$31,'[1]DIRETORES NTE'!$E$5:$E$31,),2,0),"-")</f>
        <v>-</v>
      </c>
    </row>
    <row r="1193" spans="9:15" x14ac:dyDescent="0.25">
      <c r="I1193" s="13"/>
      <c r="M1193" s="14"/>
      <c r="O1193" t="str">
        <f>IFERROR(VLOOKUP($I1193,CHOOSE({1,2},'[1]DIRETORES NTE'!$H$5:$H$31,'[1]DIRETORES NTE'!$E$5:$E$31,),2,0),"-")</f>
        <v>-</v>
      </c>
    </row>
    <row r="1194" spans="9:15" x14ac:dyDescent="0.25">
      <c r="I1194" s="13"/>
      <c r="M1194" s="14"/>
      <c r="O1194" t="str">
        <f>IFERROR(VLOOKUP($I1194,CHOOSE({1,2},'[1]DIRETORES NTE'!$H$5:$H$31,'[1]DIRETORES NTE'!$E$5:$E$31,),2,0),"-")</f>
        <v>-</v>
      </c>
    </row>
    <row r="1195" spans="9:15" x14ac:dyDescent="0.25">
      <c r="I1195" s="13"/>
      <c r="M1195" s="14"/>
      <c r="O1195" t="str">
        <f>IFERROR(VLOOKUP($I1195,CHOOSE({1,2},'[1]DIRETORES NTE'!$H$5:$H$31,'[1]DIRETORES NTE'!$E$5:$E$31,),2,0),"-")</f>
        <v>-</v>
      </c>
    </row>
    <row r="1196" spans="9:15" x14ac:dyDescent="0.25">
      <c r="I1196" s="13"/>
      <c r="M1196" s="14"/>
      <c r="O1196" t="str">
        <f>IFERROR(VLOOKUP($I1196,CHOOSE({1,2},'[1]DIRETORES NTE'!$H$5:$H$31,'[1]DIRETORES NTE'!$E$5:$E$31,),2,0),"-")</f>
        <v>-</v>
      </c>
    </row>
    <row r="1197" spans="9:15" x14ac:dyDescent="0.25">
      <c r="I1197" s="13"/>
      <c r="M1197" s="14"/>
      <c r="O1197" t="str">
        <f>IFERROR(VLOOKUP($I1197,CHOOSE({1,2},'[1]DIRETORES NTE'!$H$5:$H$31,'[1]DIRETORES NTE'!$E$5:$E$31,),2,0),"-")</f>
        <v>-</v>
      </c>
    </row>
    <row r="1198" spans="9:15" x14ac:dyDescent="0.25">
      <c r="I1198" s="13"/>
      <c r="M1198" s="14"/>
      <c r="O1198" t="str">
        <f>IFERROR(VLOOKUP($I1198,CHOOSE({1,2},'[1]DIRETORES NTE'!$H$5:$H$31,'[1]DIRETORES NTE'!$E$5:$E$31,),2,0),"-")</f>
        <v>-</v>
      </c>
    </row>
    <row r="1199" spans="9:15" x14ac:dyDescent="0.25">
      <c r="I1199" s="13"/>
      <c r="M1199" s="14"/>
      <c r="O1199" t="str">
        <f>IFERROR(VLOOKUP($I1199,CHOOSE({1,2},'[1]DIRETORES NTE'!$H$5:$H$31,'[1]DIRETORES NTE'!$E$5:$E$31,),2,0),"-")</f>
        <v>-</v>
      </c>
    </row>
    <row r="1200" spans="9:15" x14ac:dyDescent="0.25">
      <c r="I1200" s="13"/>
      <c r="M1200" s="14"/>
      <c r="O1200" t="str">
        <f>IFERROR(VLOOKUP($I1200,CHOOSE({1,2},'[1]DIRETORES NTE'!$H$5:$H$31,'[1]DIRETORES NTE'!$E$5:$E$31,),2,0),"-")</f>
        <v>-</v>
      </c>
    </row>
    <row r="1201" spans="9:15" x14ac:dyDescent="0.25">
      <c r="I1201" s="13"/>
      <c r="M1201" s="14"/>
      <c r="O1201" t="str">
        <f>IFERROR(VLOOKUP($I1201,CHOOSE({1,2},'[1]DIRETORES NTE'!$H$5:$H$31,'[1]DIRETORES NTE'!$E$5:$E$31,),2,0),"-")</f>
        <v>-</v>
      </c>
    </row>
    <row r="1202" spans="9:15" x14ac:dyDescent="0.25">
      <c r="I1202" s="13"/>
      <c r="M1202" s="14"/>
      <c r="O1202" t="str">
        <f>IFERROR(VLOOKUP($I1202,CHOOSE({1,2},'[1]DIRETORES NTE'!$H$5:$H$31,'[1]DIRETORES NTE'!$E$5:$E$31,),2,0),"-")</f>
        <v>-</v>
      </c>
    </row>
    <row r="1203" spans="9:15" x14ac:dyDescent="0.25">
      <c r="I1203" s="13"/>
      <c r="M1203" s="14"/>
      <c r="O1203" t="str">
        <f>IFERROR(VLOOKUP($I1203,CHOOSE({1,2},'[1]DIRETORES NTE'!$H$5:$H$31,'[1]DIRETORES NTE'!$E$5:$E$31,),2,0),"-")</f>
        <v>-</v>
      </c>
    </row>
    <row r="1204" spans="9:15" x14ac:dyDescent="0.25">
      <c r="I1204" s="13"/>
      <c r="M1204" s="14"/>
      <c r="O1204" t="str">
        <f>IFERROR(VLOOKUP($I1204,CHOOSE({1,2},'[1]DIRETORES NTE'!$H$5:$H$31,'[1]DIRETORES NTE'!$E$5:$E$31,),2,0),"-")</f>
        <v>-</v>
      </c>
    </row>
    <row r="1205" spans="9:15" x14ac:dyDescent="0.25">
      <c r="I1205" s="13"/>
      <c r="M1205" s="14"/>
      <c r="O1205" t="str">
        <f>IFERROR(VLOOKUP($I1205,CHOOSE({1,2},'[1]DIRETORES NTE'!$H$5:$H$31,'[1]DIRETORES NTE'!$E$5:$E$31,),2,0),"-")</f>
        <v>-</v>
      </c>
    </row>
    <row r="1206" spans="9:15" x14ac:dyDescent="0.25">
      <c r="I1206" s="13"/>
      <c r="M1206" s="14"/>
      <c r="O1206" t="str">
        <f>IFERROR(VLOOKUP($I1206,CHOOSE({1,2},'[1]DIRETORES NTE'!$H$5:$H$31,'[1]DIRETORES NTE'!$E$5:$E$31,),2,0),"-")</f>
        <v>-</v>
      </c>
    </row>
    <row r="1207" spans="9:15" x14ac:dyDescent="0.25">
      <c r="I1207" s="13"/>
      <c r="M1207" s="14"/>
      <c r="O1207" t="str">
        <f>IFERROR(VLOOKUP($I1207,CHOOSE({1,2},'[1]DIRETORES NTE'!$H$5:$H$31,'[1]DIRETORES NTE'!$E$5:$E$31,),2,0),"-")</f>
        <v>-</v>
      </c>
    </row>
    <row r="1208" spans="9:15" x14ac:dyDescent="0.25">
      <c r="I1208" s="13"/>
      <c r="M1208" s="14"/>
      <c r="O1208" t="str">
        <f>IFERROR(VLOOKUP($I1208,CHOOSE({1,2},'[1]DIRETORES NTE'!$H$5:$H$31,'[1]DIRETORES NTE'!$E$5:$E$31,),2,0),"-")</f>
        <v>-</v>
      </c>
    </row>
    <row r="1209" spans="9:15" x14ac:dyDescent="0.25">
      <c r="I1209" s="13"/>
      <c r="M1209" s="14"/>
      <c r="O1209" t="str">
        <f>IFERROR(VLOOKUP($I1209,CHOOSE({1,2},'[1]DIRETORES NTE'!$H$5:$H$31,'[1]DIRETORES NTE'!$E$5:$E$31,),2,0),"-")</f>
        <v>-</v>
      </c>
    </row>
    <row r="1210" spans="9:15" x14ac:dyDescent="0.25">
      <c r="I1210" s="13"/>
      <c r="M1210" s="14"/>
      <c r="O1210" t="str">
        <f>IFERROR(VLOOKUP($I1210,CHOOSE({1,2},'[1]DIRETORES NTE'!$H$5:$H$31,'[1]DIRETORES NTE'!$E$5:$E$31,),2,0),"-")</f>
        <v>-</v>
      </c>
    </row>
    <row r="1211" spans="9:15" x14ac:dyDescent="0.25">
      <c r="I1211" s="13"/>
      <c r="M1211" s="14"/>
      <c r="O1211" t="str">
        <f>IFERROR(VLOOKUP($I1211,CHOOSE({1,2},'[1]DIRETORES NTE'!$H$5:$H$31,'[1]DIRETORES NTE'!$E$5:$E$31,),2,0),"-")</f>
        <v>-</v>
      </c>
    </row>
    <row r="1212" spans="9:15" x14ac:dyDescent="0.25">
      <c r="I1212" s="13"/>
      <c r="M1212" s="14"/>
      <c r="O1212" t="str">
        <f>IFERROR(VLOOKUP($I1212,CHOOSE({1,2},'[1]DIRETORES NTE'!$H$5:$H$31,'[1]DIRETORES NTE'!$E$5:$E$31,),2,0),"-")</f>
        <v>-</v>
      </c>
    </row>
    <row r="1213" spans="9:15" x14ac:dyDescent="0.25">
      <c r="I1213" s="13"/>
      <c r="M1213" s="14"/>
      <c r="O1213" t="str">
        <f>IFERROR(VLOOKUP($I1213,CHOOSE({1,2},'[1]DIRETORES NTE'!$H$5:$H$31,'[1]DIRETORES NTE'!$E$5:$E$31,),2,0),"-")</f>
        <v>-</v>
      </c>
    </row>
    <row r="1214" spans="9:15" x14ac:dyDescent="0.25">
      <c r="I1214" s="13"/>
      <c r="M1214" s="14"/>
      <c r="O1214" t="str">
        <f>IFERROR(VLOOKUP($I1214,CHOOSE({1,2},'[1]DIRETORES NTE'!$H$5:$H$31,'[1]DIRETORES NTE'!$E$5:$E$31,),2,0),"-")</f>
        <v>-</v>
      </c>
    </row>
    <row r="1215" spans="9:15" x14ac:dyDescent="0.25">
      <c r="I1215" s="13"/>
      <c r="M1215" s="14"/>
      <c r="O1215" t="str">
        <f>IFERROR(VLOOKUP($I1215,CHOOSE({1,2},'[1]DIRETORES NTE'!$H$5:$H$31,'[1]DIRETORES NTE'!$E$5:$E$31,),2,0),"-")</f>
        <v>-</v>
      </c>
    </row>
    <row r="1216" spans="9:15" x14ac:dyDescent="0.25">
      <c r="I1216" s="13"/>
      <c r="M1216" s="14"/>
      <c r="O1216" t="str">
        <f>IFERROR(VLOOKUP($I1216,CHOOSE({1,2},'[1]DIRETORES NTE'!$H$5:$H$31,'[1]DIRETORES NTE'!$E$5:$E$31,),2,0),"-")</f>
        <v>-</v>
      </c>
    </row>
    <row r="1217" spans="9:15" x14ac:dyDescent="0.25">
      <c r="I1217" s="13"/>
      <c r="M1217" s="14"/>
      <c r="O1217" t="str">
        <f>IFERROR(VLOOKUP($I1217,CHOOSE({1,2},'[1]DIRETORES NTE'!$H$5:$H$31,'[1]DIRETORES NTE'!$E$5:$E$31,),2,0),"-")</f>
        <v>-</v>
      </c>
    </row>
    <row r="1218" spans="9:15" x14ac:dyDescent="0.25">
      <c r="I1218" s="13"/>
      <c r="M1218" s="14"/>
      <c r="O1218" t="str">
        <f>IFERROR(VLOOKUP($I1218,CHOOSE({1,2},'[1]DIRETORES NTE'!$H$5:$H$31,'[1]DIRETORES NTE'!$E$5:$E$31,),2,0),"-")</f>
        <v>-</v>
      </c>
    </row>
    <row r="1219" spans="9:15" x14ac:dyDescent="0.25">
      <c r="I1219" s="13"/>
      <c r="M1219" s="14"/>
      <c r="O1219" t="str">
        <f>IFERROR(VLOOKUP($I1219,CHOOSE({1,2},'[1]DIRETORES NTE'!$H$5:$H$31,'[1]DIRETORES NTE'!$E$5:$E$31,),2,0),"-")</f>
        <v>-</v>
      </c>
    </row>
    <row r="1220" spans="9:15" x14ac:dyDescent="0.25">
      <c r="I1220" s="13"/>
      <c r="M1220" s="14"/>
      <c r="O1220" t="str">
        <f>IFERROR(VLOOKUP($I1220,CHOOSE({1,2},'[1]DIRETORES NTE'!$H$5:$H$31,'[1]DIRETORES NTE'!$E$5:$E$31,),2,0),"-")</f>
        <v>-</v>
      </c>
    </row>
    <row r="1221" spans="9:15" x14ac:dyDescent="0.25">
      <c r="I1221" s="13"/>
      <c r="M1221" s="14"/>
      <c r="O1221" t="str">
        <f>IFERROR(VLOOKUP($I1221,CHOOSE({1,2},'[1]DIRETORES NTE'!$H$5:$H$31,'[1]DIRETORES NTE'!$E$5:$E$31,),2,0),"-")</f>
        <v>-</v>
      </c>
    </row>
    <row r="1222" spans="9:15" x14ac:dyDescent="0.25">
      <c r="I1222" s="13"/>
      <c r="M1222" s="14"/>
      <c r="O1222" t="str">
        <f>IFERROR(VLOOKUP($I1222,CHOOSE({1,2},'[1]DIRETORES NTE'!$H$5:$H$31,'[1]DIRETORES NTE'!$E$5:$E$31,),2,0),"-")</f>
        <v>-</v>
      </c>
    </row>
    <row r="1223" spans="9:15" x14ac:dyDescent="0.25">
      <c r="I1223" s="13"/>
      <c r="M1223" s="14"/>
      <c r="O1223" t="str">
        <f>IFERROR(VLOOKUP($I1223,CHOOSE({1,2},'[1]DIRETORES NTE'!$H$5:$H$31,'[1]DIRETORES NTE'!$E$5:$E$31,),2,0),"-")</f>
        <v>-</v>
      </c>
    </row>
    <row r="1224" spans="9:15" x14ac:dyDescent="0.25">
      <c r="I1224" s="13"/>
      <c r="M1224" s="14"/>
      <c r="O1224" t="str">
        <f>IFERROR(VLOOKUP($I1224,CHOOSE({1,2},'[1]DIRETORES NTE'!$H$5:$H$31,'[1]DIRETORES NTE'!$E$5:$E$31,),2,0),"-")</f>
        <v>-</v>
      </c>
    </row>
    <row r="1225" spans="9:15" x14ac:dyDescent="0.25">
      <c r="I1225" s="13"/>
      <c r="M1225" s="14"/>
      <c r="O1225" t="str">
        <f>IFERROR(VLOOKUP($I1225,CHOOSE({1,2},'[1]DIRETORES NTE'!$H$5:$H$31,'[1]DIRETORES NTE'!$E$5:$E$31,),2,0),"-")</f>
        <v>-</v>
      </c>
    </row>
    <row r="1226" spans="9:15" x14ac:dyDescent="0.25">
      <c r="I1226" s="13"/>
      <c r="M1226" s="14"/>
      <c r="O1226" t="str">
        <f>IFERROR(VLOOKUP($I1226,CHOOSE({1,2},'[1]DIRETORES NTE'!$H$5:$H$31,'[1]DIRETORES NTE'!$E$5:$E$31,),2,0),"-")</f>
        <v>-</v>
      </c>
    </row>
    <row r="1227" spans="9:15" x14ac:dyDescent="0.25">
      <c r="I1227" s="13"/>
      <c r="M1227" s="14"/>
      <c r="O1227" t="str">
        <f>IFERROR(VLOOKUP($I1227,CHOOSE({1,2},'[1]DIRETORES NTE'!$H$5:$H$31,'[1]DIRETORES NTE'!$E$5:$E$31,),2,0),"-")</f>
        <v>-</v>
      </c>
    </row>
    <row r="1228" spans="9:15" x14ac:dyDescent="0.25">
      <c r="I1228" s="13"/>
      <c r="M1228" s="14"/>
      <c r="O1228" t="str">
        <f>IFERROR(VLOOKUP($I1228,CHOOSE({1,2},'[1]DIRETORES NTE'!$H$5:$H$31,'[1]DIRETORES NTE'!$E$5:$E$31,),2,0),"-")</f>
        <v>-</v>
      </c>
    </row>
    <row r="1229" spans="9:15" x14ac:dyDescent="0.25">
      <c r="I1229" s="13"/>
      <c r="M1229" s="14"/>
      <c r="O1229" t="str">
        <f>IFERROR(VLOOKUP($I1229,CHOOSE({1,2},'[1]DIRETORES NTE'!$H$5:$H$31,'[1]DIRETORES NTE'!$E$5:$E$31,),2,0),"-")</f>
        <v>-</v>
      </c>
    </row>
    <row r="1230" spans="9:15" x14ac:dyDescent="0.25">
      <c r="I1230" s="13"/>
      <c r="M1230" s="14"/>
      <c r="O1230" t="str">
        <f>IFERROR(VLOOKUP($I1230,CHOOSE({1,2},'[1]DIRETORES NTE'!$H$5:$H$31,'[1]DIRETORES NTE'!$E$5:$E$31,),2,0),"-")</f>
        <v>-</v>
      </c>
    </row>
    <row r="1231" spans="9:15" x14ac:dyDescent="0.25">
      <c r="I1231" s="13"/>
      <c r="M1231" s="14"/>
      <c r="O1231" t="str">
        <f>IFERROR(VLOOKUP($I1231,CHOOSE({1,2},'[1]DIRETORES NTE'!$H$5:$H$31,'[1]DIRETORES NTE'!$E$5:$E$31,),2,0),"-")</f>
        <v>-</v>
      </c>
    </row>
    <row r="1232" spans="9:15" x14ac:dyDescent="0.25">
      <c r="I1232" s="13"/>
      <c r="M1232" s="14"/>
      <c r="O1232" t="str">
        <f>IFERROR(VLOOKUP($I1232,CHOOSE({1,2},'[1]DIRETORES NTE'!$H$5:$H$31,'[1]DIRETORES NTE'!$E$5:$E$31,),2,0),"-")</f>
        <v>-</v>
      </c>
    </row>
    <row r="1233" spans="9:15" x14ac:dyDescent="0.25">
      <c r="I1233" s="13"/>
      <c r="M1233" s="14"/>
      <c r="O1233" t="str">
        <f>IFERROR(VLOOKUP($I1233,CHOOSE({1,2},'[1]DIRETORES NTE'!$H$5:$H$31,'[1]DIRETORES NTE'!$E$5:$E$31,),2,0),"-")</f>
        <v>-</v>
      </c>
    </row>
    <row r="1234" spans="9:15" x14ac:dyDescent="0.25">
      <c r="I1234" s="13"/>
      <c r="M1234" s="14"/>
      <c r="O1234" t="str">
        <f>IFERROR(VLOOKUP($I1234,CHOOSE({1,2},'[1]DIRETORES NTE'!$H$5:$H$31,'[1]DIRETORES NTE'!$E$5:$E$31,),2,0),"-")</f>
        <v>-</v>
      </c>
    </row>
    <row r="1235" spans="9:15" x14ac:dyDescent="0.25">
      <c r="I1235" s="13"/>
      <c r="M1235" s="14"/>
      <c r="O1235" t="str">
        <f>IFERROR(VLOOKUP($I1235,CHOOSE({1,2},'[1]DIRETORES NTE'!$H$5:$H$31,'[1]DIRETORES NTE'!$E$5:$E$31,),2,0),"-")</f>
        <v>-</v>
      </c>
    </row>
    <row r="1236" spans="9:15" x14ac:dyDescent="0.25">
      <c r="I1236" s="13"/>
      <c r="M1236" s="14"/>
      <c r="O1236" t="str">
        <f>IFERROR(VLOOKUP($I1236,CHOOSE({1,2},'[1]DIRETORES NTE'!$H$5:$H$31,'[1]DIRETORES NTE'!$E$5:$E$31,),2,0),"-")</f>
        <v>-</v>
      </c>
    </row>
    <row r="1237" spans="9:15" x14ac:dyDescent="0.25">
      <c r="I1237" s="13"/>
      <c r="M1237" s="14"/>
      <c r="O1237" t="str">
        <f>IFERROR(VLOOKUP($I1237,CHOOSE({1,2},'[1]DIRETORES NTE'!$H$5:$H$31,'[1]DIRETORES NTE'!$E$5:$E$31,),2,0),"-")</f>
        <v>-</v>
      </c>
    </row>
    <row r="1238" spans="9:15" x14ac:dyDescent="0.25">
      <c r="I1238" s="13"/>
      <c r="M1238" s="14"/>
      <c r="O1238" t="str">
        <f>IFERROR(VLOOKUP($I1238,CHOOSE({1,2},'[1]DIRETORES NTE'!$H$5:$H$31,'[1]DIRETORES NTE'!$E$5:$E$31,),2,0),"-")</f>
        <v>-</v>
      </c>
    </row>
    <row r="1239" spans="9:15" x14ac:dyDescent="0.25">
      <c r="I1239" s="13"/>
      <c r="M1239" s="14"/>
      <c r="O1239" t="str">
        <f>IFERROR(VLOOKUP($I1239,CHOOSE({1,2},'[1]DIRETORES NTE'!$H$5:$H$31,'[1]DIRETORES NTE'!$E$5:$E$31,),2,0),"-")</f>
        <v>-</v>
      </c>
    </row>
    <row r="1240" spans="9:15" x14ac:dyDescent="0.25">
      <c r="I1240" s="13"/>
      <c r="M1240" s="14"/>
      <c r="O1240" t="str">
        <f>IFERROR(VLOOKUP($I1240,CHOOSE({1,2},'[1]DIRETORES NTE'!$H$5:$H$31,'[1]DIRETORES NTE'!$E$5:$E$31,),2,0),"-")</f>
        <v>-</v>
      </c>
    </row>
    <row r="1241" spans="9:15" x14ac:dyDescent="0.25">
      <c r="I1241" s="13"/>
      <c r="M1241" s="14"/>
      <c r="O1241" t="str">
        <f>IFERROR(VLOOKUP($I1241,CHOOSE({1,2},'[1]DIRETORES NTE'!$H$5:$H$31,'[1]DIRETORES NTE'!$E$5:$E$31,),2,0),"-")</f>
        <v>-</v>
      </c>
    </row>
    <row r="1242" spans="9:15" x14ac:dyDescent="0.25">
      <c r="I1242" s="13"/>
      <c r="M1242" s="14"/>
      <c r="O1242" t="str">
        <f>IFERROR(VLOOKUP($I1242,CHOOSE({1,2},'[1]DIRETORES NTE'!$H$5:$H$31,'[1]DIRETORES NTE'!$E$5:$E$31,),2,0),"-")</f>
        <v>-</v>
      </c>
    </row>
    <row r="1243" spans="9:15" x14ac:dyDescent="0.25">
      <c r="I1243" s="13"/>
      <c r="M1243" s="14"/>
      <c r="O1243" t="str">
        <f>IFERROR(VLOOKUP($I1243,CHOOSE({1,2},'[1]DIRETORES NTE'!$H$5:$H$31,'[1]DIRETORES NTE'!$E$5:$E$31,),2,0),"-")</f>
        <v>-</v>
      </c>
    </row>
    <row r="1244" spans="9:15" x14ac:dyDescent="0.25">
      <c r="I1244" s="13"/>
      <c r="M1244" s="14"/>
      <c r="O1244" t="str">
        <f>IFERROR(VLOOKUP($I1244,CHOOSE({1,2},'[1]DIRETORES NTE'!$H$5:$H$31,'[1]DIRETORES NTE'!$E$5:$E$31,),2,0),"-")</f>
        <v>-</v>
      </c>
    </row>
    <row r="1245" spans="9:15" x14ac:dyDescent="0.25">
      <c r="I1245" s="13"/>
      <c r="M1245" s="14"/>
      <c r="O1245" t="str">
        <f>IFERROR(VLOOKUP($I1245,CHOOSE({1,2},'[1]DIRETORES NTE'!$H$5:$H$31,'[1]DIRETORES NTE'!$E$5:$E$31,),2,0),"-")</f>
        <v>-</v>
      </c>
    </row>
    <row r="1246" spans="9:15" x14ac:dyDescent="0.25">
      <c r="I1246" s="13"/>
      <c r="M1246" s="14"/>
      <c r="O1246" t="str">
        <f>IFERROR(VLOOKUP($I1246,CHOOSE({1,2},'[1]DIRETORES NTE'!$H$5:$H$31,'[1]DIRETORES NTE'!$E$5:$E$31,),2,0),"-")</f>
        <v>-</v>
      </c>
    </row>
    <row r="1247" spans="9:15" x14ac:dyDescent="0.25">
      <c r="I1247" s="13"/>
      <c r="M1247" s="14"/>
      <c r="O1247" t="str">
        <f>IFERROR(VLOOKUP($I1247,CHOOSE({1,2},'[1]DIRETORES NTE'!$H$5:$H$31,'[1]DIRETORES NTE'!$E$5:$E$31,),2,0),"-")</f>
        <v>-</v>
      </c>
    </row>
    <row r="1248" spans="9:15" x14ac:dyDescent="0.25">
      <c r="I1248" s="13"/>
      <c r="M1248" s="14"/>
      <c r="O1248" t="str">
        <f>IFERROR(VLOOKUP($I1248,CHOOSE({1,2},'[1]DIRETORES NTE'!$H$5:$H$31,'[1]DIRETORES NTE'!$E$5:$E$31,),2,0),"-")</f>
        <v>-</v>
      </c>
    </row>
    <row r="1249" spans="9:15" x14ac:dyDescent="0.25">
      <c r="I1249" s="13"/>
      <c r="M1249" s="14"/>
      <c r="O1249" t="str">
        <f>IFERROR(VLOOKUP($I1249,CHOOSE({1,2},'[1]DIRETORES NTE'!$H$5:$H$31,'[1]DIRETORES NTE'!$E$5:$E$31,),2,0),"-")</f>
        <v>-</v>
      </c>
    </row>
    <row r="1250" spans="9:15" x14ac:dyDescent="0.25">
      <c r="I1250" s="13"/>
      <c r="M1250" s="14"/>
      <c r="O1250" t="str">
        <f>IFERROR(VLOOKUP($I1250,CHOOSE({1,2},'[1]DIRETORES NTE'!$H$5:$H$31,'[1]DIRETORES NTE'!$E$5:$E$31,),2,0),"-")</f>
        <v>-</v>
      </c>
    </row>
    <row r="1251" spans="9:15" x14ac:dyDescent="0.25">
      <c r="I1251" s="13"/>
      <c r="M1251" s="14"/>
      <c r="O1251" t="str">
        <f>IFERROR(VLOOKUP($I1251,CHOOSE({1,2},'[1]DIRETORES NTE'!$H$5:$H$31,'[1]DIRETORES NTE'!$E$5:$E$31,),2,0),"-")</f>
        <v>-</v>
      </c>
    </row>
    <row r="1252" spans="9:15" x14ac:dyDescent="0.25">
      <c r="I1252" s="13"/>
      <c r="M1252" s="14"/>
      <c r="O1252" t="str">
        <f>IFERROR(VLOOKUP($I1252,CHOOSE({1,2},'[1]DIRETORES NTE'!$H$5:$H$31,'[1]DIRETORES NTE'!$E$5:$E$31,),2,0),"-")</f>
        <v>-</v>
      </c>
    </row>
    <row r="1253" spans="9:15" x14ac:dyDescent="0.25">
      <c r="I1253" s="13"/>
      <c r="M1253" s="14"/>
      <c r="O1253" t="str">
        <f>IFERROR(VLOOKUP($I1253,CHOOSE({1,2},'[1]DIRETORES NTE'!$H$5:$H$31,'[1]DIRETORES NTE'!$E$5:$E$31,),2,0),"-")</f>
        <v>-</v>
      </c>
    </row>
    <row r="1254" spans="9:15" x14ac:dyDescent="0.25">
      <c r="I1254" s="13"/>
      <c r="M1254" s="14"/>
      <c r="O1254" t="str">
        <f>IFERROR(VLOOKUP($I1254,CHOOSE({1,2},'[1]DIRETORES NTE'!$H$5:$H$31,'[1]DIRETORES NTE'!$E$5:$E$31,),2,0),"-")</f>
        <v>-</v>
      </c>
    </row>
    <row r="1255" spans="9:15" x14ac:dyDescent="0.25">
      <c r="I1255" s="13"/>
      <c r="M1255" s="14"/>
      <c r="O1255" t="str">
        <f>IFERROR(VLOOKUP($I1255,CHOOSE({1,2},'[1]DIRETORES NTE'!$H$5:$H$31,'[1]DIRETORES NTE'!$E$5:$E$31,),2,0),"-")</f>
        <v>-</v>
      </c>
    </row>
    <row r="1256" spans="9:15" x14ac:dyDescent="0.25">
      <c r="I1256" s="13"/>
      <c r="M1256" s="14"/>
      <c r="O1256" t="str">
        <f>IFERROR(VLOOKUP($I1256,CHOOSE({1,2},'[1]DIRETORES NTE'!$H$5:$H$31,'[1]DIRETORES NTE'!$E$5:$E$31,),2,0),"-")</f>
        <v>-</v>
      </c>
    </row>
    <row r="1257" spans="9:15" x14ac:dyDescent="0.25">
      <c r="I1257" s="13"/>
      <c r="M1257" s="14"/>
      <c r="O1257" t="str">
        <f>IFERROR(VLOOKUP($I1257,CHOOSE({1,2},'[1]DIRETORES NTE'!$H$5:$H$31,'[1]DIRETORES NTE'!$E$5:$E$31,),2,0),"-")</f>
        <v>-</v>
      </c>
    </row>
    <row r="1258" spans="9:15" x14ac:dyDescent="0.25">
      <c r="I1258" s="13"/>
      <c r="M1258" s="14"/>
      <c r="O1258" t="str">
        <f>IFERROR(VLOOKUP($I1258,CHOOSE({1,2},'[1]DIRETORES NTE'!$H$5:$H$31,'[1]DIRETORES NTE'!$E$5:$E$31,),2,0),"-")</f>
        <v>-</v>
      </c>
    </row>
    <row r="1259" spans="9:15" x14ac:dyDescent="0.25">
      <c r="I1259" s="13"/>
      <c r="M1259" s="14"/>
      <c r="O1259" t="str">
        <f>IFERROR(VLOOKUP($I1259,CHOOSE({1,2},'[1]DIRETORES NTE'!$H$5:$H$31,'[1]DIRETORES NTE'!$E$5:$E$31,),2,0),"-")</f>
        <v>-</v>
      </c>
    </row>
    <row r="1260" spans="9:15" x14ac:dyDescent="0.25">
      <c r="I1260" s="13"/>
      <c r="M1260" s="14"/>
      <c r="O1260" t="str">
        <f>IFERROR(VLOOKUP($I1260,CHOOSE({1,2},'[1]DIRETORES NTE'!$H$5:$H$31,'[1]DIRETORES NTE'!$E$5:$E$31,),2,0),"-")</f>
        <v>-</v>
      </c>
    </row>
    <row r="1261" spans="9:15" x14ac:dyDescent="0.25">
      <c r="I1261" s="13"/>
      <c r="M1261" s="14"/>
      <c r="O1261" t="str">
        <f>IFERROR(VLOOKUP($I1261,CHOOSE({1,2},'[1]DIRETORES NTE'!$H$5:$H$31,'[1]DIRETORES NTE'!$E$5:$E$31,),2,0),"-")</f>
        <v>-</v>
      </c>
    </row>
    <row r="1262" spans="9:15" x14ac:dyDescent="0.25">
      <c r="I1262" s="13"/>
      <c r="M1262" s="14"/>
      <c r="O1262" t="str">
        <f>IFERROR(VLOOKUP($I1262,CHOOSE({1,2},'[1]DIRETORES NTE'!$H$5:$H$31,'[1]DIRETORES NTE'!$E$5:$E$31,),2,0),"-")</f>
        <v>-</v>
      </c>
    </row>
    <row r="1263" spans="9:15" x14ac:dyDescent="0.25">
      <c r="I1263" s="13"/>
      <c r="M1263" s="14"/>
      <c r="O1263" t="str">
        <f>IFERROR(VLOOKUP($I1263,CHOOSE({1,2},'[1]DIRETORES NTE'!$H$5:$H$31,'[1]DIRETORES NTE'!$E$5:$E$31,),2,0),"-")</f>
        <v>-</v>
      </c>
    </row>
    <row r="1264" spans="9:15" x14ac:dyDescent="0.25">
      <c r="I1264" s="13"/>
      <c r="M1264" s="14"/>
      <c r="O1264" t="str">
        <f>IFERROR(VLOOKUP($I1264,CHOOSE({1,2},'[1]DIRETORES NTE'!$H$5:$H$31,'[1]DIRETORES NTE'!$E$5:$E$31,),2,0),"-")</f>
        <v>-</v>
      </c>
    </row>
    <row r="1265" spans="9:15" x14ac:dyDescent="0.25">
      <c r="I1265" s="13"/>
      <c r="M1265" s="14"/>
      <c r="O1265" t="str">
        <f>IFERROR(VLOOKUP($I1265,CHOOSE({1,2},'[1]DIRETORES NTE'!$H$5:$H$31,'[1]DIRETORES NTE'!$E$5:$E$31,),2,0),"-")</f>
        <v>-</v>
      </c>
    </row>
    <row r="1266" spans="9:15" x14ac:dyDescent="0.25">
      <c r="I1266" s="13"/>
      <c r="M1266" s="14"/>
      <c r="O1266" t="str">
        <f>IFERROR(VLOOKUP($I1266,CHOOSE({1,2},'[1]DIRETORES NTE'!$H$5:$H$31,'[1]DIRETORES NTE'!$E$5:$E$31,),2,0),"-")</f>
        <v>-</v>
      </c>
    </row>
    <row r="1267" spans="9:15" x14ac:dyDescent="0.25">
      <c r="I1267" s="13"/>
      <c r="M1267" s="14"/>
      <c r="O1267" t="str">
        <f>IFERROR(VLOOKUP($I1267,CHOOSE({1,2},'[1]DIRETORES NTE'!$H$5:$H$31,'[1]DIRETORES NTE'!$E$5:$E$31,),2,0),"-")</f>
        <v>-</v>
      </c>
    </row>
    <row r="1268" spans="9:15" x14ac:dyDescent="0.25">
      <c r="I1268" s="13"/>
      <c r="M1268" s="14"/>
      <c r="O1268" t="str">
        <f>IFERROR(VLOOKUP($I1268,CHOOSE({1,2},'[1]DIRETORES NTE'!$H$5:$H$31,'[1]DIRETORES NTE'!$E$5:$E$31,),2,0),"-")</f>
        <v>-</v>
      </c>
    </row>
    <row r="1269" spans="9:15" x14ac:dyDescent="0.25">
      <c r="I1269" s="13"/>
      <c r="M1269" s="14"/>
      <c r="O1269" t="str">
        <f>IFERROR(VLOOKUP($I1269,CHOOSE({1,2},'[1]DIRETORES NTE'!$H$5:$H$31,'[1]DIRETORES NTE'!$E$5:$E$31,),2,0),"-")</f>
        <v>-</v>
      </c>
    </row>
    <row r="1270" spans="9:15" x14ac:dyDescent="0.25">
      <c r="I1270" s="13"/>
      <c r="M1270" s="14"/>
      <c r="O1270" t="str">
        <f>IFERROR(VLOOKUP($I1270,CHOOSE({1,2},'[1]DIRETORES NTE'!$H$5:$H$31,'[1]DIRETORES NTE'!$E$5:$E$31,),2,0),"-")</f>
        <v>-</v>
      </c>
    </row>
    <row r="1271" spans="9:15" x14ac:dyDescent="0.25">
      <c r="I1271" s="13"/>
      <c r="M1271" s="14"/>
      <c r="O1271" t="str">
        <f>IFERROR(VLOOKUP($I1271,CHOOSE({1,2},'[1]DIRETORES NTE'!$H$5:$H$31,'[1]DIRETORES NTE'!$E$5:$E$31,),2,0),"-")</f>
        <v>-</v>
      </c>
    </row>
    <row r="1272" spans="9:15" x14ac:dyDescent="0.25">
      <c r="I1272" s="13"/>
      <c r="M1272" s="14"/>
      <c r="O1272" t="str">
        <f>IFERROR(VLOOKUP($I1272,CHOOSE({1,2},'[1]DIRETORES NTE'!$H$5:$H$31,'[1]DIRETORES NTE'!$E$5:$E$31,),2,0),"-")</f>
        <v>-</v>
      </c>
    </row>
    <row r="1273" spans="9:15" x14ac:dyDescent="0.25">
      <c r="I1273" s="13"/>
      <c r="M1273" s="14"/>
      <c r="O1273" t="str">
        <f>IFERROR(VLOOKUP($I1273,CHOOSE({1,2},'[1]DIRETORES NTE'!$H$5:$H$31,'[1]DIRETORES NTE'!$E$5:$E$31,),2,0),"-")</f>
        <v>-</v>
      </c>
    </row>
    <row r="1274" spans="9:15" x14ac:dyDescent="0.25">
      <c r="I1274" s="13"/>
      <c r="M1274" s="14"/>
      <c r="O1274" t="str">
        <f>IFERROR(VLOOKUP($I1274,CHOOSE({1,2},'[1]DIRETORES NTE'!$H$5:$H$31,'[1]DIRETORES NTE'!$E$5:$E$31,),2,0),"-")</f>
        <v>-</v>
      </c>
    </row>
    <row r="1275" spans="9:15" x14ac:dyDescent="0.25">
      <c r="I1275" s="13"/>
      <c r="M1275" s="14"/>
      <c r="O1275" t="str">
        <f>IFERROR(VLOOKUP($I1275,CHOOSE({1,2},'[1]DIRETORES NTE'!$H$5:$H$31,'[1]DIRETORES NTE'!$E$5:$E$31,),2,0),"-")</f>
        <v>-</v>
      </c>
    </row>
    <row r="1276" spans="9:15" x14ac:dyDescent="0.25">
      <c r="I1276" s="13"/>
      <c r="M1276" s="14"/>
      <c r="O1276" t="str">
        <f>IFERROR(VLOOKUP($I1276,CHOOSE({1,2},'[1]DIRETORES NTE'!$H$5:$H$31,'[1]DIRETORES NTE'!$E$5:$E$31,),2,0),"-")</f>
        <v>-</v>
      </c>
    </row>
    <row r="1277" spans="9:15" x14ac:dyDescent="0.25">
      <c r="I1277" s="13"/>
      <c r="M1277" s="14"/>
      <c r="O1277" t="str">
        <f>IFERROR(VLOOKUP($I1277,CHOOSE({1,2},'[1]DIRETORES NTE'!$H$5:$H$31,'[1]DIRETORES NTE'!$E$5:$E$31,),2,0),"-")</f>
        <v>-</v>
      </c>
    </row>
    <row r="1278" spans="9:15" x14ac:dyDescent="0.25">
      <c r="I1278" s="13"/>
      <c r="M1278" s="14"/>
      <c r="O1278" t="str">
        <f>IFERROR(VLOOKUP($I1278,CHOOSE({1,2},'[1]DIRETORES NTE'!$H$5:$H$31,'[1]DIRETORES NTE'!$E$5:$E$31,),2,0),"-")</f>
        <v>-</v>
      </c>
    </row>
    <row r="1279" spans="9:15" x14ac:dyDescent="0.25">
      <c r="I1279" s="13"/>
      <c r="M1279" s="14"/>
      <c r="O1279" t="str">
        <f>IFERROR(VLOOKUP($I1279,CHOOSE({1,2},'[1]DIRETORES NTE'!$H$5:$H$31,'[1]DIRETORES NTE'!$E$5:$E$31,),2,0),"-")</f>
        <v>-</v>
      </c>
    </row>
    <row r="1280" spans="9:15" x14ac:dyDescent="0.25">
      <c r="I1280" s="13"/>
      <c r="M1280" s="14"/>
      <c r="O1280" t="str">
        <f>IFERROR(VLOOKUP($I1280,CHOOSE({1,2},'[1]DIRETORES NTE'!$H$5:$H$31,'[1]DIRETORES NTE'!$E$5:$E$31,),2,0),"-")</f>
        <v>-</v>
      </c>
    </row>
    <row r="1281" spans="9:15" x14ac:dyDescent="0.25">
      <c r="I1281" s="13"/>
      <c r="M1281" s="14"/>
      <c r="O1281" t="str">
        <f>IFERROR(VLOOKUP($I1281,CHOOSE({1,2},'[1]DIRETORES NTE'!$H$5:$H$31,'[1]DIRETORES NTE'!$E$5:$E$31,),2,0),"-")</f>
        <v>-</v>
      </c>
    </row>
    <row r="1282" spans="9:15" x14ac:dyDescent="0.25">
      <c r="I1282" s="13"/>
      <c r="M1282" s="14"/>
      <c r="O1282" t="str">
        <f>IFERROR(VLOOKUP($I1282,CHOOSE({1,2},'[1]DIRETORES NTE'!$H$5:$H$31,'[1]DIRETORES NTE'!$E$5:$E$31,),2,0),"-")</f>
        <v>-</v>
      </c>
    </row>
    <row r="1283" spans="9:15" x14ac:dyDescent="0.25">
      <c r="I1283" s="13"/>
      <c r="M1283" s="14"/>
      <c r="O1283" t="str">
        <f>IFERROR(VLOOKUP($I1283,CHOOSE({1,2},'[1]DIRETORES NTE'!$H$5:$H$31,'[1]DIRETORES NTE'!$E$5:$E$31,),2,0),"-")</f>
        <v>-</v>
      </c>
    </row>
    <row r="1284" spans="9:15" x14ac:dyDescent="0.25">
      <c r="I1284" s="13"/>
      <c r="M1284" s="14"/>
      <c r="O1284" t="str">
        <f>IFERROR(VLOOKUP($I1284,CHOOSE({1,2},'[1]DIRETORES NTE'!$H$5:$H$31,'[1]DIRETORES NTE'!$E$5:$E$31,),2,0),"-")</f>
        <v>-</v>
      </c>
    </row>
    <row r="1285" spans="9:15" x14ac:dyDescent="0.25">
      <c r="I1285" s="13"/>
      <c r="M1285" s="14"/>
      <c r="O1285" t="str">
        <f>IFERROR(VLOOKUP($I1285,CHOOSE({1,2},'[1]DIRETORES NTE'!$H$5:$H$31,'[1]DIRETORES NTE'!$E$5:$E$31,),2,0),"-")</f>
        <v>-</v>
      </c>
    </row>
    <row r="1286" spans="9:15" x14ac:dyDescent="0.25">
      <c r="I1286" s="13"/>
      <c r="M1286" s="14"/>
      <c r="O1286" t="str">
        <f>IFERROR(VLOOKUP($I1286,CHOOSE({1,2},'[1]DIRETORES NTE'!$H$5:$H$31,'[1]DIRETORES NTE'!$E$5:$E$31,),2,0),"-")</f>
        <v>-</v>
      </c>
    </row>
    <row r="1287" spans="9:15" x14ac:dyDescent="0.25">
      <c r="I1287" s="13"/>
      <c r="M1287" s="14"/>
      <c r="O1287" t="str">
        <f>IFERROR(VLOOKUP($I1287,CHOOSE({1,2},'[1]DIRETORES NTE'!$H$5:$H$31,'[1]DIRETORES NTE'!$E$5:$E$31,),2,0),"-")</f>
        <v>-</v>
      </c>
    </row>
    <row r="1288" spans="9:15" x14ac:dyDescent="0.25">
      <c r="I1288" s="13"/>
      <c r="M1288" s="14"/>
      <c r="O1288" t="str">
        <f>IFERROR(VLOOKUP($I1288,CHOOSE({1,2},'[1]DIRETORES NTE'!$H$5:$H$31,'[1]DIRETORES NTE'!$E$5:$E$31,),2,0),"-")</f>
        <v>-</v>
      </c>
    </row>
    <row r="1289" spans="9:15" x14ac:dyDescent="0.25">
      <c r="I1289" s="13"/>
      <c r="M1289" s="14"/>
      <c r="O1289" t="str">
        <f>IFERROR(VLOOKUP($I1289,CHOOSE({1,2},'[1]DIRETORES NTE'!$H$5:$H$31,'[1]DIRETORES NTE'!$E$5:$E$31,),2,0),"-")</f>
        <v>-</v>
      </c>
    </row>
    <row r="1290" spans="9:15" x14ac:dyDescent="0.25">
      <c r="I1290" s="13"/>
      <c r="M1290" s="14"/>
      <c r="O1290" t="str">
        <f>IFERROR(VLOOKUP($I1290,CHOOSE({1,2},'[1]DIRETORES NTE'!$H$5:$H$31,'[1]DIRETORES NTE'!$E$5:$E$31,),2,0),"-")</f>
        <v>-</v>
      </c>
    </row>
    <row r="1291" spans="9:15" x14ac:dyDescent="0.25">
      <c r="I1291" s="13"/>
      <c r="M1291" s="14"/>
      <c r="O1291" t="str">
        <f>IFERROR(VLOOKUP($I1291,CHOOSE({1,2},'[1]DIRETORES NTE'!$H$5:$H$31,'[1]DIRETORES NTE'!$E$5:$E$31,),2,0),"-")</f>
        <v>-</v>
      </c>
    </row>
    <row r="1292" spans="9:15" x14ac:dyDescent="0.25">
      <c r="I1292" s="13"/>
      <c r="M1292" s="14"/>
      <c r="O1292" t="str">
        <f>IFERROR(VLOOKUP($I1292,CHOOSE({1,2},'[1]DIRETORES NTE'!$H$5:$H$31,'[1]DIRETORES NTE'!$E$5:$E$31,),2,0),"-")</f>
        <v>-</v>
      </c>
    </row>
    <row r="1293" spans="9:15" x14ac:dyDescent="0.25">
      <c r="I1293" s="13"/>
      <c r="M1293" s="14"/>
      <c r="O1293" t="str">
        <f>IFERROR(VLOOKUP($I1293,CHOOSE({1,2},'[1]DIRETORES NTE'!$H$5:$H$31,'[1]DIRETORES NTE'!$E$5:$E$31,),2,0),"-")</f>
        <v>-</v>
      </c>
    </row>
    <row r="1294" spans="9:15" x14ac:dyDescent="0.25">
      <c r="I1294" s="13"/>
      <c r="M1294" s="14"/>
      <c r="O1294" t="str">
        <f>IFERROR(VLOOKUP($I1294,CHOOSE({1,2},'[1]DIRETORES NTE'!$H$5:$H$31,'[1]DIRETORES NTE'!$E$5:$E$31,),2,0),"-")</f>
        <v>-</v>
      </c>
    </row>
    <row r="1295" spans="9:15" x14ac:dyDescent="0.25">
      <c r="I1295" s="13"/>
      <c r="M1295" s="14"/>
      <c r="O1295" t="str">
        <f>IFERROR(VLOOKUP($I1295,CHOOSE({1,2},'[1]DIRETORES NTE'!$H$5:$H$31,'[1]DIRETORES NTE'!$E$5:$E$31,),2,0),"-")</f>
        <v>-</v>
      </c>
    </row>
    <row r="1296" spans="9:15" x14ac:dyDescent="0.25">
      <c r="I1296" s="13"/>
      <c r="M1296" s="14"/>
      <c r="O1296" t="str">
        <f>IFERROR(VLOOKUP($I1296,CHOOSE({1,2},'[1]DIRETORES NTE'!$H$5:$H$31,'[1]DIRETORES NTE'!$E$5:$E$31,),2,0),"-")</f>
        <v>-</v>
      </c>
    </row>
    <row r="1297" spans="9:15" x14ac:dyDescent="0.25">
      <c r="I1297" s="13"/>
      <c r="M1297" s="14"/>
      <c r="O1297" t="str">
        <f>IFERROR(VLOOKUP($I1297,CHOOSE({1,2},'[1]DIRETORES NTE'!$H$5:$H$31,'[1]DIRETORES NTE'!$E$5:$E$31,),2,0),"-")</f>
        <v>-</v>
      </c>
    </row>
    <row r="1298" spans="9:15" x14ac:dyDescent="0.25">
      <c r="I1298" s="13"/>
      <c r="M1298" s="14"/>
      <c r="O1298" t="str">
        <f>IFERROR(VLOOKUP($I1298,CHOOSE({1,2},'[1]DIRETORES NTE'!$H$5:$H$31,'[1]DIRETORES NTE'!$E$5:$E$31,),2,0),"-")</f>
        <v>-</v>
      </c>
    </row>
    <row r="1299" spans="9:15" x14ac:dyDescent="0.25">
      <c r="I1299" s="13"/>
      <c r="M1299" s="14"/>
      <c r="O1299" t="str">
        <f>IFERROR(VLOOKUP($I1299,CHOOSE({1,2},'[1]DIRETORES NTE'!$H$5:$H$31,'[1]DIRETORES NTE'!$E$5:$E$31,),2,0),"-")</f>
        <v>-</v>
      </c>
    </row>
    <row r="1300" spans="9:15" x14ac:dyDescent="0.25">
      <c r="I1300" s="13"/>
      <c r="M1300" s="14"/>
      <c r="O1300" t="str">
        <f>IFERROR(VLOOKUP($I1300,CHOOSE({1,2},'[1]DIRETORES NTE'!$H$5:$H$31,'[1]DIRETORES NTE'!$E$5:$E$31,),2,0),"-")</f>
        <v>-</v>
      </c>
    </row>
    <row r="1301" spans="9:15" x14ac:dyDescent="0.25">
      <c r="I1301" s="13"/>
      <c r="M1301" s="14"/>
      <c r="O1301" t="str">
        <f>IFERROR(VLOOKUP($I1301,CHOOSE({1,2},'[1]DIRETORES NTE'!$H$5:$H$31,'[1]DIRETORES NTE'!$E$5:$E$31,),2,0),"-")</f>
        <v>-</v>
      </c>
    </row>
    <row r="1302" spans="9:15" x14ac:dyDescent="0.25">
      <c r="I1302" s="13"/>
      <c r="M1302" s="14"/>
      <c r="O1302" t="str">
        <f>IFERROR(VLOOKUP($I1302,CHOOSE({1,2},'[1]DIRETORES NTE'!$H$5:$H$31,'[1]DIRETORES NTE'!$E$5:$E$31,),2,0),"-")</f>
        <v>-</v>
      </c>
    </row>
    <row r="1303" spans="9:15" x14ac:dyDescent="0.25">
      <c r="I1303" s="13"/>
      <c r="M1303" s="14"/>
      <c r="O1303" t="str">
        <f>IFERROR(VLOOKUP($I1303,CHOOSE({1,2},'[1]DIRETORES NTE'!$H$5:$H$31,'[1]DIRETORES NTE'!$E$5:$E$31,),2,0),"-")</f>
        <v>-</v>
      </c>
    </row>
    <row r="1304" spans="9:15" x14ac:dyDescent="0.25">
      <c r="I1304" s="13"/>
      <c r="M1304" s="14"/>
      <c r="O1304" t="str">
        <f>IFERROR(VLOOKUP($I1304,CHOOSE({1,2},'[1]DIRETORES NTE'!$H$5:$H$31,'[1]DIRETORES NTE'!$E$5:$E$31,),2,0),"-")</f>
        <v>-</v>
      </c>
    </row>
    <row r="1305" spans="9:15" x14ac:dyDescent="0.25">
      <c r="I1305" s="13"/>
      <c r="M1305" s="14"/>
      <c r="O1305" t="str">
        <f>IFERROR(VLOOKUP($I1305,CHOOSE({1,2},'[1]DIRETORES NTE'!$H$5:$H$31,'[1]DIRETORES NTE'!$E$5:$E$31,),2,0),"-")</f>
        <v>-</v>
      </c>
    </row>
    <row r="1306" spans="9:15" x14ac:dyDescent="0.25">
      <c r="I1306" s="13"/>
      <c r="M1306" s="14"/>
      <c r="O1306" t="str">
        <f>IFERROR(VLOOKUP($I1306,CHOOSE({1,2},'[1]DIRETORES NTE'!$H$5:$H$31,'[1]DIRETORES NTE'!$E$5:$E$31,),2,0),"-")</f>
        <v>-</v>
      </c>
    </row>
    <row r="1307" spans="9:15" x14ac:dyDescent="0.25">
      <c r="I1307" s="13"/>
      <c r="M1307" s="14"/>
      <c r="O1307" t="str">
        <f>IFERROR(VLOOKUP($I1307,CHOOSE({1,2},'[1]DIRETORES NTE'!$H$5:$H$31,'[1]DIRETORES NTE'!$E$5:$E$31,),2,0),"-")</f>
        <v>-</v>
      </c>
    </row>
    <row r="1308" spans="9:15" x14ac:dyDescent="0.25">
      <c r="I1308" s="13"/>
      <c r="M1308" s="14"/>
      <c r="O1308" t="str">
        <f>IFERROR(VLOOKUP($I1308,CHOOSE({1,2},'[1]DIRETORES NTE'!$H$5:$H$31,'[1]DIRETORES NTE'!$E$5:$E$31,),2,0),"-")</f>
        <v>-</v>
      </c>
    </row>
    <row r="1309" spans="9:15" x14ac:dyDescent="0.25">
      <c r="I1309" s="13"/>
      <c r="M1309" s="14"/>
      <c r="O1309" t="str">
        <f>IFERROR(VLOOKUP($I1309,CHOOSE({1,2},'[1]DIRETORES NTE'!$H$5:$H$31,'[1]DIRETORES NTE'!$E$5:$E$31,),2,0),"-")</f>
        <v>-</v>
      </c>
    </row>
    <row r="1310" spans="9:15" x14ac:dyDescent="0.25">
      <c r="I1310" s="13"/>
      <c r="M1310" s="14"/>
      <c r="O1310" t="str">
        <f>IFERROR(VLOOKUP($I1310,CHOOSE({1,2},'[1]DIRETORES NTE'!$H$5:$H$31,'[1]DIRETORES NTE'!$E$5:$E$31,),2,0),"-")</f>
        <v>-</v>
      </c>
    </row>
    <row r="1311" spans="9:15" x14ac:dyDescent="0.25">
      <c r="I1311" s="13"/>
      <c r="M1311" s="14"/>
      <c r="O1311" t="str">
        <f>IFERROR(VLOOKUP($I1311,CHOOSE({1,2},'[1]DIRETORES NTE'!$H$5:$H$31,'[1]DIRETORES NTE'!$E$5:$E$31,),2,0),"-")</f>
        <v>-</v>
      </c>
    </row>
    <row r="1312" spans="9:15" x14ac:dyDescent="0.25">
      <c r="I1312" s="13"/>
      <c r="M1312" s="14"/>
      <c r="O1312" t="str">
        <f>IFERROR(VLOOKUP($I1312,CHOOSE({1,2},'[1]DIRETORES NTE'!$H$5:$H$31,'[1]DIRETORES NTE'!$E$5:$E$31,),2,0),"-")</f>
        <v>-</v>
      </c>
    </row>
    <row r="1313" spans="9:15" x14ac:dyDescent="0.25">
      <c r="I1313" s="13"/>
      <c r="M1313" s="14"/>
      <c r="O1313" t="str">
        <f>IFERROR(VLOOKUP($I1313,CHOOSE({1,2},'[1]DIRETORES NTE'!$H$5:$H$31,'[1]DIRETORES NTE'!$E$5:$E$31,),2,0),"-")</f>
        <v>-</v>
      </c>
    </row>
    <row r="1314" spans="9:15" x14ac:dyDescent="0.25">
      <c r="I1314" s="13"/>
      <c r="M1314" s="14"/>
      <c r="O1314" t="str">
        <f>IFERROR(VLOOKUP($I1314,CHOOSE({1,2},'[1]DIRETORES NTE'!$H$5:$H$31,'[1]DIRETORES NTE'!$E$5:$E$31,),2,0),"-")</f>
        <v>-</v>
      </c>
    </row>
    <row r="1315" spans="9:15" x14ac:dyDescent="0.25">
      <c r="I1315" s="13"/>
      <c r="M1315" s="14"/>
      <c r="O1315" t="str">
        <f>IFERROR(VLOOKUP($I1315,CHOOSE({1,2},'[1]DIRETORES NTE'!$H$5:$H$31,'[1]DIRETORES NTE'!$E$5:$E$31,),2,0),"-")</f>
        <v>-</v>
      </c>
    </row>
    <row r="1316" spans="9:15" x14ac:dyDescent="0.25">
      <c r="I1316" s="13"/>
      <c r="M1316" s="14"/>
      <c r="O1316" t="str">
        <f>IFERROR(VLOOKUP($I1316,CHOOSE({1,2},'[1]DIRETORES NTE'!$H$5:$H$31,'[1]DIRETORES NTE'!$E$5:$E$31,),2,0),"-")</f>
        <v>-</v>
      </c>
    </row>
    <row r="1317" spans="9:15" x14ac:dyDescent="0.25">
      <c r="I1317" s="13"/>
      <c r="M1317" s="14"/>
      <c r="O1317" t="str">
        <f>IFERROR(VLOOKUP($I1317,CHOOSE({1,2},'[1]DIRETORES NTE'!$H$5:$H$31,'[1]DIRETORES NTE'!$E$5:$E$31,),2,0),"-")</f>
        <v>-</v>
      </c>
    </row>
    <row r="1318" spans="9:15" x14ac:dyDescent="0.25">
      <c r="I1318" s="13"/>
      <c r="M1318" s="14"/>
      <c r="O1318" t="str">
        <f>IFERROR(VLOOKUP($I1318,CHOOSE({1,2},'[1]DIRETORES NTE'!$H$5:$H$31,'[1]DIRETORES NTE'!$E$5:$E$31,),2,0),"-")</f>
        <v>-</v>
      </c>
    </row>
    <row r="1319" spans="9:15" x14ac:dyDescent="0.25">
      <c r="I1319" s="13"/>
      <c r="M1319" s="14"/>
      <c r="O1319" t="str">
        <f>IFERROR(VLOOKUP($I1319,CHOOSE({1,2},'[1]DIRETORES NTE'!$H$5:$H$31,'[1]DIRETORES NTE'!$E$5:$E$31,),2,0),"-")</f>
        <v>-</v>
      </c>
    </row>
    <row r="1320" spans="9:15" x14ac:dyDescent="0.25">
      <c r="I1320" s="13"/>
      <c r="M1320" s="14"/>
      <c r="O1320" t="str">
        <f>IFERROR(VLOOKUP($I1320,CHOOSE({1,2},'[1]DIRETORES NTE'!$H$5:$H$31,'[1]DIRETORES NTE'!$E$5:$E$31,),2,0),"-")</f>
        <v>-</v>
      </c>
    </row>
    <row r="1321" spans="9:15" x14ac:dyDescent="0.25">
      <c r="I1321" s="13"/>
      <c r="M1321" s="14"/>
      <c r="O1321" t="str">
        <f>IFERROR(VLOOKUP($I1321,CHOOSE({1,2},'[1]DIRETORES NTE'!$H$5:$H$31,'[1]DIRETORES NTE'!$E$5:$E$31,),2,0),"-")</f>
        <v>-</v>
      </c>
    </row>
    <row r="1322" spans="9:15" x14ac:dyDescent="0.25">
      <c r="I1322" s="13"/>
      <c r="M1322" s="14"/>
      <c r="O1322" t="str">
        <f>IFERROR(VLOOKUP($I1322,CHOOSE({1,2},'[1]DIRETORES NTE'!$H$5:$H$31,'[1]DIRETORES NTE'!$E$5:$E$31,),2,0),"-")</f>
        <v>-</v>
      </c>
    </row>
    <row r="1323" spans="9:15" x14ac:dyDescent="0.25">
      <c r="I1323" s="13"/>
      <c r="M1323" s="14"/>
      <c r="O1323" t="str">
        <f>IFERROR(VLOOKUP($I1323,CHOOSE({1,2},'[1]DIRETORES NTE'!$H$5:$H$31,'[1]DIRETORES NTE'!$E$5:$E$31,),2,0),"-")</f>
        <v>-</v>
      </c>
    </row>
    <row r="1324" spans="9:15" x14ac:dyDescent="0.25">
      <c r="I1324" s="13"/>
      <c r="M1324" s="14"/>
      <c r="O1324" t="str">
        <f>IFERROR(VLOOKUP($I1324,CHOOSE({1,2},'[1]DIRETORES NTE'!$H$5:$H$31,'[1]DIRETORES NTE'!$E$5:$E$31,),2,0),"-")</f>
        <v>-</v>
      </c>
    </row>
    <row r="1325" spans="9:15" x14ac:dyDescent="0.25">
      <c r="I1325" s="13"/>
      <c r="M1325" s="14"/>
      <c r="O1325" t="str">
        <f>IFERROR(VLOOKUP($I1325,CHOOSE({1,2},'[1]DIRETORES NTE'!$H$5:$H$31,'[1]DIRETORES NTE'!$E$5:$E$31,),2,0),"-")</f>
        <v>-</v>
      </c>
    </row>
    <row r="1326" spans="9:15" x14ac:dyDescent="0.25">
      <c r="I1326" s="13"/>
      <c r="M1326" s="14"/>
      <c r="O1326" t="str">
        <f>IFERROR(VLOOKUP($I1326,CHOOSE({1,2},'[1]DIRETORES NTE'!$H$5:$H$31,'[1]DIRETORES NTE'!$E$5:$E$31,),2,0),"-")</f>
        <v>-</v>
      </c>
    </row>
    <row r="1327" spans="9:15" x14ac:dyDescent="0.25">
      <c r="I1327" s="13"/>
      <c r="M1327" s="14"/>
      <c r="O1327" t="str">
        <f>IFERROR(VLOOKUP($I1327,CHOOSE({1,2},'[1]DIRETORES NTE'!$H$5:$H$31,'[1]DIRETORES NTE'!$E$5:$E$31,),2,0),"-")</f>
        <v>-</v>
      </c>
    </row>
    <row r="1328" spans="9:15" x14ac:dyDescent="0.25">
      <c r="I1328" s="13"/>
      <c r="M1328" s="14"/>
      <c r="O1328" t="str">
        <f>IFERROR(VLOOKUP($I1328,CHOOSE({1,2},'[1]DIRETORES NTE'!$H$5:$H$31,'[1]DIRETORES NTE'!$E$5:$E$31,),2,0),"-")</f>
        <v>-</v>
      </c>
    </row>
    <row r="1329" spans="9:15" x14ac:dyDescent="0.25">
      <c r="I1329" s="13"/>
      <c r="M1329" s="14"/>
      <c r="O1329" t="str">
        <f>IFERROR(VLOOKUP($I1329,CHOOSE({1,2},'[1]DIRETORES NTE'!$H$5:$H$31,'[1]DIRETORES NTE'!$E$5:$E$31,),2,0),"-")</f>
        <v>-</v>
      </c>
    </row>
    <row r="1330" spans="9:15" x14ac:dyDescent="0.25">
      <c r="I1330" s="13"/>
      <c r="M1330" s="14"/>
      <c r="O1330" t="str">
        <f>IFERROR(VLOOKUP($I1330,CHOOSE({1,2},'[1]DIRETORES NTE'!$H$5:$H$31,'[1]DIRETORES NTE'!$E$5:$E$31,),2,0),"-")</f>
        <v>-</v>
      </c>
    </row>
    <row r="1331" spans="9:15" x14ac:dyDescent="0.25">
      <c r="I1331" s="13"/>
      <c r="M1331" s="14"/>
      <c r="O1331" t="str">
        <f>IFERROR(VLOOKUP($I1331,CHOOSE({1,2},'[1]DIRETORES NTE'!$H$5:$H$31,'[1]DIRETORES NTE'!$E$5:$E$31,),2,0),"-")</f>
        <v>-</v>
      </c>
    </row>
    <row r="1332" spans="9:15" x14ac:dyDescent="0.25">
      <c r="I1332" s="13"/>
      <c r="M1332" s="14"/>
      <c r="O1332" t="str">
        <f>IFERROR(VLOOKUP($I1332,CHOOSE({1,2},'[1]DIRETORES NTE'!$H$5:$H$31,'[1]DIRETORES NTE'!$E$5:$E$31,),2,0),"-")</f>
        <v>-</v>
      </c>
    </row>
    <row r="1333" spans="9:15" x14ac:dyDescent="0.25">
      <c r="I1333" s="13"/>
      <c r="M1333" s="14"/>
      <c r="O1333" t="str">
        <f>IFERROR(VLOOKUP($I1333,CHOOSE({1,2},'[1]DIRETORES NTE'!$H$5:$H$31,'[1]DIRETORES NTE'!$E$5:$E$31,),2,0),"-")</f>
        <v>-</v>
      </c>
    </row>
    <row r="1334" spans="9:15" x14ac:dyDescent="0.25">
      <c r="I1334" s="13"/>
      <c r="M1334" s="14"/>
      <c r="O1334" t="str">
        <f>IFERROR(VLOOKUP($I1334,CHOOSE({1,2},'[1]DIRETORES NTE'!$H$5:$H$31,'[1]DIRETORES NTE'!$E$5:$E$31,),2,0),"-")</f>
        <v>-</v>
      </c>
    </row>
    <row r="1335" spans="9:15" x14ac:dyDescent="0.25">
      <c r="I1335" s="13"/>
      <c r="M1335" s="14"/>
      <c r="O1335" t="str">
        <f>IFERROR(VLOOKUP($I1335,CHOOSE({1,2},'[1]DIRETORES NTE'!$H$5:$H$31,'[1]DIRETORES NTE'!$E$5:$E$31,),2,0),"-")</f>
        <v>-</v>
      </c>
    </row>
    <row r="1336" spans="9:15" x14ac:dyDescent="0.25">
      <c r="I1336" s="13"/>
      <c r="M1336" s="14"/>
      <c r="O1336" t="str">
        <f>IFERROR(VLOOKUP($I1336,CHOOSE({1,2},'[1]DIRETORES NTE'!$H$5:$H$31,'[1]DIRETORES NTE'!$E$5:$E$31,),2,0),"-")</f>
        <v>-</v>
      </c>
    </row>
    <row r="1337" spans="9:15" x14ac:dyDescent="0.25">
      <c r="I1337" s="13"/>
      <c r="M1337" s="14"/>
      <c r="O1337" t="str">
        <f>IFERROR(VLOOKUP($I1337,CHOOSE({1,2},'[1]DIRETORES NTE'!$H$5:$H$31,'[1]DIRETORES NTE'!$E$5:$E$31,),2,0),"-")</f>
        <v>-</v>
      </c>
    </row>
    <row r="1338" spans="9:15" x14ac:dyDescent="0.25">
      <c r="I1338" s="13"/>
      <c r="M1338" s="14"/>
      <c r="O1338" t="str">
        <f>IFERROR(VLOOKUP($I1338,CHOOSE({1,2},'[1]DIRETORES NTE'!$H$5:$H$31,'[1]DIRETORES NTE'!$E$5:$E$31,),2,0),"-")</f>
        <v>-</v>
      </c>
    </row>
    <row r="1339" spans="9:15" x14ac:dyDescent="0.25">
      <c r="I1339" s="13"/>
      <c r="M1339" s="14"/>
      <c r="O1339" t="str">
        <f>IFERROR(VLOOKUP($I1339,CHOOSE({1,2},'[1]DIRETORES NTE'!$H$5:$H$31,'[1]DIRETORES NTE'!$E$5:$E$31,),2,0),"-")</f>
        <v>-</v>
      </c>
    </row>
    <row r="1340" spans="9:15" x14ac:dyDescent="0.25">
      <c r="I1340" s="13"/>
      <c r="M1340" s="14"/>
      <c r="O1340" t="str">
        <f>IFERROR(VLOOKUP($I1340,CHOOSE({1,2},'[1]DIRETORES NTE'!$H$5:$H$31,'[1]DIRETORES NTE'!$E$5:$E$31,),2,0),"-")</f>
        <v>-</v>
      </c>
    </row>
    <row r="1341" spans="9:15" x14ac:dyDescent="0.25">
      <c r="I1341" s="13"/>
      <c r="M1341" s="14"/>
      <c r="O1341" t="str">
        <f>IFERROR(VLOOKUP($I1341,CHOOSE({1,2},'[1]DIRETORES NTE'!$H$5:$H$31,'[1]DIRETORES NTE'!$E$5:$E$31,),2,0),"-")</f>
        <v>-</v>
      </c>
    </row>
    <row r="1342" spans="9:15" x14ac:dyDescent="0.25">
      <c r="I1342" s="13"/>
      <c r="M1342" s="14"/>
      <c r="O1342" t="str">
        <f>IFERROR(VLOOKUP($I1342,CHOOSE({1,2},'[1]DIRETORES NTE'!$H$5:$H$31,'[1]DIRETORES NTE'!$E$5:$E$31,),2,0),"-")</f>
        <v>-</v>
      </c>
    </row>
    <row r="1343" spans="9:15" x14ac:dyDescent="0.25">
      <c r="I1343" s="13"/>
      <c r="M1343" s="14"/>
      <c r="O1343" t="str">
        <f>IFERROR(VLOOKUP($I1343,CHOOSE({1,2},'[1]DIRETORES NTE'!$H$5:$H$31,'[1]DIRETORES NTE'!$E$5:$E$31,),2,0),"-")</f>
        <v>-</v>
      </c>
    </row>
    <row r="1344" spans="9:15" x14ac:dyDescent="0.25">
      <c r="I1344" s="13"/>
      <c r="M1344" s="14"/>
      <c r="O1344" t="str">
        <f>IFERROR(VLOOKUP($I1344,CHOOSE({1,2},'[1]DIRETORES NTE'!$H$5:$H$31,'[1]DIRETORES NTE'!$E$5:$E$31,),2,0),"-")</f>
        <v>-</v>
      </c>
    </row>
    <row r="1345" spans="9:15" x14ac:dyDescent="0.25">
      <c r="I1345" s="13"/>
      <c r="M1345" s="14"/>
      <c r="O1345" t="str">
        <f>IFERROR(VLOOKUP($I1345,CHOOSE({1,2},'[1]DIRETORES NTE'!$H$5:$H$31,'[1]DIRETORES NTE'!$E$5:$E$31,),2,0),"-")</f>
        <v>-</v>
      </c>
    </row>
    <row r="1346" spans="9:15" x14ac:dyDescent="0.25">
      <c r="I1346" s="13"/>
      <c r="M1346" s="14"/>
      <c r="O1346" t="str">
        <f>IFERROR(VLOOKUP($I1346,CHOOSE({1,2},'[1]DIRETORES NTE'!$H$5:$H$31,'[1]DIRETORES NTE'!$E$5:$E$31,),2,0),"-")</f>
        <v>-</v>
      </c>
    </row>
    <row r="1347" spans="9:15" x14ac:dyDescent="0.25">
      <c r="I1347" s="13"/>
      <c r="M1347" s="14"/>
      <c r="O1347" t="str">
        <f>IFERROR(VLOOKUP($I1347,CHOOSE({1,2},'[1]DIRETORES NTE'!$H$5:$H$31,'[1]DIRETORES NTE'!$E$5:$E$31,),2,0),"-")</f>
        <v>-</v>
      </c>
    </row>
    <row r="1348" spans="9:15" x14ac:dyDescent="0.25">
      <c r="I1348" s="13"/>
      <c r="M1348" s="14"/>
      <c r="O1348" t="str">
        <f>IFERROR(VLOOKUP($I1348,CHOOSE({1,2},'[1]DIRETORES NTE'!$H$5:$H$31,'[1]DIRETORES NTE'!$E$5:$E$31,),2,0),"-")</f>
        <v>-</v>
      </c>
    </row>
    <row r="1349" spans="9:15" x14ac:dyDescent="0.25">
      <c r="I1349" s="13"/>
      <c r="M1349" s="14"/>
      <c r="O1349" t="str">
        <f>IFERROR(VLOOKUP($I1349,CHOOSE({1,2},'[1]DIRETORES NTE'!$H$5:$H$31,'[1]DIRETORES NTE'!$E$5:$E$31,),2,0),"-")</f>
        <v>-</v>
      </c>
    </row>
    <row r="1350" spans="9:15" x14ac:dyDescent="0.25">
      <c r="I1350" s="13"/>
      <c r="M1350" s="14"/>
      <c r="O1350" t="str">
        <f>IFERROR(VLOOKUP($I1350,CHOOSE({1,2},'[1]DIRETORES NTE'!$H$5:$H$31,'[1]DIRETORES NTE'!$E$5:$E$31,),2,0),"-")</f>
        <v>-</v>
      </c>
    </row>
    <row r="1351" spans="9:15" x14ac:dyDescent="0.25">
      <c r="I1351" s="13"/>
      <c r="M1351" s="14"/>
      <c r="O1351" t="str">
        <f>IFERROR(VLOOKUP($I1351,CHOOSE({1,2},'[1]DIRETORES NTE'!$H$5:$H$31,'[1]DIRETORES NTE'!$E$5:$E$31,),2,0),"-")</f>
        <v>-</v>
      </c>
    </row>
    <row r="1352" spans="9:15" x14ac:dyDescent="0.25">
      <c r="I1352" s="13"/>
      <c r="M1352" s="14"/>
      <c r="O1352" t="str">
        <f>IFERROR(VLOOKUP($I1352,CHOOSE({1,2},'[1]DIRETORES NTE'!$H$5:$H$31,'[1]DIRETORES NTE'!$E$5:$E$31,),2,0),"-")</f>
        <v>-</v>
      </c>
    </row>
    <row r="1353" spans="9:15" x14ac:dyDescent="0.25">
      <c r="I1353" s="13"/>
      <c r="M1353" s="14"/>
      <c r="O1353" t="str">
        <f>IFERROR(VLOOKUP($I1353,CHOOSE({1,2},'[1]DIRETORES NTE'!$H$5:$H$31,'[1]DIRETORES NTE'!$E$5:$E$31,),2,0),"-")</f>
        <v>-</v>
      </c>
    </row>
    <row r="1354" spans="9:15" x14ac:dyDescent="0.25">
      <c r="I1354" s="13"/>
      <c r="M1354" s="14"/>
      <c r="O1354" t="str">
        <f>IFERROR(VLOOKUP($I1354,CHOOSE({1,2},'[1]DIRETORES NTE'!$H$5:$H$31,'[1]DIRETORES NTE'!$E$5:$E$31,),2,0),"-")</f>
        <v>-</v>
      </c>
    </row>
    <row r="1355" spans="9:15" x14ac:dyDescent="0.25">
      <c r="I1355" s="13"/>
      <c r="M1355" s="14"/>
      <c r="O1355" t="str">
        <f>IFERROR(VLOOKUP($I1355,CHOOSE({1,2},'[1]DIRETORES NTE'!$H$5:$H$31,'[1]DIRETORES NTE'!$E$5:$E$31,),2,0),"-")</f>
        <v>-</v>
      </c>
    </row>
    <row r="1356" spans="9:15" x14ac:dyDescent="0.25">
      <c r="I1356" s="13"/>
      <c r="M1356" s="14"/>
      <c r="O1356" t="str">
        <f>IFERROR(VLOOKUP($I1356,CHOOSE({1,2},'[1]DIRETORES NTE'!$H$5:$H$31,'[1]DIRETORES NTE'!$E$5:$E$31,),2,0),"-")</f>
        <v>-</v>
      </c>
    </row>
    <row r="1357" spans="9:15" x14ac:dyDescent="0.25">
      <c r="I1357" s="13"/>
      <c r="M1357" s="14"/>
      <c r="O1357" t="str">
        <f>IFERROR(VLOOKUP($I1357,CHOOSE({1,2},'[1]DIRETORES NTE'!$H$5:$H$31,'[1]DIRETORES NTE'!$E$5:$E$31,),2,0),"-")</f>
        <v>-</v>
      </c>
    </row>
    <row r="1358" spans="9:15" x14ac:dyDescent="0.25">
      <c r="I1358" s="13"/>
      <c r="M1358" s="14"/>
      <c r="O1358" t="str">
        <f>IFERROR(VLOOKUP($I1358,CHOOSE({1,2},'[1]DIRETORES NTE'!$H$5:$H$31,'[1]DIRETORES NTE'!$E$5:$E$31,),2,0),"-")</f>
        <v>-</v>
      </c>
    </row>
    <row r="1359" spans="9:15" x14ac:dyDescent="0.25">
      <c r="I1359" s="13"/>
      <c r="M1359" s="14"/>
      <c r="O1359" t="str">
        <f>IFERROR(VLOOKUP($I1359,CHOOSE({1,2},'[1]DIRETORES NTE'!$H$5:$H$31,'[1]DIRETORES NTE'!$E$5:$E$31,),2,0),"-")</f>
        <v>-</v>
      </c>
    </row>
    <row r="1360" spans="9:15" x14ac:dyDescent="0.25">
      <c r="I1360" s="13"/>
      <c r="M1360" s="14"/>
      <c r="O1360" t="str">
        <f>IFERROR(VLOOKUP($I1360,CHOOSE({1,2},'[1]DIRETORES NTE'!$H$5:$H$31,'[1]DIRETORES NTE'!$E$5:$E$31,),2,0),"-")</f>
        <v>-</v>
      </c>
    </row>
    <row r="1361" spans="9:15" x14ac:dyDescent="0.25">
      <c r="I1361" s="13"/>
      <c r="M1361" s="14"/>
      <c r="O1361" t="str">
        <f>IFERROR(VLOOKUP($I1361,CHOOSE({1,2},'[1]DIRETORES NTE'!$H$5:$H$31,'[1]DIRETORES NTE'!$E$5:$E$31,),2,0),"-")</f>
        <v>-</v>
      </c>
    </row>
    <row r="1362" spans="9:15" x14ac:dyDescent="0.25">
      <c r="I1362" s="13"/>
      <c r="M1362" s="14"/>
      <c r="O1362" t="str">
        <f>IFERROR(VLOOKUP($I1362,CHOOSE({1,2},'[1]DIRETORES NTE'!$H$5:$H$31,'[1]DIRETORES NTE'!$E$5:$E$31,),2,0),"-")</f>
        <v>-</v>
      </c>
    </row>
    <row r="1363" spans="9:15" x14ac:dyDescent="0.25">
      <c r="I1363" s="13"/>
      <c r="M1363" s="14"/>
      <c r="O1363" t="str">
        <f>IFERROR(VLOOKUP($I1363,CHOOSE({1,2},'[1]DIRETORES NTE'!$H$5:$H$31,'[1]DIRETORES NTE'!$E$5:$E$31,),2,0),"-")</f>
        <v>-</v>
      </c>
    </row>
    <row r="1364" spans="9:15" x14ac:dyDescent="0.25">
      <c r="I1364" s="13"/>
      <c r="M1364" s="14"/>
      <c r="O1364" t="str">
        <f>IFERROR(VLOOKUP($I1364,CHOOSE({1,2},'[1]DIRETORES NTE'!$H$5:$H$31,'[1]DIRETORES NTE'!$E$5:$E$31,),2,0),"-")</f>
        <v>-</v>
      </c>
    </row>
    <row r="1365" spans="9:15" x14ac:dyDescent="0.25">
      <c r="I1365" s="13"/>
      <c r="M1365" s="14"/>
      <c r="O1365" t="str">
        <f>IFERROR(VLOOKUP($I1365,CHOOSE({1,2},'[1]DIRETORES NTE'!$H$5:$H$31,'[1]DIRETORES NTE'!$E$5:$E$31,),2,0),"-")</f>
        <v>-</v>
      </c>
    </row>
    <row r="1366" spans="9:15" x14ac:dyDescent="0.25">
      <c r="I1366" s="13"/>
      <c r="M1366" s="14"/>
      <c r="O1366" t="str">
        <f>IFERROR(VLOOKUP($I1366,CHOOSE({1,2},'[1]DIRETORES NTE'!$H$5:$H$31,'[1]DIRETORES NTE'!$E$5:$E$31,),2,0),"-")</f>
        <v>-</v>
      </c>
    </row>
    <row r="1367" spans="9:15" x14ac:dyDescent="0.25">
      <c r="I1367" s="13"/>
      <c r="M1367" s="14"/>
      <c r="O1367" t="str">
        <f>IFERROR(VLOOKUP($I1367,CHOOSE({1,2},'[1]DIRETORES NTE'!$H$5:$H$31,'[1]DIRETORES NTE'!$E$5:$E$31,),2,0),"-")</f>
        <v>-</v>
      </c>
    </row>
    <row r="1368" spans="9:15" x14ac:dyDescent="0.25">
      <c r="I1368" s="13"/>
      <c r="M1368" s="14"/>
      <c r="O1368" t="str">
        <f>IFERROR(VLOOKUP($I1368,CHOOSE({1,2},'[1]DIRETORES NTE'!$H$5:$H$31,'[1]DIRETORES NTE'!$E$5:$E$31,),2,0),"-")</f>
        <v>-</v>
      </c>
    </row>
    <row r="1369" spans="9:15" x14ac:dyDescent="0.25">
      <c r="I1369" s="13"/>
      <c r="M1369" s="14"/>
      <c r="O1369" t="str">
        <f>IFERROR(VLOOKUP($I1369,CHOOSE({1,2},'[1]DIRETORES NTE'!$H$5:$H$31,'[1]DIRETORES NTE'!$E$5:$E$31,),2,0),"-")</f>
        <v>-</v>
      </c>
    </row>
    <row r="1370" spans="9:15" x14ac:dyDescent="0.25">
      <c r="I1370" s="13"/>
      <c r="M1370" s="14"/>
      <c r="O1370" t="str">
        <f>IFERROR(VLOOKUP($I1370,CHOOSE({1,2},'[1]DIRETORES NTE'!$H$5:$H$31,'[1]DIRETORES NTE'!$E$5:$E$31,),2,0),"-")</f>
        <v>-</v>
      </c>
    </row>
    <row r="1371" spans="9:15" x14ac:dyDescent="0.25">
      <c r="I1371" s="13"/>
      <c r="M1371" s="14"/>
      <c r="O1371" t="str">
        <f>IFERROR(VLOOKUP($I1371,CHOOSE({1,2},'[1]DIRETORES NTE'!$H$5:$H$31,'[1]DIRETORES NTE'!$E$5:$E$31,),2,0),"-")</f>
        <v>-</v>
      </c>
    </row>
    <row r="1372" spans="9:15" x14ac:dyDescent="0.25">
      <c r="I1372" s="13"/>
      <c r="M1372" s="14"/>
      <c r="O1372" t="str">
        <f>IFERROR(VLOOKUP($I1372,CHOOSE({1,2},'[1]DIRETORES NTE'!$H$5:$H$31,'[1]DIRETORES NTE'!$E$5:$E$31,),2,0),"-")</f>
        <v>-</v>
      </c>
    </row>
    <row r="1373" spans="9:15" x14ac:dyDescent="0.25">
      <c r="I1373" s="13"/>
      <c r="M1373" s="14"/>
      <c r="O1373" t="str">
        <f>IFERROR(VLOOKUP($I1373,CHOOSE({1,2},'[1]DIRETORES NTE'!$H$5:$H$31,'[1]DIRETORES NTE'!$E$5:$E$31,),2,0),"-")</f>
        <v>-</v>
      </c>
    </row>
    <row r="1374" spans="9:15" x14ac:dyDescent="0.25">
      <c r="I1374" s="13"/>
      <c r="M1374" s="14"/>
      <c r="O1374" t="str">
        <f>IFERROR(VLOOKUP($I1374,CHOOSE({1,2},'[1]DIRETORES NTE'!$H$5:$H$31,'[1]DIRETORES NTE'!$E$5:$E$31,),2,0),"-")</f>
        <v>-</v>
      </c>
    </row>
    <row r="1375" spans="9:15" x14ac:dyDescent="0.25">
      <c r="I1375" s="13"/>
      <c r="M1375" s="14"/>
      <c r="O1375" t="str">
        <f>IFERROR(VLOOKUP($I1375,CHOOSE({1,2},'[1]DIRETORES NTE'!$H$5:$H$31,'[1]DIRETORES NTE'!$E$5:$E$31,),2,0),"-")</f>
        <v>-</v>
      </c>
    </row>
    <row r="1376" spans="9:15" x14ac:dyDescent="0.25">
      <c r="I1376" s="13"/>
      <c r="M1376" s="14"/>
      <c r="O1376" t="str">
        <f>IFERROR(VLOOKUP($I1376,CHOOSE({1,2},'[1]DIRETORES NTE'!$H$5:$H$31,'[1]DIRETORES NTE'!$E$5:$E$31,),2,0),"-")</f>
        <v>-</v>
      </c>
    </row>
    <row r="1377" spans="9:15" x14ac:dyDescent="0.25">
      <c r="I1377" s="13"/>
      <c r="M1377" s="14"/>
      <c r="O1377" t="str">
        <f>IFERROR(VLOOKUP($I1377,CHOOSE({1,2},'[1]DIRETORES NTE'!$H$5:$H$31,'[1]DIRETORES NTE'!$E$5:$E$31,),2,0),"-")</f>
        <v>-</v>
      </c>
    </row>
    <row r="1378" spans="9:15" x14ac:dyDescent="0.25">
      <c r="I1378" s="13"/>
      <c r="M1378" s="14"/>
      <c r="O1378" t="str">
        <f>IFERROR(VLOOKUP($I1378,CHOOSE({1,2},'[1]DIRETORES NTE'!$H$5:$H$31,'[1]DIRETORES NTE'!$E$5:$E$31,),2,0),"-")</f>
        <v>-</v>
      </c>
    </row>
    <row r="1379" spans="9:15" x14ac:dyDescent="0.25">
      <c r="I1379" s="13"/>
      <c r="M1379" s="14"/>
      <c r="O1379" t="str">
        <f>IFERROR(VLOOKUP($I1379,CHOOSE({1,2},'[1]DIRETORES NTE'!$H$5:$H$31,'[1]DIRETORES NTE'!$E$5:$E$31,),2,0),"-")</f>
        <v>-</v>
      </c>
    </row>
    <row r="1380" spans="9:15" x14ac:dyDescent="0.25">
      <c r="I1380" s="13"/>
      <c r="M1380" s="14"/>
      <c r="O1380" t="str">
        <f>IFERROR(VLOOKUP($I1380,CHOOSE({1,2},'[1]DIRETORES NTE'!$H$5:$H$31,'[1]DIRETORES NTE'!$E$5:$E$31,),2,0),"-")</f>
        <v>-</v>
      </c>
    </row>
    <row r="1381" spans="9:15" x14ac:dyDescent="0.25">
      <c r="I1381" s="13"/>
      <c r="M1381" s="14"/>
      <c r="O1381" t="str">
        <f>IFERROR(VLOOKUP($I1381,CHOOSE({1,2},'[1]DIRETORES NTE'!$H$5:$H$31,'[1]DIRETORES NTE'!$E$5:$E$31,),2,0),"-")</f>
        <v>-</v>
      </c>
    </row>
    <row r="1382" spans="9:15" x14ac:dyDescent="0.25">
      <c r="I1382" s="13"/>
      <c r="M1382" s="14"/>
      <c r="O1382" t="str">
        <f>IFERROR(VLOOKUP($I1382,CHOOSE({1,2},'[1]DIRETORES NTE'!$H$5:$H$31,'[1]DIRETORES NTE'!$E$5:$E$31,),2,0),"-")</f>
        <v>-</v>
      </c>
    </row>
    <row r="1383" spans="9:15" x14ac:dyDescent="0.25">
      <c r="I1383" s="13"/>
      <c r="M1383" s="14"/>
      <c r="O1383" t="str">
        <f>IFERROR(VLOOKUP($I1383,CHOOSE({1,2},'[1]DIRETORES NTE'!$H$5:$H$31,'[1]DIRETORES NTE'!$E$5:$E$31,),2,0),"-")</f>
        <v>-</v>
      </c>
    </row>
    <row r="1384" spans="9:15" x14ac:dyDescent="0.25">
      <c r="I1384" s="13"/>
      <c r="M1384" s="14"/>
      <c r="O1384" t="str">
        <f>IFERROR(VLOOKUP($I1384,CHOOSE({1,2},'[1]DIRETORES NTE'!$H$5:$H$31,'[1]DIRETORES NTE'!$E$5:$E$31,),2,0),"-")</f>
        <v>-</v>
      </c>
    </row>
    <row r="1385" spans="9:15" x14ac:dyDescent="0.25">
      <c r="I1385" s="13"/>
      <c r="M1385" s="14"/>
      <c r="O1385" t="str">
        <f>IFERROR(VLOOKUP($I1385,CHOOSE({1,2},'[1]DIRETORES NTE'!$H$5:$H$31,'[1]DIRETORES NTE'!$E$5:$E$31,),2,0),"-")</f>
        <v>-</v>
      </c>
    </row>
    <row r="1386" spans="9:15" x14ac:dyDescent="0.25">
      <c r="I1386" s="13"/>
      <c r="M1386" s="14"/>
      <c r="O1386" t="str">
        <f>IFERROR(VLOOKUP($I1386,CHOOSE({1,2},'[1]DIRETORES NTE'!$H$5:$H$31,'[1]DIRETORES NTE'!$E$5:$E$31,),2,0),"-")</f>
        <v>-</v>
      </c>
    </row>
    <row r="1387" spans="9:15" x14ac:dyDescent="0.25">
      <c r="I1387" s="13"/>
      <c r="M1387" s="14"/>
      <c r="O1387" t="str">
        <f>IFERROR(VLOOKUP($I1387,CHOOSE({1,2},'[1]DIRETORES NTE'!$H$5:$H$31,'[1]DIRETORES NTE'!$E$5:$E$31,),2,0),"-")</f>
        <v>-</v>
      </c>
    </row>
    <row r="1388" spans="9:15" x14ac:dyDescent="0.25">
      <c r="I1388" s="13"/>
      <c r="M1388" s="14"/>
      <c r="O1388" t="str">
        <f>IFERROR(VLOOKUP($I1388,CHOOSE({1,2},'[1]DIRETORES NTE'!$H$5:$H$31,'[1]DIRETORES NTE'!$E$5:$E$31,),2,0),"-")</f>
        <v>-</v>
      </c>
    </row>
    <row r="1389" spans="9:15" x14ac:dyDescent="0.25">
      <c r="I1389" s="13"/>
      <c r="M1389" s="14"/>
      <c r="O1389" t="str">
        <f>IFERROR(VLOOKUP($I1389,CHOOSE({1,2},'[1]DIRETORES NTE'!$H$5:$H$31,'[1]DIRETORES NTE'!$E$5:$E$31,),2,0),"-")</f>
        <v>-</v>
      </c>
    </row>
    <row r="1390" spans="9:15" x14ac:dyDescent="0.25">
      <c r="I1390" s="13"/>
      <c r="M1390" s="14"/>
      <c r="O1390" t="str">
        <f>IFERROR(VLOOKUP($I1390,CHOOSE({1,2},'[1]DIRETORES NTE'!$H$5:$H$31,'[1]DIRETORES NTE'!$E$5:$E$31,),2,0),"-")</f>
        <v>-</v>
      </c>
    </row>
    <row r="1391" spans="9:15" x14ac:dyDescent="0.25">
      <c r="I1391" s="13"/>
      <c r="M1391" s="14"/>
      <c r="O1391" t="str">
        <f>IFERROR(VLOOKUP($I1391,CHOOSE({1,2},'[1]DIRETORES NTE'!$H$5:$H$31,'[1]DIRETORES NTE'!$E$5:$E$31,),2,0),"-")</f>
        <v>-</v>
      </c>
    </row>
    <row r="1392" spans="9:15" x14ac:dyDescent="0.25">
      <c r="I1392" s="13"/>
      <c r="M1392" s="14"/>
      <c r="O1392" t="str">
        <f>IFERROR(VLOOKUP($I1392,CHOOSE({1,2},'[1]DIRETORES NTE'!$H$5:$H$31,'[1]DIRETORES NTE'!$E$5:$E$31,),2,0),"-")</f>
        <v>-</v>
      </c>
    </row>
    <row r="1393" spans="9:15" x14ac:dyDescent="0.25">
      <c r="I1393" s="13"/>
      <c r="M1393" s="14"/>
      <c r="O1393" t="str">
        <f>IFERROR(VLOOKUP($I1393,CHOOSE({1,2},'[1]DIRETORES NTE'!$H$5:$H$31,'[1]DIRETORES NTE'!$E$5:$E$31,),2,0),"-")</f>
        <v>-</v>
      </c>
    </row>
    <row r="1394" spans="9:15" x14ac:dyDescent="0.25">
      <c r="I1394" s="13"/>
      <c r="M1394" s="14"/>
      <c r="O1394" t="str">
        <f>IFERROR(VLOOKUP($I1394,CHOOSE({1,2},'[1]DIRETORES NTE'!$H$5:$H$31,'[1]DIRETORES NTE'!$E$5:$E$31,),2,0),"-")</f>
        <v>-</v>
      </c>
    </row>
    <row r="1395" spans="9:15" x14ac:dyDescent="0.25">
      <c r="I1395" s="13"/>
      <c r="M1395" s="14"/>
      <c r="O1395" t="str">
        <f>IFERROR(VLOOKUP($I1395,CHOOSE({1,2},'[1]DIRETORES NTE'!$H$5:$H$31,'[1]DIRETORES NTE'!$E$5:$E$31,),2,0),"-")</f>
        <v>-</v>
      </c>
    </row>
    <row r="1396" spans="9:15" x14ac:dyDescent="0.25">
      <c r="I1396" s="13"/>
      <c r="M1396" s="14"/>
      <c r="O1396" t="str">
        <f>IFERROR(VLOOKUP($I1396,CHOOSE({1,2},'[1]DIRETORES NTE'!$H$5:$H$31,'[1]DIRETORES NTE'!$E$5:$E$31,),2,0),"-")</f>
        <v>-</v>
      </c>
    </row>
    <row r="1397" spans="9:15" x14ac:dyDescent="0.25">
      <c r="I1397" s="13"/>
      <c r="M1397" s="14"/>
      <c r="O1397" t="str">
        <f>IFERROR(VLOOKUP($I1397,CHOOSE({1,2},'[1]DIRETORES NTE'!$H$5:$H$31,'[1]DIRETORES NTE'!$E$5:$E$31,),2,0),"-")</f>
        <v>-</v>
      </c>
    </row>
    <row r="1398" spans="9:15" x14ac:dyDescent="0.25">
      <c r="I1398" s="13"/>
      <c r="M1398" s="14"/>
      <c r="O1398" t="str">
        <f>IFERROR(VLOOKUP($I1398,CHOOSE({1,2},'[1]DIRETORES NTE'!$H$5:$H$31,'[1]DIRETORES NTE'!$E$5:$E$31,),2,0),"-")</f>
        <v>-</v>
      </c>
    </row>
    <row r="1399" spans="9:15" x14ac:dyDescent="0.25">
      <c r="I1399" s="13"/>
      <c r="M1399" s="14"/>
      <c r="O1399" t="str">
        <f>IFERROR(VLOOKUP($I1399,CHOOSE({1,2},'[1]DIRETORES NTE'!$H$5:$H$31,'[1]DIRETORES NTE'!$E$5:$E$31,),2,0),"-")</f>
        <v>-</v>
      </c>
    </row>
    <row r="1400" spans="9:15" x14ac:dyDescent="0.25">
      <c r="I1400" s="13"/>
      <c r="M1400" s="14"/>
      <c r="O1400" t="str">
        <f>IFERROR(VLOOKUP($I1400,CHOOSE({1,2},'[1]DIRETORES NTE'!$H$5:$H$31,'[1]DIRETORES NTE'!$E$5:$E$31,),2,0),"-")</f>
        <v>-</v>
      </c>
    </row>
    <row r="1401" spans="9:15" x14ac:dyDescent="0.25">
      <c r="I1401" s="13"/>
      <c r="M1401" s="14"/>
      <c r="O1401" t="str">
        <f>IFERROR(VLOOKUP($I1401,CHOOSE({1,2},'[1]DIRETORES NTE'!$H$5:$H$31,'[1]DIRETORES NTE'!$E$5:$E$31,),2,0),"-")</f>
        <v>-</v>
      </c>
    </row>
    <row r="1402" spans="9:15" x14ac:dyDescent="0.25">
      <c r="I1402" s="13"/>
      <c r="M1402" s="14"/>
      <c r="O1402" t="str">
        <f>IFERROR(VLOOKUP($I1402,CHOOSE({1,2},'[1]DIRETORES NTE'!$H$5:$H$31,'[1]DIRETORES NTE'!$E$5:$E$31,),2,0),"-")</f>
        <v>-</v>
      </c>
    </row>
    <row r="1403" spans="9:15" x14ac:dyDescent="0.25">
      <c r="I1403" s="13"/>
      <c r="M1403" s="14"/>
      <c r="O1403" t="str">
        <f>IFERROR(VLOOKUP($I1403,CHOOSE({1,2},'[1]DIRETORES NTE'!$H$5:$H$31,'[1]DIRETORES NTE'!$E$5:$E$31,),2,0),"-")</f>
        <v>-</v>
      </c>
    </row>
    <row r="1404" spans="9:15" x14ac:dyDescent="0.25">
      <c r="I1404" s="13"/>
      <c r="M1404" s="14"/>
      <c r="O1404" t="str">
        <f>IFERROR(VLOOKUP($I1404,CHOOSE({1,2},'[1]DIRETORES NTE'!$H$5:$H$31,'[1]DIRETORES NTE'!$E$5:$E$31,),2,0),"-")</f>
        <v>-</v>
      </c>
    </row>
    <row r="1405" spans="9:15" x14ac:dyDescent="0.25">
      <c r="I1405" s="13"/>
      <c r="M1405" s="14"/>
      <c r="O1405" t="str">
        <f>IFERROR(VLOOKUP($I1405,CHOOSE({1,2},'[1]DIRETORES NTE'!$H$5:$H$31,'[1]DIRETORES NTE'!$E$5:$E$31,),2,0),"-")</f>
        <v>-</v>
      </c>
    </row>
    <row r="1406" spans="9:15" x14ac:dyDescent="0.25">
      <c r="I1406" s="13"/>
      <c r="M1406" s="14"/>
      <c r="O1406" t="str">
        <f>IFERROR(VLOOKUP($I1406,CHOOSE({1,2},'[1]DIRETORES NTE'!$H$5:$H$31,'[1]DIRETORES NTE'!$E$5:$E$31,),2,0),"-")</f>
        <v>-</v>
      </c>
    </row>
    <row r="1407" spans="9:15" x14ac:dyDescent="0.25">
      <c r="I1407" s="13"/>
      <c r="M1407" s="14"/>
      <c r="O1407" t="str">
        <f>IFERROR(VLOOKUP($I1407,CHOOSE({1,2},'[1]DIRETORES NTE'!$H$5:$H$31,'[1]DIRETORES NTE'!$E$5:$E$31,),2,0),"-")</f>
        <v>-</v>
      </c>
    </row>
    <row r="1408" spans="9:15" x14ac:dyDescent="0.25">
      <c r="I1408" s="13"/>
      <c r="M1408" s="14"/>
      <c r="O1408" t="str">
        <f>IFERROR(VLOOKUP($I1408,CHOOSE({1,2},'[1]DIRETORES NTE'!$H$5:$H$31,'[1]DIRETORES NTE'!$E$5:$E$31,),2,0),"-")</f>
        <v>-</v>
      </c>
    </row>
    <row r="1409" spans="9:15" x14ac:dyDescent="0.25">
      <c r="I1409" s="13"/>
      <c r="M1409" s="14"/>
      <c r="O1409" t="str">
        <f>IFERROR(VLOOKUP($I1409,CHOOSE({1,2},'[1]DIRETORES NTE'!$H$5:$H$31,'[1]DIRETORES NTE'!$E$5:$E$31,),2,0),"-")</f>
        <v>-</v>
      </c>
    </row>
    <row r="1410" spans="9:15" x14ac:dyDescent="0.25">
      <c r="I1410" s="13"/>
      <c r="M1410" s="14"/>
      <c r="O1410" t="str">
        <f>IFERROR(VLOOKUP($I1410,CHOOSE({1,2},'[1]DIRETORES NTE'!$H$5:$H$31,'[1]DIRETORES NTE'!$E$5:$E$31,),2,0),"-")</f>
        <v>-</v>
      </c>
    </row>
    <row r="1411" spans="9:15" x14ac:dyDescent="0.25">
      <c r="I1411" s="13"/>
      <c r="M1411" s="14"/>
      <c r="O1411" t="str">
        <f>IFERROR(VLOOKUP($I1411,CHOOSE({1,2},'[1]DIRETORES NTE'!$H$5:$H$31,'[1]DIRETORES NTE'!$E$5:$E$31,),2,0),"-")</f>
        <v>-</v>
      </c>
    </row>
    <row r="1412" spans="9:15" x14ac:dyDescent="0.25">
      <c r="I1412" s="13"/>
      <c r="M1412" s="14"/>
      <c r="O1412" t="str">
        <f>IFERROR(VLOOKUP($I1412,CHOOSE({1,2},'[1]DIRETORES NTE'!$H$5:$H$31,'[1]DIRETORES NTE'!$E$5:$E$31,),2,0),"-")</f>
        <v>-</v>
      </c>
    </row>
    <row r="1413" spans="9:15" x14ac:dyDescent="0.25">
      <c r="I1413" s="13"/>
      <c r="M1413" s="14"/>
      <c r="O1413" t="str">
        <f>IFERROR(VLOOKUP($I1413,CHOOSE({1,2},'[1]DIRETORES NTE'!$H$5:$H$31,'[1]DIRETORES NTE'!$E$5:$E$31,),2,0),"-")</f>
        <v>-</v>
      </c>
    </row>
    <row r="1414" spans="9:15" x14ac:dyDescent="0.25">
      <c r="I1414" s="13"/>
      <c r="M1414" s="14"/>
      <c r="O1414" t="str">
        <f>IFERROR(VLOOKUP($I1414,CHOOSE({1,2},'[1]DIRETORES NTE'!$H$5:$H$31,'[1]DIRETORES NTE'!$E$5:$E$31,),2,0),"-")</f>
        <v>-</v>
      </c>
    </row>
    <row r="1415" spans="9:15" x14ac:dyDescent="0.25">
      <c r="I1415" s="13"/>
      <c r="M1415" s="14"/>
      <c r="O1415" t="str">
        <f>IFERROR(VLOOKUP($I1415,CHOOSE({1,2},'[1]DIRETORES NTE'!$H$5:$H$31,'[1]DIRETORES NTE'!$E$5:$E$31,),2,0),"-")</f>
        <v>-</v>
      </c>
    </row>
    <row r="1416" spans="9:15" x14ac:dyDescent="0.25">
      <c r="I1416" s="13"/>
      <c r="M1416" s="14"/>
      <c r="O1416" t="str">
        <f>IFERROR(VLOOKUP($I1416,CHOOSE({1,2},'[1]DIRETORES NTE'!$H$5:$H$31,'[1]DIRETORES NTE'!$E$5:$E$31,),2,0),"-")</f>
        <v>-</v>
      </c>
    </row>
    <row r="1417" spans="9:15" x14ac:dyDescent="0.25">
      <c r="I1417" s="13"/>
      <c r="M1417" s="14"/>
      <c r="O1417" t="str">
        <f>IFERROR(VLOOKUP($I1417,CHOOSE({1,2},'[1]DIRETORES NTE'!$H$5:$H$31,'[1]DIRETORES NTE'!$E$5:$E$31,),2,0),"-")</f>
        <v>-</v>
      </c>
    </row>
    <row r="1418" spans="9:15" x14ac:dyDescent="0.25">
      <c r="I1418" s="13"/>
      <c r="M1418" s="14"/>
      <c r="O1418" t="str">
        <f>IFERROR(VLOOKUP($I1418,CHOOSE({1,2},'[1]DIRETORES NTE'!$H$5:$H$31,'[1]DIRETORES NTE'!$E$5:$E$31,),2,0),"-")</f>
        <v>-</v>
      </c>
    </row>
    <row r="1419" spans="9:15" x14ac:dyDescent="0.25">
      <c r="I1419" s="13"/>
      <c r="M1419" s="14"/>
      <c r="O1419" t="str">
        <f>IFERROR(VLOOKUP($I1419,CHOOSE({1,2},'[1]DIRETORES NTE'!$H$5:$H$31,'[1]DIRETORES NTE'!$E$5:$E$31,),2,0),"-")</f>
        <v>-</v>
      </c>
    </row>
    <row r="1420" spans="9:15" x14ac:dyDescent="0.25">
      <c r="I1420" s="13"/>
      <c r="M1420" s="14"/>
      <c r="O1420" t="str">
        <f>IFERROR(VLOOKUP($I1420,CHOOSE({1,2},'[1]DIRETORES NTE'!$H$5:$H$31,'[1]DIRETORES NTE'!$E$5:$E$31,),2,0),"-")</f>
        <v>-</v>
      </c>
    </row>
    <row r="1421" spans="9:15" x14ac:dyDescent="0.25">
      <c r="I1421" s="13"/>
      <c r="M1421" s="14"/>
      <c r="O1421" t="str">
        <f>IFERROR(VLOOKUP($I1421,CHOOSE({1,2},'[1]DIRETORES NTE'!$H$5:$H$31,'[1]DIRETORES NTE'!$E$5:$E$31,),2,0),"-")</f>
        <v>-</v>
      </c>
    </row>
    <row r="1422" spans="9:15" x14ac:dyDescent="0.25">
      <c r="I1422" s="13"/>
      <c r="M1422" s="14"/>
      <c r="O1422" t="str">
        <f>IFERROR(VLOOKUP($I1422,CHOOSE({1,2},'[1]DIRETORES NTE'!$H$5:$H$31,'[1]DIRETORES NTE'!$E$5:$E$31,),2,0),"-")</f>
        <v>-</v>
      </c>
    </row>
    <row r="1423" spans="9:15" x14ac:dyDescent="0.25">
      <c r="I1423" s="13"/>
      <c r="M1423" s="14"/>
      <c r="O1423" t="str">
        <f>IFERROR(VLOOKUP($I1423,CHOOSE({1,2},'[1]DIRETORES NTE'!$H$5:$H$31,'[1]DIRETORES NTE'!$E$5:$E$31,),2,0),"-")</f>
        <v>-</v>
      </c>
    </row>
    <row r="1424" spans="9:15" x14ac:dyDescent="0.25">
      <c r="I1424" s="13"/>
      <c r="M1424" s="14"/>
      <c r="O1424" t="str">
        <f>IFERROR(VLOOKUP($I1424,CHOOSE({1,2},'[1]DIRETORES NTE'!$H$5:$H$31,'[1]DIRETORES NTE'!$E$5:$E$31,),2,0),"-")</f>
        <v>-</v>
      </c>
    </row>
    <row r="1425" spans="9:15" x14ac:dyDescent="0.25">
      <c r="I1425" s="13"/>
      <c r="M1425" s="14"/>
      <c r="O1425" t="str">
        <f>IFERROR(VLOOKUP($I1425,CHOOSE({1,2},'[1]DIRETORES NTE'!$H$5:$H$31,'[1]DIRETORES NTE'!$E$5:$E$31,),2,0),"-")</f>
        <v>-</v>
      </c>
    </row>
    <row r="1426" spans="9:15" x14ac:dyDescent="0.25">
      <c r="I1426" s="13"/>
      <c r="M1426" s="14"/>
      <c r="O1426" t="str">
        <f>IFERROR(VLOOKUP($I1426,CHOOSE({1,2},'[1]DIRETORES NTE'!$H$5:$H$31,'[1]DIRETORES NTE'!$E$5:$E$31,),2,0),"-")</f>
        <v>-</v>
      </c>
    </row>
    <row r="1427" spans="9:15" x14ac:dyDescent="0.25">
      <c r="I1427" s="13"/>
      <c r="M1427" s="14"/>
      <c r="O1427" t="str">
        <f>IFERROR(VLOOKUP($I1427,CHOOSE({1,2},'[1]DIRETORES NTE'!$H$5:$H$31,'[1]DIRETORES NTE'!$E$5:$E$31,),2,0),"-")</f>
        <v>-</v>
      </c>
    </row>
    <row r="1428" spans="9:15" x14ac:dyDescent="0.25">
      <c r="I1428" s="13"/>
      <c r="M1428" s="14"/>
      <c r="O1428" t="str">
        <f>IFERROR(VLOOKUP($I1428,CHOOSE({1,2},'[1]DIRETORES NTE'!$H$5:$H$31,'[1]DIRETORES NTE'!$E$5:$E$31,),2,0),"-")</f>
        <v>-</v>
      </c>
    </row>
    <row r="1429" spans="9:15" x14ac:dyDescent="0.25">
      <c r="I1429" s="13"/>
      <c r="M1429" s="14"/>
      <c r="O1429" t="str">
        <f>IFERROR(VLOOKUP($I1429,CHOOSE({1,2},'[1]DIRETORES NTE'!$H$5:$H$31,'[1]DIRETORES NTE'!$E$5:$E$31,),2,0),"-")</f>
        <v>-</v>
      </c>
    </row>
    <row r="1430" spans="9:15" x14ac:dyDescent="0.25">
      <c r="I1430" s="13"/>
      <c r="M1430" s="14"/>
      <c r="O1430" t="str">
        <f>IFERROR(VLOOKUP($I1430,CHOOSE({1,2},'[1]DIRETORES NTE'!$H$5:$H$31,'[1]DIRETORES NTE'!$E$5:$E$31,),2,0),"-")</f>
        <v>-</v>
      </c>
    </row>
    <row r="1431" spans="9:15" x14ac:dyDescent="0.25">
      <c r="I1431" s="13"/>
      <c r="M1431" s="14"/>
      <c r="O1431" t="str">
        <f>IFERROR(VLOOKUP($I1431,CHOOSE({1,2},'[1]DIRETORES NTE'!$H$5:$H$31,'[1]DIRETORES NTE'!$E$5:$E$31,),2,0),"-")</f>
        <v>-</v>
      </c>
    </row>
    <row r="1432" spans="9:15" x14ac:dyDescent="0.25">
      <c r="I1432" s="13"/>
      <c r="M1432" s="14"/>
      <c r="O1432" t="str">
        <f>IFERROR(VLOOKUP($I1432,CHOOSE({1,2},'[1]DIRETORES NTE'!$H$5:$H$31,'[1]DIRETORES NTE'!$E$5:$E$31,),2,0),"-")</f>
        <v>-</v>
      </c>
    </row>
    <row r="1433" spans="9:15" x14ac:dyDescent="0.25">
      <c r="I1433" s="13"/>
      <c r="M1433" s="14"/>
      <c r="O1433" t="str">
        <f>IFERROR(VLOOKUP($I1433,CHOOSE({1,2},'[1]DIRETORES NTE'!$H$5:$H$31,'[1]DIRETORES NTE'!$E$5:$E$31,),2,0),"-")</f>
        <v>-</v>
      </c>
    </row>
    <row r="1434" spans="9:15" x14ac:dyDescent="0.25">
      <c r="I1434" s="13"/>
      <c r="M1434" s="14"/>
      <c r="O1434" t="str">
        <f>IFERROR(VLOOKUP($I1434,CHOOSE({1,2},'[1]DIRETORES NTE'!$H$5:$H$31,'[1]DIRETORES NTE'!$E$5:$E$31,),2,0),"-")</f>
        <v>-</v>
      </c>
    </row>
    <row r="1435" spans="9:15" x14ac:dyDescent="0.25">
      <c r="I1435" s="13"/>
      <c r="M1435" s="14"/>
      <c r="O1435" t="str">
        <f>IFERROR(VLOOKUP($I1435,CHOOSE({1,2},'[1]DIRETORES NTE'!$H$5:$H$31,'[1]DIRETORES NTE'!$E$5:$E$31,),2,0),"-")</f>
        <v>-</v>
      </c>
    </row>
    <row r="1436" spans="9:15" x14ac:dyDescent="0.25">
      <c r="I1436" s="13"/>
      <c r="M1436" s="14"/>
      <c r="O1436" t="str">
        <f>IFERROR(VLOOKUP($I1436,CHOOSE({1,2},'[1]DIRETORES NTE'!$H$5:$H$31,'[1]DIRETORES NTE'!$E$5:$E$31,),2,0),"-")</f>
        <v>-</v>
      </c>
    </row>
    <row r="1437" spans="9:15" x14ac:dyDescent="0.25">
      <c r="I1437" s="13"/>
      <c r="M1437" s="14"/>
      <c r="O1437" t="str">
        <f>IFERROR(VLOOKUP($I1437,CHOOSE({1,2},'[1]DIRETORES NTE'!$H$5:$H$31,'[1]DIRETORES NTE'!$E$5:$E$31,),2,0),"-")</f>
        <v>-</v>
      </c>
    </row>
    <row r="1438" spans="9:15" x14ac:dyDescent="0.25">
      <c r="I1438" s="13"/>
      <c r="M1438" s="14"/>
      <c r="O1438" t="str">
        <f>IFERROR(VLOOKUP($I1438,CHOOSE({1,2},'[1]DIRETORES NTE'!$H$5:$H$31,'[1]DIRETORES NTE'!$E$5:$E$31,),2,0),"-")</f>
        <v>-</v>
      </c>
    </row>
    <row r="1439" spans="9:15" x14ac:dyDescent="0.25">
      <c r="I1439" s="13"/>
      <c r="M1439" s="14"/>
      <c r="O1439" t="str">
        <f>IFERROR(VLOOKUP($I1439,CHOOSE({1,2},'[1]DIRETORES NTE'!$H$5:$H$31,'[1]DIRETORES NTE'!$E$5:$E$31,),2,0),"-")</f>
        <v>-</v>
      </c>
    </row>
    <row r="1440" spans="9:15" x14ac:dyDescent="0.25">
      <c r="I1440" s="13"/>
      <c r="M1440" s="14"/>
      <c r="O1440" t="str">
        <f>IFERROR(VLOOKUP($I1440,CHOOSE({1,2},'[1]DIRETORES NTE'!$H$5:$H$31,'[1]DIRETORES NTE'!$E$5:$E$31,),2,0),"-")</f>
        <v>-</v>
      </c>
    </row>
    <row r="1441" spans="9:15" x14ac:dyDescent="0.25">
      <c r="I1441" s="13"/>
      <c r="M1441" s="14"/>
      <c r="O1441" t="str">
        <f>IFERROR(VLOOKUP($I1441,CHOOSE({1,2},'[1]DIRETORES NTE'!$H$5:$H$31,'[1]DIRETORES NTE'!$E$5:$E$31,),2,0),"-")</f>
        <v>-</v>
      </c>
    </row>
    <row r="1442" spans="9:15" x14ac:dyDescent="0.25">
      <c r="I1442" s="13"/>
      <c r="M1442" s="14"/>
      <c r="O1442" t="str">
        <f>IFERROR(VLOOKUP($I1442,CHOOSE({1,2},'[1]DIRETORES NTE'!$H$5:$H$31,'[1]DIRETORES NTE'!$E$5:$E$31,),2,0),"-")</f>
        <v>-</v>
      </c>
    </row>
    <row r="1443" spans="9:15" x14ac:dyDescent="0.25">
      <c r="I1443" s="13"/>
      <c r="M1443" s="14"/>
      <c r="O1443" t="str">
        <f>IFERROR(VLOOKUP($I1443,CHOOSE({1,2},'[1]DIRETORES NTE'!$H$5:$H$31,'[1]DIRETORES NTE'!$E$5:$E$31,),2,0),"-")</f>
        <v>-</v>
      </c>
    </row>
    <row r="1444" spans="9:15" x14ac:dyDescent="0.25">
      <c r="I1444" s="13"/>
      <c r="M1444" s="14"/>
      <c r="O1444" t="str">
        <f>IFERROR(VLOOKUP($I1444,CHOOSE({1,2},'[1]DIRETORES NTE'!$H$5:$H$31,'[1]DIRETORES NTE'!$E$5:$E$31,),2,0),"-")</f>
        <v>-</v>
      </c>
    </row>
    <row r="1445" spans="9:15" x14ac:dyDescent="0.25">
      <c r="I1445" s="13"/>
      <c r="M1445" s="14"/>
      <c r="O1445" t="str">
        <f>IFERROR(VLOOKUP($I1445,CHOOSE({1,2},'[1]DIRETORES NTE'!$H$5:$H$31,'[1]DIRETORES NTE'!$E$5:$E$31,),2,0),"-")</f>
        <v>-</v>
      </c>
    </row>
    <row r="1446" spans="9:15" x14ac:dyDescent="0.25">
      <c r="I1446" s="13"/>
      <c r="M1446" s="14"/>
      <c r="O1446" t="str">
        <f>IFERROR(VLOOKUP($I1446,CHOOSE({1,2},'[1]DIRETORES NTE'!$H$5:$H$31,'[1]DIRETORES NTE'!$E$5:$E$31,),2,0),"-")</f>
        <v>-</v>
      </c>
    </row>
    <row r="1447" spans="9:15" x14ac:dyDescent="0.25">
      <c r="I1447" s="13"/>
      <c r="M1447" s="14"/>
      <c r="O1447" t="str">
        <f>IFERROR(VLOOKUP($I1447,CHOOSE({1,2},'[1]DIRETORES NTE'!$H$5:$H$31,'[1]DIRETORES NTE'!$E$5:$E$31,),2,0),"-")</f>
        <v>-</v>
      </c>
    </row>
    <row r="1448" spans="9:15" x14ac:dyDescent="0.25">
      <c r="I1448" s="13"/>
      <c r="M1448" s="14"/>
      <c r="O1448" t="str">
        <f>IFERROR(VLOOKUP($I1448,CHOOSE({1,2},'[1]DIRETORES NTE'!$H$5:$H$31,'[1]DIRETORES NTE'!$E$5:$E$31,),2,0),"-")</f>
        <v>-</v>
      </c>
    </row>
    <row r="1449" spans="9:15" x14ac:dyDescent="0.25">
      <c r="I1449" s="13"/>
      <c r="M1449" s="14"/>
      <c r="O1449" t="str">
        <f>IFERROR(VLOOKUP($I1449,CHOOSE({1,2},'[1]DIRETORES NTE'!$H$5:$H$31,'[1]DIRETORES NTE'!$E$5:$E$31,),2,0),"-")</f>
        <v>-</v>
      </c>
    </row>
    <row r="1450" spans="9:15" x14ac:dyDescent="0.25">
      <c r="I1450" s="13"/>
      <c r="M1450" s="14"/>
      <c r="O1450" t="str">
        <f>IFERROR(VLOOKUP($I1450,CHOOSE({1,2},'[1]DIRETORES NTE'!$H$5:$H$31,'[1]DIRETORES NTE'!$E$5:$E$31,),2,0),"-")</f>
        <v>-</v>
      </c>
    </row>
    <row r="1451" spans="9:15" x14ac:dyDescent="0.25">
      <c r="I1451" s="13"/>
      <c r="M1451" s="14"/>
      <c r="O1451" t="str">
        <f>IFERROR(VLOOKUP($I1451,CHOOSE({1,2},'[1]DIRETORES NTE'!$H$5:$H$31,'[1]DIRETORES NTE'!$E$5:$E$31,),2,0),"-")</f>
        <v>-</v>
      </c>
    </row>
    <row r="1452" spans="9:15" x14ac:dyDescent="0.25">
      <c r="I1452" s="13"/>
      <c r="M1452" s="14"/>
      <c r="O1452" t="str">
        <f>IFERROR(VLOOKUP($I1452,CHOOSE({1,2},'[1]DIRETORES NTE'!$H$5:$H$31,'[1]DIRETORES NTE'!$E$5:$E$31,),2,0),"-")</f>
        <v>-</v>
      </c>
    </row>
    <row r="1453" spans="9:15" x14ac:dyDescent="0.25">
      <c r="I1453" s="13"/>
      <c r="M1453" s="14"/>
      <c r="O1453" t="str">
        <f>IFERROR(VLOOKUP($I1453,CHOOSE({1,2},'[1]DIRETORES NTE'!$H$5:$H$31,'[1]DIRETORES NTE'!$E$5:$E$31,),2,0),"-")</f>
        <v>-</v>
      </c>
    </row>
    <row r="1454" spans="9:15" x14ac:dyDescent="0.25">
      <c r="I1454" s="13"/>
      <c r="M1454" s="14"/>
      <c r="O1454" t="str">
        <f>IFERROR(VLOOKUP($I1454,CHOOSE({1,2},'[1]DIRETORES NTE'!$H$5:$H$31,'[1]DIRETORES NTE'!$E$5:$E$31,),2,0),"-")</f>
        <v>-</v>
      </c>
    </row>
    <row r="1455" spans="9:15" x14ac:dyDescent="0.25">
      <c r="I1455" s="13"/>
      <c r="M1455" s="14"/>
      <c r="O1455" t="str">
        <f>IFERROR(VLOOKUP($I1455,CHOOSE({1,2},'[1]DIRETORES NTE'!$H$5:$H$31,'[1]DIRETORES NTE'!$E$5:$E$31,),2,0),"-")</f>
        <v>-</v>
      </c>
    </row>
    <row r="1456" spans="9:15" x14ac:dyDescent="0.25">
      <c r="I1456" s="13"/>
      <c r="M1456" s="14"/>
      <c r="O1456" t="str">
        <f>IFERROR(VLOOKUP($I1456,CHOOSE({1,2},'[1]DIRETORES NTE'!$H$5:$H$31,'[1]DIRETORES NTE'!$E$5:$E$31,),2,0),"-")</f>
        <v>-</v>
      </c>
    </row>
    <row r="1457" spans="9:15" x14ac:dyDescent="0.25">
      <c r="I1457" s="13"/>
      <c r="M1457" s="14"/>
      <c r="O1457" t="str">
        <f>IFERROR(VLOOKUP($I1457,CHOOSE({1,2},'[1]DIRETORES NTE'!$H$5:$H$31,'[1]DIRETORES NTE'!$E$5:$E$31,),2,0),"-")</f>
        <v>-</v>
      </c>
    </row>
    <row r="1458" spans="9:15" x14ac:dyDescent="0.25">
      <c r="I1458" s="13"/>
      <c r="M1458" s="14"/>
      <c r="O1458" t="str">
        <f>IFERROR(VLOOKUP($I1458,CHOOSE({1,2},'[1]DIRETORES NTE'!$H$5:$H$31,'[1]DIRETORES NTE'!$E$5:$E$31,),2,0),"-")</f>
        <v>-</v>
      </c>
    </row>
    <row r="1459" spans="9:15" x14ac:dyDescent="0.25">
      <c r="I1459" s="13"/>
      <c r="M1459" s="14"/>
      <c r="O1459" t="str">
        <f>IFERROR(VLOOKUP($I1459,CHOOSE({1,2},'[1]DIRETORES NTE'!$H$5:$H$31,'[1]DIRETORES NTE'!$E$5:$E$31,),2,0),"-")</f>
        <v>-</v>
      </c>
    </row>
    <row r="1460" spans="9:15" x14ac:dyDescent="0.25">
      <c r="I1460" s="13"/>
      <c r="M1460" s="14"/>
      <c r="O1460" t="str">
        <f>IFERROR(VLOOKUP($I1460,CHOOSE({1,2},'[1]DIRETORES NTE'!$H$5:$H$31,'[1]DIRETORES NTE'!$E$5:$E$31,),2,0),"-")</f>
        <v>-</v>
      </c>
    </row>
    <row r="1461" spans="9:15" x14ac:dyDescent="0.25">
      <c r="I1461" s="13"/>
      <c r="M1461" s="14"/>
      <c r="O1461" t="str">
        <f>IFERROR(VLOOKUP($I1461,CHOOSE({1,2},'[1]DIRETORES NTE'!$H$5:$H$31,'[1]DIRETORES NTE'!$E$5:$E$31,),2,0),"-")</f>
        <v>-</v>
      </c>
    </row>
    <row r="1462" spans="9:15" x14ac:dyDescent="0.25">
      <c r="I1462" s="13"/>
      <c r="M1462" s="14"/>
      <c r="O1462" t="str">
        <f>IFERROR(VLOOKUP($I1462,CHOOSE({1,2},'[1]DIRETORES NTE'!$H$5:$H$31,'[1]DIRETORES NTE'!$E$5:$E$31,),2,0),"-")</f>
        <v>-</v>
      </c>
    </row>
    <row r="1463" spans="9:15" x14ac:dyDescent="0.25">
      <c r="I1463" s="13"/>
      <c r="M1463" s="14"/>
      <c r="O1463" t="str">
        <f>IFERROR(VLOOKUP($I1463,CHOOSE({1,2},'[1]DIRETORES NTE'!$H$5:$H$31,'[1]DIRETORES NTE'!$E$5:$E$31,),2,0),"-")</f>
        <v>-</v>
      </c>
    </row>
    <row r="1464" spans="9:15" x14ac:dyDescent="0.25">
      <c r="I1464" s="13"/>
      <c r="M1464" s="14"/>
      <c r="O1464" t="str">
        <f>IFERROR(VLOOKUP($I1464,CHOOSE({1,2},'[1]DIRETORES NTE'!$H$5:$H$31,'[1]DIRETORES NTE'!$E$5:$E$31,),2,0),"-")</f>
        <v>-</v>
      </c>
    </row>
    <row r="1465" spans="9:15" x14ac:dyDescent="0.25">
      <c r="I1465" s="13"/>
      <c r="M1465" s="14"/>
      <c r="O1465" t="str">
        <f>IFERROR(VLOOKUP($I1465,CHOOSE({1,2},'[1]DIRETORES NTE'!$H$5:$H$31,'[1]DIRETORES NTE'!$E$5:$E$31,),2,0),"-")</f>
        <v>-</v>
      </c>
    </row>
    <row r="1466" spans="9:15" x14ac:dyDescent="0.25">
      <c r="I1466" s="13"/>
      <c r="M1466" s="14"/>
      <c r="O1466" t="str">
        <f>IFERROR(VLOOKUP($I1466,CHOOSE({1,2},'[1]DIRETORES NTE'!$H$5:$H$31,'[1]DIRETORES NTE'!$E$5:$E$31,),2,0),"-")</f>
        <v>-</v>
      </c>
    </row>
    <row r="1467" spans="9:15" x14ac:dyDescent="0.25">
      <c r="I1467" s="13"/>
      <c r="M1467" s="14"/>
      <c r="O1467" t="str">
        <f>IFERROR(VLOOKUP($I1467,CHOOSE({1,2},'[1]DIRETORES NTE'!$H$5:$H$31,'[1]DIRETORES NTE'!$E$5:$E$31,),2,0),"-")</f>
        <v>-</v>
      </c>
    </row>
    <row r="1468" spans="9:15" x14ac:dyDescent="0.25">
      <c r="I1468" s="13"/>
      <c r="M1468" s="14"/>
      <c r="O1468" t="str">
        <f>IFERROR(VLOOKUP($I1468,CHOOSE({1,2},'[1]DIRETORES NTE'!$H$5:$H$31,'[1]DIRETORES NTE'!$E$5:$E$31,),2,0),"-")</f>
        <v>-</v>
      </c>
    </row>
    <row r="1469" spans="9:15" x14ac:dyDescent="0.25">
      <c r="I1469" s="13"/>
      <c r="M1469" s="14"/>
      <c r="O1469" t="str">
        <f>IFERROR(VLOOKUP($I1469,CHOOSE({1,2},'[1]DIRETORES NTE'!$H$5:$H$31,'[1]DIRETORES NTE'!$E$5:$E$31,),2,0),"-")</f>
        <v>-</v>
      </c>
    </row>
    <row r="1470" spans="9:15" x14ac:dyDescent="0.25">
      <c r="I1470" s="13"/>
      <c r="M1470" s="14"/>
      <c r="O1470" t="str">
        <f>IFERROR(VLOOKUP($I1470,CHOOSE({1,2},'[1]DIRETORES NTE'!$H$5:$H$31,'[1]DIRETORES NTE'!$E$5:$E$31,),2,0),"-")</f>
        <v>-</v>
      </c>
    </row>
    <row r="1471" spans="9:15" x14ac:dyDescent="0.25">
      <c r="I1471" s="13"/>
      <c r="M1471" s="14"/>
      <c r="O1471" t="str">
        <f>IFERROR(VLOOKUP($I1471,CHOOSE({1,2},'[1]DIRETORES NTE'!$H$5:$H$31,'[1]DIRETORES NTE'!$E$5:$E$31,),2,0),"-")</f>
        <v>-</v>
      </c>
    </row>
    <row r="1472" spans="9:15" x14ac:dyDescent="0.25">
      <c r="I1472" s="13"/>
      <c r="M1472" s="14"/>
      <c r="O1472" t="str">
        <f>IFERROR(VLOOKUP($I1472,CHOOSE({1,2},'[1]DIRETORES NTE'!$H$5:$H$31,'[1]DIRETORES NTE'!$E$5:$E$31,),2,0),"-")</f>
        <v>-</v>
      </c>
    </row>
    <row r="1473" spans="9:15" x14ac:dyDescent="0.25">
      <c r="I1473" s="13"/>
      <c r="M1473" s="14"/>
      <c r="O1473" t="str">
        <f>IFERROR(VLOOKUP($I1473,CHOOSE({1,2},'[1]DIRETORES NTE'!$H$5:$H$31,'[1]DIRETORES NTE'!$E$5:$E$31,),2,0),"-")</f>
        <v>-</v>
      </c>
    </row>
    <row r="1474" spans="9:15" x14ac:dyDescent="0.25">
      <c r="I1474" s="13"/>
      <c r="M1474" s="14"/>
      <c r="O1474" t="str">
        <f>IFERROR(VLOOKUP($I1474,CHOOSE({1,2},'[1]DIRETORES NTE'!$H$5:$H$31,'[1]DIRETORES NTE'!$E$5:$E$31,),2,0),"-")</f>
        <v>-</v>
      </c>
    </row>
    <row r="1475" spans="9:15" x14ac:dyDescent="0.25">
      <c r="I1475" s="13"/>
      <c r="M1475" s="14"/>
      <c r="O1475" t="str">
        <f>IFERROR(VLOOKUP($I1475,CHOOSE({1,2},'[1]DIRETORES NTE'!$H$5:$H$31,'[1]DIRETORES NTE'!$E$5:$E$31,),2,0),"-")</f>
        <v>-</v>
      </c>
    </row>
    <row r="1476" spans="9:15" x14ac:dyDescent="0.25">
      <c r="I1476" s="13"/>
      <c r="M1476" s="14"/>
      <c r="O1476" t="str">
        <f>IFERROR(VLOOKUP($I1476,CHOOSE({1,2},'[1]DIRETORES NTE'!$H$5:$H$31,'[1]DIRETORES NTE'!$E$5:$E$31,),2,0),"-")</f>
        <v>-</v>
      </c>
    </row>
    <row r="1477" spans="9:15" x14ac:dyDescent="0.25">
      <c r="I1477" s="13"/>
      <c r="M1477" s="14"/>
      <c r="O1477" t="str">
        <f>IFERROR(VLOOKUP($I1477,CHOOSE({1,2},'[1]DIRETORES NTE'!$H$5:$H$31,'[1]DIRETORES NTE'!$E$5:$E$31,),2,0),"-")</f>
        <v>-</v>
      </c>
    </row>
    <row r="1478" spans="9:15" x14ac:dyDescent="0.25">
      <c r="I1478" s="13"/>
      <c r="M1478" s="14"/>
      <c r="O1478" t="str">
        <f>IFERROR(VLOOKUP($I1478,CHOOSE({1,2},'[1]DIRETORES NTE'!$H$5:$H$31,'[1]DIRETORES NTE'!$E$5:$E$31,),2,0),"-")</f>
        <v>-</v>
      </c>
    </row>
    <row r="1479" spans="9:15" x14ac:dyDescent="0.25">
      <c r="I1479" s="13"/>
      <c r="M1479" s="14"/>
      <c r="O1479" t="str">
        <f>IFERROR(VLOOKUP($I1479,CHOOSE({1,2},'[1]DIRETORES NTE'!$H$5:$H$31,'[1]DIRETORES NTE'!$E$5:$E$31,),2,0),"-")</f>
        <v>-</v>
      </c>
    </row>
    <row r="1480" spans="9:15" x14ac:dyDescent="0.25">
      <c r="I1480" s="13"/>
      <c r="M1480" s="14"/>
      <c r="O1480" t="str">
        <f>IFERROR(VLOOKUP($I1480,CHOOSE({1,2},'[1]DIRETORES NTE'!$H$5:$H$31,'[1]DIRETORES NTE'!$E$5:$E$31,),2,0),"-")</f>
        <v>-</v>
      </c>
    </row>
    <row r="1481" spans="9:15" x14ac:dyDescent="0.25">
      <c r="I1481" s="13"/>
      <c r="M1481" s="14"/>
      <c r="O1481" t="str">
        <f>IFERROR(VLOOKUP($I1481,CHOOSE({1,2},'[1]DIRETORES NTE'!$H$5:$H$31,'[1]DIRETORES NTE'!$E$5:$E$31,),2,0),"-")</f>
        <v>-</v>
      </c>
    </row>
    <row r="1482" spans="9:15" x14ac:dyDescent="0.25">
      <c r="I1482" s="13"/>
      <c r="M1482" s="14"/>
      <c r="O1482" t="str">
        <f>IFERROR(VLOOKUP($I1482,CHOOSE({1,2},'[1]DIRETORES NTE'!$H$5:$H$31,'[1]DIRETORES NTE'!$E$5:$E$31,),2,0),"-")</f>
        <v>-</v>
      </c>
    </row>
    <row r="1483" spans="9:15" x14ac:dyDescent="0.25">
      <c r="I1483" s="13"/>
      <c r="M1483" s="14"/>
      <c r="O1483" t="str">
        <f>IFERROR(VLOOKUP($I1483,CHOOSE({1,2},'[1]DIRETORES NTE'!$H$5:$H$31,'[1]DIRETORES NTE'!$E$5:$E$31,),2,0),"-")</f>
        <v>-</v>
      </c>
    </row>
    <row r="1484" spans="9:15" x14ac:dyDescent="0.25">
      <c r="I1484" s="13"/>
      <c r="M1484" s="14"/>
      <c r="O1484" t="str">
        <f>IFERROR(VLOOKUP($I1484,CHOOSE({1,2},'[1]DIRETORES NTE'!$H$5:$H$31,'[1]DIRETORES NTE'!$E$5:$E$31,),2,0),"-")</f>
        <v>-</v>
      </c>
    </row>
    <row r="1485" spans="9:15" x14ac:dyDescent="0.25">
      <c r="I1485" s="13"/>
      <c r="M1485" s="14"/>
      <c r="O1485" t="str">
        <f>IFERROR(VLOOKUP($I1485,CHOOSE({1,2},'[1]DIRETORES NTE'!$H$5:$H$31,'[1]DIRETORES NTE'!$E$5:$E$31,),2,0),"-")</f>
        <v>-</v>
      </c>
    </row>
    <row r="1486" spans="9:15" x14ac:dyDescent="0.25">
      <c r="I1486" s="13"/>
      <c r="M1486" s="14"/>
      <c r="O1486" t="str">
        <f>IFERROR(VLOOKUP($I1486,CHOOSE({1,2},'[1]DIRETORES NTE'!$H$5:$H$31,'[1]DIRETORES NTE'!$E$5:$E$31,),2,0),"-")</f>
        <v>-</v>
      </c>
    </row>
    <row r="1487" spans="9:15" x14ac:dyDescent="0.25">
      <c r="I1487" s="13"/>
      <c r="M1487" s="14"/>
      <c r="O1487" t="str">
        <f>IFERROR(VLOOKUP($I1487,CHOOSE({1,2},'[1]DIRETORES NTE'!$H$5:$H$31,'[1]DIRETORES NTE'!$E$5:$E$31,),2,0),"-")</f>
        <v>-</v>
      </c>
    </row>
    <row r="1488" spans="9:15" x14ac:dyDescent="0.25">
      <c r="I1488" s="13"/>
      <c r="M1488" s="14"/>
      <c r="O1488" t="str">
        <f>IFERROR(VLOOKUP($I1488,CHOOSE({1,2},'[1]DIRETORES NTE'!$H$5:$H$31,'[1]DIRETORES NTE'!$E$5:$E$31,),2,0),"-")</f>
        <v>-</v>
      </c>
    </row>
    <row r="1489" spans="9:15" x14ac:dyDescent="0.25">
      <c r="I1489" s="13"/>
      <c r="M1489" s="14"/>
      <c r="O1489" t="str">
        <f>IFERROR(VLOOKUP($I1489,CHOOSE({1,2},'[1]DIRETORES NTE'!$H$5:$H$31,'[1]DIRETORES NTE'!$E$5:$E$31,),2,0),"-")</f>
        <v>-</v>
      </c>
    </row>
    <row r="1490" spans="9:15" x14ac:dyDescent="0.25">
      <c r="I1490" s="13"/>
      <c r="M1490" s="14"/>
      <c r="O1490" t="str">
        <f>IFERROR(VLOOKUP($I1490,CHOOSE({1,2},'[1]DIRETORES NTE'!$H$5:$H$31,'[1]DIRETORES NTE'!$E$5:$E$31,),2,0),"-")</f>
        <v>-</v>
      </c>
    </row>
    <row r="1491" spans="9:15" x14ac:dyDescent="0.25">
      <c r="I1491" s="13"/>
      <c r="M1491" s="14"/>
      <c r="O1491" t="str">
        <f>IFERROR(VLOOKUP($I1491,CHOOSE({1,2},'[1]DIRETORES NTE'!$H$5:$H$31,'[1]DIRETORES NTE'!$E$5:$E$31,),2,0),"-")</f>
        <v>-</v>
      </c>
    </row>
    <row r="1492" spans="9:15" x14ac:dyDescent="0.25">
      <c r="I1492" s="13"/>
      <c r="M1492" s="14"/>
      <c r="O1492" t="str">
        <f>IFERROR(VLOOKUP($I1492,CHOOSE({1,2},'[1]DIRETORES NTE'!$H$5:$H$31,'[1]DIRETORES NTE'!$E$5:$E$31,),2,0),"-")</f>
        <v>-</v>
      </c>
    </row>
    <row r="1493" spans="9:15" x14ac:dyDescent="0.25">
      <c r="I1493" s="13"/>
      <c r="M1493" s="14"/>
      <c r="O1493" t="str">
        <f>IFERROR(VLOOKUP($I1493,CHOOSE({1,2},'[1]DIRETORES NTE'!$H$5:$H$31,'[1]DIRETORES NTE'!$E$5:$E$31,),2,0),"-")</f>
        <v>-</v>
      </c>
    </row>
    <row r="1494" spans="9:15" x14ac:dyDescent="0.25">
      <c r="I1494" s="13"/>
      <c r="M1494" s="14"/>
      <c r="O1494" t="str">
        <f>IFERROR(VLOOKUP($I1494,CHOOSE({1,2},'[1]DIRETORES NTE'!$H$5:$H$31,'[1]DIRETORES NTE'!$E$5:$E$31,),2,0),"-")</f>
        <v>-</v>
      </c>
    </row>
    <row r="1495" spans="9:15" x14ac:dyDescent="0.25">
      <c r="I1495" s="13"/>
      <c r="M1495" s="14"/>
      <c r="O1495" t="str">
        <f>IFERROR(VLOOKUP($I1495,CHOOSE({1,2},'[1]DIRETORES NTE'!$H$5:$H$31,'[1]DIRETORES NTE'!$E$5:$E$31,),2,0),"-")</f>
        <v>-</v>
      </c>
    </row>
    <row r="1496" spans="9:15" x14ac:dyDescent="0.25">
      <c r="I1496" s="13"/>
      <c r="M1496" s="14"/>
      <c r="O1496" t="str">
        <f>IFERROR(VLOOKUP($I1496,CHOOSE({1,2},'[1]DIRETORES NTE'!$H$5:$H$31,'[1]DIRETORES NTE'!$E$5:$E$31,),2,0),"-")</f>
        <v>-</v>
      </c>
    </row>
    <row r="1497" spans="9:15" x14ac:dyDescent="0.25">
      <c r="I1497" s="13"/>
      <c r="M1497" s="14"/>
      <c r="O1497" t="str">
        <f>IFERROR(VLOOKUP($I1497,CHOOSE({1,2},'[1]DIRETORES NTE'!$H$5:$H$31,'[1]DIRETORES NTE'!$E$5:$E$31,),2,0),"-")</f>
        <v>-</v>
      </c>
    </row>
    <row r="1498" spans="9:15" x14ac:dyDescent="0.25">
      <c r="I1498" s="13"/>
      <c r="M1498" s="14"/>
      <c r="O1498" t="str">
        <f>IFERROR(VLOOKUP($I1498,CHOOSE({1,2},'[1]DIRETORES NTE'!$H$5:$H$31,'[1]DIRETORES NTE'!$E$5:$E$31,),2,0),"-")</f>
        <v>-</v>
      </c>
    </row>
    <row r="1499" spans="9:15" x14ac:dyDescent="0.25">
      <c r="I1499" s="13"/>
      <c r="M1499" s="14"/>
      <c r="O1499" t="str">
        <f>IFERROR(VLOOKUP($I1499,CHOOSE({1,2},'[1]DIRETORES NTE'!$H$5:$H$31,'[1]DIRETORES NTE'!$E$5:$E$31,),2,0),"-")</f>
        <v>-</v>
      </c>
    </row>
    <row r="1500" spans="9:15" x14ac:dyDescent="0.25">
      <c r="I1500" s="13"/>
      <c r="M1500" s="14"/>
      <c r="O1500" t="str">
        <f>IFERROR(VLOOKUP($I1500,CHOOSE({1,2},'[1]DIRETORES NTE'!$H$5:$H$31,'[1]DIRETORES NTE'!$E$5:$E$31,),2,0),"-")</f>
        <v>-</v>
      </c>
    </row>
    <row r="1501" spans="9:15" x14ac:dyDescent="0.25">
      <c r="I1501" s="13"/>
      <c r="M1501" s="14"/>
      <c r="O1501" t="str">
        <f>IFERROR(VLOOKUP($I1501,CHOOSE({1,2},'[1]DIRETORES NTE'!$H$5:$H$31,'[1]DIRETORES NTE'!$E$5:$E$31,),2,0),"-")</f>
        <v>-</v>
      </c>
    </row>
    <row r="1502" spans="9:15" x14ac:dyDescent="0.25">
      <c r="I1502" s="13"/>
      <c r="M1502" s="14"/>
      <c r="O1502" t="str">
        <f>IFERROR(VLOOKUP($I1502,CHOOSE({1,2},'[1]DIRETORES NTE'!$H$5:$H$31,'[1]DIRETORES NTE'!$E$5:$E$31,),2,0),"-")</f>
        <v>-</v>
      </c>
    </row>
    <row r="1503" spans="9:15" x14ac:dyDescent="0.25">
      <c r="I1503" s="13"/>
      <c r="M1503" s="14"/>
      <c r="O1503" t="str">
        <f>IFERROR(VLOOKUP($I1503,CHOOSE({1,2},'[1]DIRETORES NTE'!$H$5:$H$31,'[1]DIRETORES NTE'!$E$5:$E$31,),2,0),"-")</f>
        <v>-</v>
      </c>
    </row>
    <row r="1504" spans="9:15" x14ac:dyDescent="0.25">
      <c r="I1504" s="13"/>
      <c r="M1504" s="14"/>
      <c r="O1504" t="str">
        <f>IFERROR(VLOOKUP($I1504,CHOOSE({1,2},'[1]DIRETORES NTE'!$H$5:$H$31,'[1]DIRETORES NTE'!$E$5:$E$31,),2,0),"-")</f>
        <v>-</v>
      </c>
    </row>
    <row r="1505" spans="9:15" x14ac:dyDescent="0.25">
      <c r="I1505" s="13"/>
      <c r="M1505" s="14"/>
      <c r="O1505" t="str">
        <f>IFERROR(VLOOKUP($I1505,CHOOSE({1,2},'[1]DIRETORES NTE'!$H$5:$H$31,'[1]DIRETORES NTE'!$E$5:$E$31,),2,0),"-")</f>
        <v>-</v>
      </c>
    </row>
    <row r="1506" spans="9:15" x14ac:dyDescent="0.25">
      <c r="I1506" s="13"/>
      <c r="M1506" s="14"/>
      <c r="O1506" t="str">
        <f>IFERROR(VLOOKUP($I1506,CHOOSE({1,2},'[1]DIRETORES NTE'!$H$5:$H$31,'[1]DIRETORES NTE'!$E$5:$E$31,),2,0),"-")</f>
        <v>-</v>
      </c>
    </row>
    <row r="1507" spans="9:15" x14ac:dyDescent="0.25">
      <c r="I1507" s="13"/>
      <c r="M1507" s="14"/>
      <c r="O1507" t="str">
        <f>IFERROR(VLOOKUP($I1507,CHOOSE({1,2},'[1]DIRETORES NTE'!$H$5:$H$31,'[1]DIRETORES NTE'!$E$5:$E$31,),2,0),"-")</f>
        <v>-</v>
      </c>
    </row>
    <row r="1508" spans="9:15" x14ac:dyDescent="0.25">
      <c r="I1508" s="13"/>
      <c r="M1508" s="14"/>
      <c r="O1508" t="str">
        <f>IFERROR(VLOOKUP($I1508,CHOOSE({1,2},'[1]DIRETORES NTE'!$H$5:$H$31,'[1]DIRETORES NTE'!$E$5:$E$31,),2,0),"-")</f>
        <v>-</v>
      </c>
    </row>
    <row r="1509" spans="9:15" x14ac:dyDescent="0.25">
      <c r="I1509" s="13"/>
      <c r="M1509" s="14"/>
      <c r="O1509" t="str">
        <f>IFERROR(VLOOKUP($I1509,CHOOSE({1,2},'[1]DIRETORES NTE'!$H$5:$H$31,'[1]DIRETORES NTE'!$E$5:$E$31,),2,0),"-")</f>
        <v>-</v>
      </c>
    </row>
    <row r="1510" spans="9:15" x14ac:dyDescent="0.25">
      <c r="I1510" s="13"/>
      <c r="M1510" s="14"/>
      <c r="O1510" t="str">
        <f>IFERROR(VLOOKUP($I1510,CHOOSE({1,2},'[1]DIRETORES NTE'!$H$5:$H$31,'[1]DIRETORES NTE'!$E$5:$E$31,),2,0),"-")</f>
        <v>-</v>
      </c>
    </row>
    <row r="1511" spans="9:15" x14ac:dyDescent="0.25">
      <c r="I1511" s="13"/>
      <c r="M1511" s="14"/>
      <c r="O1511" t="str">
        <f>IFERROR(VLOOKUP($I1511,CHOOSE({1,2},'[1]DIRETORES NTE'!$H$5:$H$31,'[1]DIRETORES NTE'!$E$5:$E$31,),2,0),"-")</f>
        <v>-</v>
      </c>
    </row>
    <row r="1512" spans="9:15" x14ac:dyDescent="0.25">
      <c r="I1512" s="13"/>
      <c r="M1512" s="14"/>
      <c r="O1512" t="str">
        <f>IFERROR(VLOOKUP($I1512,CHOOSE({1,2},'[1]DIRETORES NTE'!$H$5:$H$31,'[1]DIRETORES NTE'!$E$5:$E$31,),2,0),"-")</f>
        <v>-</v>
      </c>
    </row>
    <row r="1513" spans="9:15" x14ac:dyDescent="0.25">
      <c r="I1513" s="13"/>
      <c r="M1513" s="14"/>
      <c r="O1513" t="str">
        <f>IFERROR(VLOOKUP($I1513,CHOOSE({1,2},'[1]DIRETORES NTE'!$H$5:$H$31,'[1]DIRETORES NTE'!$E$5:$E$31,),2,0),"-")</f>
        <v>-</v>
      </c>
    </row>
    <row r="1514" spans="9:15" x14ac:dyDescent="0.25">
      <c r="I1514" s="13"/>
      <c r="M1514" s="14"/>
      <c r="O1514" t="str">
        <f>IFERROR(VLOOKUP($I1514,CHOOSE({1,2},'[1]DIRETORES NTE'!$H$5:$H$31,'[1]DIRETORES NTE'!$E$5:$E$31,),2,0),"-")</f>
        <v>-</v>
      </c>
    </row>
    <row r="1515" spans="9:15" x14ac:dyDescent="0.25">
      <c r="I1515" s="13"/>
      <c r="M1515" s="14"/>
      <c r="O1515" t="str">
        <f>IFERROR(VLOOKUP($I1515,CHOOSE({1,2},'[1]DIRETORES NTE'!$H$5:$H$31,'[1]DIRETORES NTE'!$E$5:$E$31,),2,0),"-")</f>
        <v>-</v>
      </c>
    </row>
    <row r="1516" spans="9:15" x14ac:dyDescent="0.25">
      <c r="I1516" s="13"/>
      <c r="M1516" s="14"/>
      <c r="O1516" t="str">
        <f>IFERROR(VLOOKUP($I1516,CHOOSE({1,2},'[1]DIRETORES NTE'!$H$5:$H$31,'[1]DIRETORES NTE'!$E$5:$E$31,),2,0),"-")</f>
        <v>-</v>
      </c>
    </row>
    <row r="1517" spans="9:15" x14ac:dyDescent="0.25">
      <c r="I1517" s="13"/>
      <c r="M1517" s="14"/>
      <c r="O1517" t="str">
        <f>IFERROR(VLOOKUP($I1517,CHOOSE({1,2},'[1]DIRETORES NTE'!$H$5:$H$31,'[1]DIRETORES NTE'!$E$5:$E$31,),2,0),"-")</f>
        <v>-</v>
      </c>
    </row>
    <row r="1518" spans="9:15" x14ac:dyDescent="0.25">
      <c r="I1518" s="13"/>
      <c r="M1518" s="14"/>
      <c r="O1518" t="str">
        <f>IFERROR(VLOOKUP($I1518,CHOOSE({1,2},'[1]DIRETORES NTE'!$H$5:$H$31,'[1]DIRETORES NTE'!$E$5:$E$31,),2,0),"-")</f>
        <v>-</v>
      </c>
    </row>
    <row r="1519" spans="9:15" x14ac:dyDescent="0.25">
      <c r="I1519" s="13"/>
      <c r="M1519" s="14"/>
      <c r="O1519" t="str">
        <f>IFERROR(VLOOKUP($I1519,CHOOSE({1,2},'[1]DIRETORES NTE'!$H$5:$H$31,'[1]DIRETORES NTE'!$E$5:$E$31,),2,0),"-")</f>
        <v>-</v>
      </c>
    </row>
    <row r="1520" spans="9:15" x14ac:dyDescent="0.25">
      <c r="I1520" s="13"/>
      <c r="M1520" s="14"/>
      <c r="O1520" t="str">
        <f>IFERROR(VLOOKUP($I1520,CHOOSE({1,2},'[1]DIRETORES NTE'!$H$5:$H$31,'[1]DIRETORES NTE'!$E$5:$E$31,),2,0),"-")</f>
        <v>-</v>
      </c>
    </row>
    <row r="1521" spans="9:15" x14ac:dyDescent="0.25">
      <c r="I1521" s="13"/>
      <c r="M1521" s="14"/>
      <c r="O1521" t="str">
        <f>IFERROR(VLOOKUP($I1521,CHOOSE({1,2},'[1]DIRETORES NTE'!$H$5:$H$31,'[1]DIRETORES NTE'!$E$5:$E$31,),2,0),"-")</f>
        <v>-</v>
      </c>
    </row>
    <row r="1522" spans="9:15" x14ac:dyDescent="0.25">
      <c r="I1522" s="13"/>
      <c r="M1522" s="14"/>
      <c r="O1522" t="str">
        <f>IFERROR(VLOOKUP($I1522,CHOOSE({1,2},'[1]DIRETORES NTE'!$H$5:$H$31,'[1]DIRETORES NTE'!$E$5:$E$31,),2,0),"-")</f>
        <v>-</v>
      </c>
    </row>
    <row r="1523" spans="9:15" x14ac:dyDescent="0.25">
      <c r="I1523" s="13"/>
      <c r="M1523" s="14"/>
      <c r="O1523" t="str">
        <f>IFERROR(VLOOKUP($I1523,CHOOSE({1,2},'[1]DIRETORES NTE'!$H$5:$H$31,'[1]DIRETORES NTE'!$E$5:$E$31,),2,0),"-")</f>
        <v>-</v>
      </c>
    </row>
    <row r="1524" spans="9:15" x14ac:dyDescent="0.25">
      <c r="I1524" s="13"/>
      <c r="M1524" s="14"/>
      <c r="O1524" t="str">
        <f>IFERROR(VLOOKUP($I1524,CHOOSE({1,2},'[1]DIRETORES NTE'!$H$5:$H$31,'[1]DIRETORES NTE'!$E$5:$E$31,),2,0),"-")</f>
        <v>-</v>
      </c>
    </row>
    <row r="1525" spans="9:15" x14ac:dyDescent="0.25">
      <c r="I1525" s="13"/>
      <c r="M1525" s="14"/>
      <c r="O1525" t="str">
        <f>IFERROR(VLOOKUP($I1525,CHOOSE({1,2},'[1]DIRETORES NTE'!$H$5:$H$31,'[1]DIRETORES NTE'!$E$5:$E$31,),2,0),"-")</f>
        <v>-</v>
      </c>
    </row>
    <row r="1526" spans="9:15" x14ac:dyDescent="0.25">
      <c r="I1526" s="13"/>
      <c r="M1526" s="14"/>
      <c r="O1526" t="str">
        <f>IFERROR(VLOOKUP($I1526,CHOOSE({1,2},'[1]DIRETORES NTE'!$H$5:$H$31,'[1]DIRETORES NTE'!$E$5:$E$31,),2,0),"-")</f>
        <v>-</v>
      </c>
    </row>
    <row r="1527" spans="9:15" x14ac:dyDescent="0.25">
      <c r="I1527" s="13"/>
      <c r="M1527" s="14"/>
      <c r="O1527" t="str">
        <f>IFERROR(VLOOKUP($I1527,CHOOSE({1,2},'[1]DIRETORES NTE'!$H$5:$H$31,'[1]DIRETORES NTE'!$E$5:$E$31,),2,0),"-")</f>
        <v>-</v>
      </c>
    </row>
    <row r="1528" spans="9:15" x14ac:dyDescent="0.25">
      <c r="I1528" s="13"/>
      <c r="M1528" s="14"/>
      <c r="O1528" t="str">
        <f>IFERROR(VLOOKUP($I1528,CHOOSE({1,2},'[1]DIRETORES NTE'!$H$5:$H$31,'[1]DIRETORES NTE'!$E$5:$E$31,),2,0),"-")</f>
        <v>-</v>
      </c>
    </row>
    <row r="1529" spans="9:15" x14ac:dyDescent="0.25">
      <c r="I1529" s="13"/>
      <c r="M1529" s="14"/>
      <c r="O1529" t="str">
        <f>IFERROR(VLOOKUP($I1529,CHOOSE({1,2},'[1]DIRETORES NTE'!$H$5:$H$31,'[1]DIRETORES NTE'!$E$5:$E$31,),2,0),"-")</f>
        <v>-</v>
      </c>
    </row>
    <row r="1530" spans="9:15" x14ac:dyDescent="0.25">
      <c r="I1530" s="13"/>
      <c r="M1530" s="14"/>
      <c r="O1530" t="str">
        <f>IFERROR(VLOOKUP($I1530,CHOOSE({1,2},'[1]DIRETORES NTE'!$H$5:$H$31,'[1]DIRETORES NTE'!$E$5:$E$31,),2,0),"-")</f>
        <v>-</v>
      </c>
    </row>
    <row r="1531" spans="9:15" x14ac:dyDescent="0.25">
      <c r="I1531" s="13"/>
      <c r="M1531" s="14"/>
      <c r="O1531" t="str">
        <f>IFERROR(VLOOKUP($I1531,CHOOSE({1,2},'[1]DIRETORES NTE'!$H$5:$H$31,'[1]DIRETORES NTE'!$E$5:$E$31,),2,0),"-")</f>
        <v>-</v>
      </c>
    </row>
    <row r="1532" spans="9:15" x14ac:dyDescent="0.25">
      <c r="I1532" s="13"/>
      <c r="M1532" s="14"/>
      <c r="O1532" t="str">
        <f>IFERROR(VLOOKUP($I1532,CHOOSE({1,2},'[1]DIRETORES NTE'!$H$5:$H$31,'[1]DIRETORES NTE'!$E$5:$E$31,),2,0),"-")</f>
        <v>-</v>
      </c>
    </row>
    <row r="1533" spans="9:15" x14ac:dyDescent="0.25">
      <c r="I1533" s="13"/>
      <c r="M1533" s="14"/>
      <c r="O1533" t="str">
        <f>IFERROR(VLOOKUP($I1533,CHOOSE({1,2},'[1]DIRETORES NTE'!$H$5:$H$31,'[1]DIRETORES NTE'!$E$5:$E$31,),2,0),"-")</f>
        <v>-</v>
      </c>
    </row>
    <row r="1534" spans="9:15" x14ac:dyDescent="0.25">
      <c r="I1534" s="13"/>
      <c r="M1534" s="14"/>
      <c r="O1534" t="str">
        <f>IFERROR(VLOOKUP($I1534,CHOOSE({1,2},'[1]DIRETORES NTE'!$H$5:$H$31,'[1]DIRETORES NTE'!$E$5:$E$31,),2,0),"-")</f>
        <v>-</v>
      </c>
    </row>
    <row r="1535" spans="9:15" x14ac:dyDescent="0.25">
      <c r="I1535" s="13"/>
      <c r="M1535" s="14"/>
      <c r="O1535" t="str">
        <f>IFERROR(VLOOKUP($I1535,CHOOSE({1,2},'[1]DIRETORES NTE'!$H$5:$H$31,'[1]DIRETORES NTE'!$E$5:$E$31,),2,0),"-")</f>
        <v>-</v>
      </c>
    </row>
    <row r="1536" spans="9:15" x14ac:dyDescent="0.25">
      <c r="I1536" s="13"/>
      <c r="M1536" s="14"/>
      <c r="O1536" t="str">
        <f>IFERROR(VLOOKUP($I1536,CHOOSE({1,2},'[1]DIRETORES NTE'!$H$5:$H$31,'[1]DIRETORES NTE'!$E$5:$E$31,),2,0),"-")</f>
        <v>-</v>
      </c>
    </row>
    <row r="1537" spans="9:15" x14ac:dyDescent="0.25">
      <c r="I1537" s="13"/>
      <c r="M1537" s="14"/>
      <c r="O1537" t="str">
        <f>IFERROR(VLOOKUP($I1537,CHOOSE({1,2},'[1]DIRETORES NTE'!$H$5:$H$31,'[1]DIRETORES NTE'!$E$5:$E$31,),2,0),"-")</f>
        <v>-</v>
      </c>
    </row>
    <row r="1538" spans="9:15" x14ac:dyDescent="0.25">
      <c r="I1538" s="13"/>
      <c r="M1538" s="14"/>
      <c r="O1538" t="str">
        <f>IFERROR(VLOOKUP($I1538,CHOOSE({1,2},'[1]DIRETORES NTE'!$H$5:$H$31,'[1]DIRETORES NTE'!$E$5:$E$31,),2,0),"-")</f>
        <v>-</v>
      </c>
    </row>
    <row r="1539" spans="9:15" x14ac:dyDescent="0.25">
      <c r="I1539" s="13"/>
      <c r="M1539" s="14"/>
      <c r="O1539" t="str">
        <f>IFERROR(VLOOKUP($I1539,CHOOSE({1,2},'[1]DIRETORES NTE'!$H$5:$H$31,'[1]DIRETORES NTE'!$E$5:$E$31,),2,0),"-")</f>
        <v>-</v>
      </c>
    </row>
    <row r="1540" spans="9:15" x14ac:dyDescent="0.25">
      <c r="I1540" s="13"/>
      <c r="M1540" s="14"/>
      <c r="O1540" t="str">
        <f>IFERROR(VLOOKUP($I1540,CHOOSE({1,2},'[1]DIRETORES NTE'!$H$5:$H$31,'[1]DIRETORES NTE'!$E$5:$E$31,),2,0),"-")</f>
        <v>-</v>
      </c>
    </row>
    <row r="1541" spans="9:15" x14ac:dyDescent="0.25">
      <c r="I1541" s="13"/>
      <c r="M1541" s="14"/>
      <c r="O1541" t="str">
        <f>IFERROR(VLOOKUP($I1541,CHOOSE({1,2},'[1]DIRETORES NTE'!$H$5:$H$31,'[1]DIRETORES NTE'!$E$5:$E$31,),2,0),"-")</f>
        <v>-</v>
      </c>
    </row>
    <row r="1542" spans="9:15" x14ac:dyDescent="0.25">
      <c r="I1542" s="13"/>
      <c r="M1542" s="14"/>
      <c r="O1542" t="str">
        <f>IFERROR(VLOOKUP($I1542,CHOOSE({1,2},'[1]DIRETORES NTE'!$H$5:$H$31,'[1]DIRETORES NTE'!$E$5:$E$31,),2,0),"-")</f>
        <v>-</v>
      </c>
    </row>
    <row r="1543" spans="9:15" x14ac:dyDescent="0.25">
      <c r="I1543" s="13"/>
      <c r="M1543" s="14"/>
      <c r="O1543" t="str">
        <f>IFERROR(VLOOKUP($I1543,CHOOSE({1,2},'[1]DIRETORES NTE'!$H$5:$H$31,'[1]DIRETORES NTE'!$E$5:$E$31,),2,0),"-")</f>
        <v>-</v>
      </c>
    </row>
    <row r="1544" spans="9:15" x14ac:dyDescent="0.25">
      <c r="I1544" s="13"/>
      <c r="M1544" s="14"/>
      <c r="O1544" t="str">
        <f>IFERROR(VLOOKUP($I1544,CHOOSE({1,2},'[1]DIRETORES NTE'!$H$5:$H$31,'[1]DIRETORES NTE'!$E$5:$E$31,),2,0),"-")</f>
        <v>-</v>
      </c>
    </row>
    <row r="1545" spans="9:15" x14ac:dyDescent="0.25">
      <c r="I1545" s="13"/>
      <c r="M1545" s="14"/>
      <c r="O1545" t="str">
        <f>IFERROR(VLOOKUP($I1545,CHOOSE({1,2},'[1]DIRETORES NTE'!$H$5:$H$31,'[1]DIRETORES NTE'!$E$5:$E$31,),2,0),"-")</f>
        <v>-</v>
      </c>
    </row>
    <row r="1546" spans="9:15" x14ac:dyDescent="0.25">
      <c r="I1546" s="13"/>
      <c r="M1546" s="14"/>
      <c r="O1546" t="str">
        <f>IFERROR(VLOOKUP($I1546,CHOOSE({1,2},'[1]DIRETORES NTE'!$H$5:$H$31,'[1]DIRETORES NTE'!$E$5:$E$31,),2,0),"-")</f>
        <v>-</v>
      </c>
    </row>
    <row r="1547" spans="9:15" x14ac:dyDescent="0.25">
      <c r="I1547" s="13"/>
      <c r="M1547" s="14"/>
      <c r="O1547" t="str">
        <f>IFERROR(VLOOKUP($I1547,CHOOSE({1,2},'[1]DIRETORES NTE'!$H$5:$H$31,'[1]DIRETORES NTE'!$E$5:$E$31,),2,0),"-")</f>
        <v>-</v>
      </c>
    </row>
    <row r="1548" spans="9:15" x14ac:dyDescent="0.25">
      <c r="I1548" s="13"/>
      <c r="M1548" s="14"/>
      <c r="O1548" t="str">
        <f>IFERROR(VLOOKUP($I1548,CHOOSE({1,2},'[1]DIRETORES NTE'!$H$5:$H$31,'[1]DIRETORES NTE'!$E$5:$E$31,),2,0),"-")</f>
        <v>-</v>
      </c>
    </row>
    <row r="1549" spans="9:15" x14ac:dyDescent="0.25">
      <c r="I1549" s="13"/>
      <c r="M1549" s="14"/>
      <c r="O1549" t="str">
        <f>IFERROR(VLOOKUP($I1549,CHOOSE({1,2},'[1]DIRETORES NTE'!$H$5:$H$31,'[1]DIRETORES NTE'!$E$5:$E$31,),2,0),"-")</f>
        <v>-</v>
      </c>
    </row>
    <row r="1550" spans="9:15" x14ac:dyDescent="0.25">
      <c r="I1550" s="13"/>
      <c r="M1550" s="14"/>
      <c r="O1550" t="str">
        <f>IFERROR(VLOOKUP($I1550,CHOOSE({1,2},'[1]DIRETORES NTE'!$H$5:$H$31,'[1]DIRETORES NTE'!$E$5:$E$31,),2,0),"-")</f>
        <v>-</v>
      </c>
    </row>
    <row r="1551" spans="9:15" x14ac:dyDescent="0.25">
      <c r="I1551" s="13"/>
      <c r="M1551" s="14"/>
      <c r="O1551" t="str">
        <f>IFERROR(VLOOKUP($I1551,CHOOSE({1,2},'[1]DIRETORES NTE'!$H$5:$H$31,'[1]DIRETORES NTE'!$E$5:$E$31,),2,0),"-")</f>
        <v>-</v>
      </c>
    </row>
    <row r="1552" spans="9:15" x14ac:dyDescent="0.25">
      <c r="I1552" s="13"/>
      <c r="M1552" s="14"/>
      <c r="O1552" t="str">
        <f>IFERROR(VLOOKUP($I1552,CHOOSE({1,2},'[1]DIRETORES NTE'!$H$5:$H$31,'[1]DIRETORES NTE'!$E$5:$E$31,),2,0),"-")</f>
        <v>-</v>
      </c>
    </row>
    <row r="1553" spans="9:15" x14ac:dyDescent="0.25">
      <c r="I1553" s="13"/>
      <c r="M1553" s="14"/>
      <c r="O1553" t="str">
        <f>IFERROR(VLOOKUP($I1553,CHOOSE({1,2},'[1]DIRETORES NTE'!$H$5:$H$31,'[1]DIRETORES NTE'!$E$5:$E$31,),2,0),"-")</f>
        <v>-</v>
      </c>
    </row>
    <row r="1554" spans="9:15" x14ac:dyDescent="0.25">
      <c r="I1554" s="13"/>
      <c r="M1554" s="14"/>
      <c r="O1554" t="str">
        <f>IFERROR(VLOOKUP($I1554,CHOOSE({1,2},'[1]DIRETORES NTE'!$H$5:$H$31,'[1]DIRETORES NTE'!$E$5:$E$31,),2,0),"-")</f>
        <v>-</v>
      </c>
    </row>
    <row r="1555" spans="9:15" x14ac:dyDescent="0.25">
      <c r="I1555" s="13"/>
      <c r="M1555" s="14"/>
      <c r="O1555" t="str">
        <f>IFERROR(VLOOKUP($I1555,CHOOSE({1,2},'[1]DIRETORES NTE'!$H$5:$H$31,'[1]DIRETORES NTE'!$E$5:$E$31,),2,0),"-")</f>
        <v>-</v>
      </c>
    </row>
    <row r="1556" spans="9:15" x14ac:dyDescent="0.25">
      <c r="I1556" s="13"/>
      <c r="M1556" s="14"/>
      <c r="O1556" t="str">
        <f>IFERROR(VLOOKUP($I1556,CHOOSE({1,2},'[1]DIRETORES NTE'!$H$5:$H$31,'[1]DIRETORES NTE'!$E$5:$E$31,),2,0),"-")</f>
        <v>-</v>
      </c>
    </row>
    <row r="1557" spans="9:15" x14ac:dyDescent="0.25">
      <c r="I1557" s="13"/>
      <c r="M1557" s="14"/>
      <c r="O1557" t="str">
        <f>IFERROR(VLOOKUP($I1557,CHOOSE({1,2},'[1]DIRETORES NTE'!$H$5:$H$31,'[1]DIRETORES NTE'!$E$5:$E$31,),2,0),"-")</f>
        <v>-</v>
      </c>
    </row>
    <row r="1558" spans="9:15" x14ac:dyDescent="0.25">
      <c r="I1558" s="13"/>
      <c r="M1558" s="14"/>
      <c r="O1558" t="str">
        <f>IFERROR(VLOOKUP($I1558,CHOOSE({1,2},'[1]DIRETORES NTE'!$H$5:$H$31,'[1]DIRETORES NTE'!$E$5:$E$31,),2,0),"-")</f>
        <v>-</v>
      </c>
    </row>
    <row r="1559" spans="9:15" x14ac:dyDescent="0.25">
      <c r="I1559" s="13"/>
      <c r="M1559" s="14"/>
      <c r="O1559" t="str">
        <f>IFERROR(VLOOKUP($I1559,CHOOSE({1,2},'[1]DIRETORES NTE'!$H$5:$H$31,'[1]DIRETORES NTE'!$E$5:$E$31,),2,0),"-")</f>
        <v>-</v>
      </c>
    </row>
    <row r="1560" spans="9:15" x14ac:dyDescent="0.25">
      <c r="I1560" s="13"/>
      <c r="M1560" s="14"/>
      <c r="O1560" t="str">
        <f>IFERROR(VLOOKUP($I1560,CHOOSE({1,2},'[1]DIRETORES NTE'!$H$5:$H$31,'[1]DIRETORES NTE'!$E$5:$E$31,),2,0),"-")</f>
        <v>-</v>
      </c>
    </row>
    <row r="1561" spans="9:15" x14ac:dyDescent="0.25">
      <c r="I1561" s="13"/>
      <c r="M1561" s="14"/>
      <c r="O1561" t="str">
        <f>IFERROR(VLOOKUP($I1561,CHOOSE({1,2},'[1]DIRETORES NTE'!$H$5:$H$31,'[1]DIRETORES NTE'!$E$5:$E$31,),2,0),"-")</f>
        <v>-</v>
      </c>
    </row>
    <row r="1562" spans="9:15" x14ac:dyDescent="0.25">
      <c r="I1562" s="13"/>
      <c r="M1562" s="14"/>
      <c r="O1562" t="str">
        <f>IFERROR(VLOOKUP($I1562,CHOOSE({1,2},'[1]DIRETORES NTE'!$H$5:$H$31,'[1]DIRETORES NTE'!$E$5:$E$31,),2,0),"-")</f>
        <v>-</v>
      </c>
    </row>
    <row r="1563" spans="9:15" x14ac:dyDescent="0.25">
      <c r="I1563" s="13"/>
      <c r="M1563" s="14"/>
      <c r="O1563" t="str">
        <f>IFERROR(VLOOKUP($I1563,CHOOSE({1,2},'[1]DIRETORES NTE'!$H$5:$H$31,'[1]DIRETORES NTE'!$E$5:$E$31,),2,0),"-")</f>
        <v>-</v>
      </c>
    </row>
    <row r="1564" spans="9:15" x14ac:dyDescent="0.25">
      <c r="I1564" s="13"/>
      <c r="M1564" s="14"/>
      <c r="O1564" t="str">
        <f>IFERROR(VLOOKUP($I1564,CHOOSE({1,2},'[1]DIRETORES NTE'!$H$5:$H$31,'[1]DIRETORES NTE'!$E$5:$E$31,),2,0),"-")</f>
        <v>-</v>
      </c>
    </row>
    <row r="1565" spans="9:15" x14ac:dyDescent="0.25">
      <c r="I1565" s="13"/>
      <c r="M1565" s="14"/>
      <c r="O1565" t="str">
        <f>IFERROR(VLOOKUP($I1565,CHOOSE({1,2},'[1]DIRETORES NTE'!$H$5:$H$31,'[1]DIRETORES NTE'!$E$5:$E$31,),2,0),"-")</f>
        <v>-</v>
      </c>
    </row>
    <row r="1566" spans="9:15" x14ac:dyDescent="0.25">
      <c r="I1566" s="13"/>
      <c r="M1566" s="14"/>
      <c r="O1566" t="str">
        <f>IFERROR(VLOOKUP($I1566,CHOOSE({1,2},'[1]DIRETORES NTE'!$H$5:$H$31,'[1]DIRETORES NTE'!$E$5:$E$31,),2,0),"-")</f>
        <v>-</v>
      </c>
    </row>
    <row r="1567" spans="9:15" x14ac:dyDescent="0.25">
      <c r="I1567" s="13"/>
      <c r="M1567" s="14"/>
      <c r="O1567" t="str">
        <f>IFERROR(VLOOKUP($I1567,CHOOSE({1,2},'[1]DIRETORES NTE'!$H$5:$H$31,'[1]DIRETORES NTE'!$E$5:$E$31,),2,0),"-")</f>
        <v>-</v>
      </c>
    </row>
    <row r="1568" spans="9:15" x14ac:dyDescent="0.25">
      <c r="I1568" s="13"/>
      <c r="M1568" s="14"/>
      <c r="O1568" t="str">
        <f>IFERROR(VLOOKUP($I1568,CHOOSE({1,2},'[1]DIRETORES NTE'!$H$5:$H$31,'[1]DIRETORES NTE'!$E$5:$E$31,),2,0),"-")</f>
        <v>-</v>
      </c>
    </row>
    <row r="1569" spans="9:15" x14ac:dyDescent="0.25">
      <c r="I1569" s="13"/>
      <c r="M1569" s="14"/>
      <c r="O1569" t="str">
        <f>IFERROR(VLOOKUP($I1569,CHOOSE({1,2},'[1]DIRETORES NTE'!$H$5:$H$31,'[1]DIRETORES NTE'!$E$5:$E$31,),2,0),"-")</f>
        <v>-</v>
      </c>
    </row>
    <row r="1570" spans="9:15" x14ac:dyDescent="0.25">
      <c r="I1570" s="13"/>
      <c r="M1570" s="14"/>
      <c r="O1570" t="str">
        <f>IFERROR(VLOOKUP($I1570,CHOOSE({1,2},'[1]DIRETORES NTE'!$H$5:$H$31,'[1]DIRETORES NTE'!$E$5:$E$31,),2,0),"-")</f>
        <v>-</v>
      </c>
    </row>
    <row r="1571" spans="9:15" x14ac:dyDescent="0.25">
      <c r="I1571" s="13"/>
      <c r="M1571" s="14"/>
      <c r="O1571" t="str">
        <f>IFERROR(VLOOKUP($I1571,CHOOSE({1,2},'[1]DIRETORES NTE'!$H$5:$H$31,'[1]DIRETORES NTE'!$E$5:$E$31,),2,0),"-")</f>
        <v>-</v>
      </c>
    </row>
    <row r="1572" spans="9:15" x14ac:dyDescent="0.25">
      <c r="I1572" s="13"/>
      <c r="M1572" s="14"/>
      <c r="O1572" t="str">
        <f>IFERROR(VLOOKUP($I1572,CHOOSE({1,2},'[1]DIRETORES NTE'!$H$5:$H$31,'[1]DIRETORES NTE'!$E$5:$E$31,),2,0),"-")</f>
        <v>-</v>
      </c>
    </row>
    <row r="1573" spans="9:15" x14ac:dyDescent="0.25">
      <c r="I1573" s="13"/>
      <c r="M1573" s="14"/>
      <c r="O1573" t="str">
        <f>IFERROR(VLOOKUP($I1573,CHOOSE({1,2},'[1]DIRETORES NTE'!$H$5:$H$31,'[1]DIRETORES NTE'!$E$5:$E$31,),2,0),"-")</f>
        <v>-</v>
      </c>
    </row>
    <row r="1574" spans="9:15" x14ac:dyDescent="0.25">
      <c r="I1574" s="13"/>
      <c r="M1574" s="14"/>
      <c r="O1574" t="str">
        <f>IFERROR(VLOOKUP($I1574,CHOOSE({1,2},'[1]DIRETORES NTE'!$H$5:$H$31,'[1]DIRETORES NTE'!$E$5:$E$31,),2,0),"-")</f>
        <v>-</v>
      </c>
    </row>
    <row r="1575" spans="9:15" x14ac:dyDescent="0.25">
      <c r="I1575" s="13"/>
      <c r="M1575" s="14"/>
      <c r="O1575" t="str">
        <f>IFERROR(VLOOKUP($I1575,CHOOSE({1,2},'[1]DIRETORES NTE'!$H$5:$H$31,'[1]DIRETORES NTE'!$E$5:$E$31,),2,0),"-")</f>
        <v>-</v>
      </c>
    </row>
    <row r="1576" spans="9:15" x14ac:dyDescent="0.25">
      <c r="I1576" s="13"/>
      <c r="M1576" s="14"/>
      <c r="O1576" t="str">
        <f>IFERROR(VLOOKUP($I1576,CHOOSE({1,2},'[1]DIRETORES NTE'!$H$5:$H$31,'[1]DIRETORES NTE'!$E$5:$E$31,),2,0),"-")</f>
        <v>-</v>
      </c>
    </row>
    <row r="1577" spans="9:15" x14ac:dyDescent="0.25">
      <c r="I1577" s="13"/>
      <c r="M1577" s="14"/>
      <c r="O1577" t="str">
        <f>IFERROR(VLOOKUP($I1577,CHOOSE({1,2},'[1]DIRETORES NTE'!$H$5:$H$31,'[1]DIRETORES NTE'!$E$5:$E$31,),2,0),"-")</f>
        <v>-</v>
      </c>
    </row>
    <row r="1578" spans="9:15" x14ac:dyDescent="0.25">
      <c r="I1578" s="13"/>
      <c r="M1578" s="14"/>
      <c r="O1578" t="str">
        <f>IFERROR(VLOOKUP($I1578,CHOOSE({1,2},'[1]DIRETORES NTE'!$H$5:$H$31,'[1]DIRETORES NTE'!$E$5:$E$31,),2,0),"-")</f>
        <v>-</v>
      </c>
    </row>
    <row r="1579" spans="9:15" x14ac:dyDescent="0.25">
      <c r="I1579" s="13"/>
      <c r="M1579" s="14"/>
      <c r="O1579" t="str">
        <f>IFERROR(VLOOKUP($I1579,CHOOSE({1,2},'[1]DIRETORES NTE'!$H$5:$H$31,'[1]DIRETORES NTE'!$E$5:$E$31,),2,0),"-")</f>
        <v>-</v>
      </c>
    </row>
    <row r="1580" spans="9:15" x14ac:dyDescent="0.25">
      <c r="I1580" s="13"/>
      <c r="M1580" s="14"/>
      <c r="O1580" t="str">
        <f>IFERROR(VLOOKUP($I1580,CHOOSE({1,2},'[1]DIRETORES NTE'!$H$5:$H$31,'[1]DIRETORES NTE'!$E$5:$E$31,),2,0),"-")</f>
        <v>-</v>
      </c>
    </row>
    <row r="1581" spans="9:15" x14ac:dyDescent="0.25">
      <c r="I1581" s="13"/>
      <c r="M1581" s="14"/>
      <c r="O1581" t="str">
        <f>IFERROR(VLOOKUP($I1581,CHOOSE({1,2},'[1]DIRETORES NTE'!$H$5:$H$31,'[1]DIRETORES NTE'!$E$5:$E$31,),2,0),"-")</f>
        <v>-</v>
      </c>
    </row>
    <row r="1582" spans="9:15" x14ac:dyDescent="0.25">
      <c r="I1582" s="13"/>
      <c r="M1582" s="14"/>
      <c r="O1582" t="str">
        <f>IFERROR(VLOOKUP($I1582,CHOOSE({1,2},'[1]DIRETORES NTE'!$H$5:$H$31,'[1]DIRETORES NTE'!$E$5:$E$31,),2,0),"-")</f>
        <v>-</v>
      </c>
    </row>
    <row r="1583" spans="9:15" x14ac:dyDescent="0.25">
      <c r="I1583" s="13"/>
      <c r="M1583" s="14"/>
      <c r="O1583" t="str">
        <f>IFERROR(VLOOKUP($I1583,CHOOSE({1,2},'[1]DIRETORES NTE'!$H$5:$H$31,'[1]DIRETORES NTE'!$E$5:$E$31,),2,0),"-")</f>
        <v>-</v>
      </c>
    </row>
    <row r="1584" spans="9:15" x14ac:dyDescent="0.25">
      <c r="I1584" s="13"/>
      <c r="M1584" s="14"/>
      <c r="O1584" t="str">
        <f>IFERROR(VLOOKUP($I1584,CHOOSE({1,2},'[1]DIRETORES NTE'!$H$5:$H$31,'[1]DIRETORES NTE'!$E$5:$E$31,),2,0),"-")</f>
        <v>-</v>
      </c>
    </row>
    <row r="1585" spans="9:15" x14ac:dyDescent="0.25">
      <c r="I1585" s="13"/>
      <c r="M1585" s="14"/>
      <c r="O1585" t="str">
        <f>IFERROR(VLOOKUP($I1585,CHOOSE({1,2},'[1]DIRETORES NTE'!$H$5:$H$31,'[1]DIRETORES NTE'!$E$5:$E$31,),2,0),"-")</f>
        <v>-</v>
      </c>
    </row>
    <row r="1586" spans="9:15" x14ac:dyDescent="0.25">
      <c r="I1586" s="13"/>
      <c r="M1586" s="14"/>
      <c r="O1586" t="str">
        <f>IFERROR(VLOOKUP($I1586,CHOOSE({1,2},'[1]DIRETORES NTE'!$H$5:$H$31,'[1]DIRETORES NTE'!$E$5:$E$31,),2,0),"-")</f>
        <v>-</v>
      </c>
    </row>
    <row r="1587" spans="9:15" x14ac:dyDescent="0.25">
      <c r="I1587" s="13"/>
      <c r="M1587" s="14"/>
      <c r="O1587" t="str">
        <f>IFERROR(VLOOKUP($I1587,CHOOSE({1,2},'[1]DIRETORES NTE'!$H$5:$H$31,'[1]DIRETORES NTE'!$E$5:$E$31,),2,0),"-")</f>
        <v>-</v>
      </c>
    </row>
    <row r="1588" spans="9:15" x14ac:dyDescent="0.25">
      <c r="I1588" s="13"/>
      <c r="M1588" s="14"/>
      <c r="O1588" t="str">
        <f>IFERROR(VLOOKUP($I1588,CHOOSE({1,2},'[1]DIRETORES NTE'!$H$5:$H$31,'[1]DIRETORES NTE'!$E$5:$E$31,),2,0),"-")</f>
        <v>-</v>
      </c>
    </row>
    <row r="1589" spans="9:15" x14ac:dyDescent="0.25">
      <c r="I1589" s="13"/>
      <c r="M1589" s="14"/>
      <c r="O1589" t="str">
        <f>IFERROR(VLOOKUP($I1589,CHOOSE({1,2},'[1]DIRETORES NTE'!$H$5:$H$31,'[1]DIRETORES NTE'!$E$5:$E$31,),2,0),"-")</f>
        <v>-</v>
      </c>
    </row>
    <row r="1590" spans="9:15" x14ac:dyDescent="0.25">
      <c r="I1590" s="13"/>
      <c r="M1590" s="14"/>
      <c r="O1590" t="str">
        <f>IFERROR(VLOOKUP($I1590,CHOOSE({1,2},'[1]DIRETORES NTE'!$H$5:$H$31,'[1]DIRETORES NTE'!$E$5:$E$31,),2,0),"-")</f>
        <v>-</v>
      </c>
    </row>
    <row r="1591" spans="9:15" x14ac:dyDescent="0.25">
      <c r="I1591" s="13"/>
      <c r="M1591" s="14"/>
      <c r="O1591" t="str">
        <f>IFERROR(VLOOKUP($I1591,CHOOSE({1,2},'[1]DIRETORES NTE'!$H$5:$H$31,'[1]DIRETORES NTE'!$E$5:$E$31,),2,0),"-")</f>
        <v>-</v>
      </c>
    </row>
    <row r="1592" spans="9:15" x14ac:dyDescent="0.25">
      <c r="I1592" s="13"/>
      <c r="M1592" s="14"/>
      <c r="O1592" t="str">
        <f>IFERROR(VLOOKUP($I1592,CHOOSE({1,2},'[1]DIRETORES NTE'!$H$5:$H$31,'[1]DIRETORES NTE'!$E$5:$E$31,),2,0),"-")</f>
        <v>-</v>
      </c>
    </row>
    <row r="1593" spans="9:15" x14ac:dyDescent="0.25">
      <c r="I1593" s="13"/>
      <c r="M1593" s="14"/>
      <c r="O1593" t="str">
        <f>IFERROR(VLOOKUP($I1593,CHOOSE({1,2},'[1]DIRETORES NTE'!$H$5:$H$31,'[1]DIRETORES NTE'!$E$5:$E$31,),2,0),"-")</f>
        <v>-</v>
      </c>
    </row>
    <row r="1594" spans="9:15" x14ac:dyDescent="0.25">
      <c r="I1594" s="13"/>
      <c r="M1594" s="14"/>
      <c r="O1594" t="str">
        <f>IFERROR(VLOOKUP($I1594,CHOOSE({1,2},'[1]DIRETORES NTE'!$H$5:$H$31,'[1]DIRETORES NTE'!$E$5:$E$31,),2,0),"-")</f>
        <v>-</v>
      </c>
    </row>
    <row r="1595" spans="9:15" x14ac:dyDescent="0.25">
      <c r="I1595" s="13"/>
      <c r="M1595" s="14"/>
      <c r="O1595" t="str">
        <f>IFERROR(VLOOKUP($I1595,CHOOSE({1,2},'[1]DIRETORES NTE'!$H$5:$H$31,'[1]DIRETORES NTE'!$E$5:$E$31,),2,0),"-")</f>
        <v>-</v>
      </c>
    </row>
    <row r="1596" spans="9:15" x14ac:dyDescent="0.25">
      <c r="I1596" s="13"/>
      <c r="M1596" s="14"/>
      <c r="O1596" t="str">
        <f>IFERROR(VLOOKUP($I1596,CHOOSE({1,2},'[1]DIRETORES NTE'!$H$5:$H$31,'[1]DIRETORES NTE'!$E$5:$E$31,),2,0),"-")</f>
        <v>-</v>
      </c>
    </row>
    <row r="1597" spans="9:15" x14ac:dyDescent="0.25">
      <c r="I1597" s="13"/>
      <c r="M1597" s="14"/>
      <c r="O1597" t="str">
        <f>IFERROR(VLOOKUP($I1597,CHOOSE({1,2},'[1]DIRETORES NTE'!$H$5:$H$31,'[1]DIRETORES NTE'!$E$5:$E$31,),2,0),"-")</f>
        <v>-</v>
      </c>
    </row>
    <row r="1598" spans="9:15" x14ac:dyDescent="0.25">
      <c r="I1598" s="13"/>
      <c r="M1598" s="14"/>
      <c r="O1598" t="str">
        <f>IFERROR(VLOOKUP($I1598,CHOOSE({1,2},'[1]DIRETORES NTE'!$H$5:$H$31,'[1]DIRETORES NTE'!$E$5:$E$31,),2,0),"-")</f>
        <v>-</v>
      </c>
    </row>
    <row r="1599" spans="9:15" x14ac:dyDescent="0.25">
      <c r="I1599" s="13"/>
      <c r="M1599" s="14"/>
      <c r="O1599" t="str">
        <f>IFERROR(VLOOKUP($I1599,CHOOSE({1,2},'[1]DIRETORES NTE'!$H$5:$H$31,'[1]DIRETORES NTE'!$E$5:$E$31,),2,0),"-")</f>
        <v>-</v>
      </c>
    </row>
    <row r="1600" spans="9:15" x14ac:dyDescent="0.25">
      <c r="I1600" s="13"/>
      <c r="M1600" s="14"/>
      <c r="O1600" t="str">
        <f>IFERROR(VLOOKUP($I1600,CHOOSE({1,2},'[1]DIRETORES NTE'!$H$5:$H$31,'[1]DIRETORES NTE'!$E$5:$E$31,),2,0),"-")</f>
        <v>-</v>
      </c>
    </row>
    <row r="1601" spans="9:15" x14ac:dyDescent="0.25">
      <c r="I1601" s="13"/>
      <c r="M1601" s="14"/>
      <c r="O1601" t="str">
        <f>IFERROR(VLOOKUP($I1601,CHOOSE({1,2},'[1]DIRETORES NTE'!$H$5:$H$31,'[1]DIRETORES NTE'!$E$5:$E$31,),2,0),"-")</f>
        <v>-</v>
      </c>
    </row>
    <row r="1602" spans="9:15" x14ac:dyDescent="0.25">
      <c r="I1602" s="13"/>
      <c r="M1602" s="14"/>
      <c r="O1602" t="str">
        <f>IFERROR(VLOOKUP($I1602,CHOOSE({1,2},'[1]DIRETORES NTE'!$H$5:$H$31,'[1]DIRETORES NTE'!$E$5:$E$31,),2,0),"-")</f>
        <v>-</v>
      </c>
    </row>
    <row r="1603" spans="9:15" x14ac:dyDescent="0.25">
      <c r="I1603" s="13"/>
      <c r="M1603" s="14"/>
      <c r="O1603" t="str">
        <f>IFERROR(VLOOKUP($I1603,CHOOSE({1,2},'[1]DIRETORES NTE'!$H$5:$H$31,'[1]DIRETORES NTE'!$E$5:$E$31,),2,0),"-")</f>
        <v>-</v>
      </c>
    </row>
    <row r="1604" spans="9:15" x14ac:dyDescent="0.25">
      <c r="I1604" s="13"/>
      <c r="M1604" s="14"/>
      <c r="O1604" t="str">
        <f>IFERROR(VLOOKUP($I1604,CHOOSE({1,2},'[1]DIRETORES NTE'!$H$5:$H$31,'[1]DIRETORES NTE'!$E$5:$E$31,),2,0),"-")</f>
        <v>-</v>
      </c>
    </row>
    <row r="1605" spans="9:15" x14ac:dyDescent="0.25">
      <c r="I1605" s="13"/>
      <c r="M1605" s="14"/>
      <c r="O1605" t="str">
        <f>IFERROR(VLOOKUP($I1605,CHOOSE({1,2},'[1]DIRETORES NTE'!$H$5:$H$31,'[1]DIRETORES NTE'!$E$5:$E$31,),2,0),"-")</f>
        <v>-</v>
      </c>
    </row>
    <row r="1606" spans="9:15" x14ac:dyDescent="0.25">
      <c r="I1606" s="13"/>
      <c r="M1606" s="14"/>
      <c r="O1606" t="str">
        <f>IFERROR(VLOOKUP($I1606,CHOOSE({1,2},'[1]DIRETORES NTE'!$H$5:$H$31,'[1]DIRETORES NTE'!$E$5:$E$31,),2,0),"-")</f>
        <v>-</v>
      </c>
    </row>
    <row r="1607" spans="9:15" x14ac:dyDescent="0.25">
      <c r="I1607" s="13"/>
      <c r="M1607" s="14"/>
      <c r="O1607" t="str">
        <f>IFERROR(VLOOKUP($I1607,CHOOSE({1,2},'[1]DIRETORES NTE'!$H$5:$H$31,'[1]DIRETORES NTE'!$E$5:$E$31,),2,0),"-")</f>
        <v>-</v>
      </c>
    </row>
    <row r="1608" spans="9:15" x14ac:dyDescent="0.25">
      <c r="I1608" s="13"/>
      <c r="M1608" s="14"/>
      <c r="O1608" t="str">
        <f>IFERROR(VLOOKUP($I1608,CHOOSE({1,2},'[1]DIRETORES NTE'!$H$5:$H$31,'[1]DIRETORES NTE'!$E$5:$E$31,),2,0),"-")</f>
        <v>-</v>
      </c>
    </row>
    <row r="1609" spans="9:15" x14ac:dyDescent="0.25">
      <c r="I1609" s="13"/>
      <c r="M1609" s="14"/>
      <c r="O1609" t="str">
        <f>IFERROR(VLOOKUP($I1609,CHOOSE({1,2},'[1]DIRETORES NTE'!$H$5:$H$31,'[1]DIRETORES NTE'!$E$5:$E$31,),2,0),"-")</f>
        <v>-</v>
      </c>
    </row>
    <row r="1610" spans="9:15" x14ac:dyDescent="0.25">
      <c r="I1610" s="13"/>
      <c r="M1610" s="14"/>
      <c r="O1610" t="str">
        <f>IFERROR(VLOOKUP($I1610,CHOOSE({1,2},'[1]DIRETORES NTE'!$H$5:$H$31,'[1]DIRETORES NTE'!$E$5:$E$31,),2,0),"-")</f>
        <v>-</v>
      </c>
    </row>
    <row r="1611" spans="9:15" x14ac:dyDescent="0.25">
      <c r="I1611" s="13"/>
      <c r="M1611" s="14"/>
      <c r="O1611" t="str">
        <f>IFERROR(VLOOKUP($I1611,CHOOSE({1,2},'[1]DIRETORES NTE'!$H$5:$H$31,'[1]DIRETORES NTE'!$E$5:$E$31,),2,0),"-")</f>
        <v>-</v>
      </c>
    </row>
    <row r="1612" spans="9:15" x14ac:dyDescent="0.25">
      <c r="I1612" s="13"/>
      <c r="M1612" s="14"/>
      <c r="O1612" t="str">
        <f>IFERROR(VLOOKUP($I1612,CHOOSE({1,2},'[1]DIRETORES NTE'!$H$5:$H$31,'[1]DIRETORES NTE'!$E$5:$E$31,),2,0),"-")</f>
        <v>-</v>
      </c>
    </row>
    <row r="1613" spans="9:15" x14ac:dyDescent="0.25">
      <c r="I1613" s="13"/>
      <c r="M1613" s="14"/>
      <c r="O1613" t="str">
        <f>IFERROR(VLOOKUP($I1613,CHOOSE({1,2},'[1]DIRETORES NTE'!$H$5:$H$31,'[1]DIRETORES NTE'!$E$5:$E$31,),2,0),"-")</f>
        <v>-</v>
      </c>
    </row>
    <row r="1614" spans="9:15" x14ac:dyDescent="0.25">
      <c r="I1614" s="13"/>
      <c r="M1614" s="14"/>
      <c r="O1614" t="str">
        <f>IFERROR(VLOOKUP($I1614,CHOOSE({1,2},'[1]DIRETORES NTE'!$H$5:$H$31,'[1]DIRETORES NTE'!$E$5:$E$31,),2,0),"-")</f>
        <v>-</v>
      </c>
    </row>
    <row r="1615" spans="9:15" x14ac:dyDescent="0.25">
      <c r="I1615" s="13"/>
      <c r="M1615" s="14"/>
      <c r="O1615" t="str">
        <f>IFERROR(VLOOKUP($I1615,CHOOSE({1,2},'[1]DIRETORES NTE'!$H$5:$H$31,'[1]DIRETORES NTE'!$E$5:$E$31,),2,0),"-")</f>
        <v>-</v>
      </c>
    </row>
    <row r="1616" spans="9:15" x14ac:dyDescent="0.25">
      <c r="I1616" s="13"/>
      <c r="M1616" s="14"/>
      <c r="O1616" t="str">
        <f>IFERROR(VLOOKUP($I1616,CHOOSE({1,2},'[1]DIRETORES NTE'!$H$5:$H$31,'[1]DIRETORES NTE'!$E$5:$E$31,),2,0),"-")</f>
        <v>-</v>
      </c>
    </row>
    <row r="1617" spans="9:15" x14ac:dyDescent="0.25">
      <c r="I1617" s="13"/>
      <c r="M1617" s="14"/>
      <c r="O1617" t="str">
        <f>IFERROR(VLOOKUP($I1617,CHOOSE({1,2},'[1]DIRETORES NTE'!$H$5:$H$31,'[1]DIRETORES NTE'!$E$5:$E$31,),2,0),"-")</f>
        <v>-</v>
      </c>
    </row>
    <row r="1618" spans="9:15" x14ac:dyDescent="0.25">
      <c r="I1618" s="13"/>
      <c r="M1618" s="14"/>
      <c r="O1618" t="str">
        <f>IFERROR(VLOOKUP($I1618,CHOOSE({1,2},'[1]DIRETORES NTE'!$H$5:$H$31,'[1]DIRETORES NTE'!$E$5:$E$31,),2,0),"-")</f>
        <v>-</v>
      </c>
    </row>
    <row r="1619" spans="9:15" x14ac:dyDescent="0.25">
      <c r="I1619" s="13"/>
      <c r="M1619" s="14"/>
      <c r="O1619" t="str">
        <f>IFERROR(VLOOKUP($I1619,CHOOSE({1,2},'[1]DIRETORES NTE'!$H$5:$H$31,'[1]DIRETORES NTE'!$E$5:$E$31,),2,0),"-")</f>
        <v>-</v>
      </c>
    </row>
    <row r="1620" spans="9:15" x14ac:dyDescent="0.25">
      <c r="I1620" s="13"/>
      <c r="M1620" s="14"/>
      <c r="O1620" t="str">
        <f>IFERROR(VLOOKUP($I1620,CHOOSE({1,2},'[1]DIRETORES NTE'!$H$5:$H$31,'[1]DIRETORES NTE'!$E$5:$E$31,),2,0),"-")</f>
        <v>-</v>
      </c>
    </row>
    <row r="1621" spans="9:15" x14ac:dyDescent="0.25">
      <c r="I1621" s="13"/>
      <c r="M1621" s="14"/>
      <c r="O1621" t="str">
        <f>IFERROR(VLOOKUP($I1621,CHOOSE({1,2},'[1]DIRETORES NTE'!$H$5:$H$31,'[1]DIRETORES NTE'!$E$5:$E$31,),2,0),"-")</f>
        <v>-</v>
      </c>
    </row>
    <row r="1622" spans="9:15" x14ac:dyDescent="0.25">
      <c r="I1622" s="13"/>
      <c r="M1622" s="14"/>
      <c r="O1622" t="str">
        <f>IFERROR(VLOOKUP($I1622,CHOOSE({1,2},'[1]DIRETORES NTE'!$H$5:$H$31,'[1]DIRETORES NTE'!$E$5:$E$31,),2,0),"-")</f>
        <v>-</v>
      </c>
    </row>
    <row r="1623" spans="9:15" x14ac:dyDescent="0.25">
      <c r="I1623" s="13"/>
      <c r="M1623" s="14"/>
      <c r="O1623" t="str">
        <f>IFERROR(VLOOKUP($I1623,CHOOSE({1,2},'[1]DIRETORES NTE'!$H$5:$H$31,'[1]DIRETORES NTE'!$E$5:$E$31,),2,0),"-")</f>
        <v>-</v>
      </c>
    </row>
    <row r="1624" spans="9:15" x14ac:dyDescent="0.25">
      <c r="I1624" s="13"/>
      <c r="M1624" s="14"/>
      <c r="O1624" t="str">
        <f>IFERROR(VLOOKUP($I1624,CHOOSE({1,2},'[1]DIRETORES NTE'!$H$5:$H$31,'[1]DIRETORES NTE'!$E$5:$E$31,),2,0),"-")</f>
        <v>-</v>
      </c>
    </row>
    <row r="1625" spans="9:15" x14ac:dyDescent="0.25">
      <c r="I1625" s="13"/>
      <c r="M1625" s="14"/>
      <c r="O1625" t="str">
        <f>IFERROR(VLOOKUP($I1625,CHOOSE({1,2},'[1]DIRETORES NTE'!$H$5:$H$31,'[1]DIRETORES NTE'!$E$5:$E$31,),2,0),"-")</f>
        <v>-</v>
      </c>
    </row>
    <row r="1626" spans="9:15" x14ac:dyDescent="0.25">
      <c r="I1626" s="13"/>
      <c r="M1626" s="14"/>
      <c r="O1626" t="str">
        <f>IFERROR(VLOOKUP($I1626,CHOOSE({1,2},'[1]DIRETORES NTE'!$H$5:$H$31,'[1]DIRETORES NTE'!$E$5:$E$31,),2,0),"-")</f>
        <v>-</v>
      </c>
    </row>
    <row r="1627" spans="9:15" x14ac:dyDescent="0.25">
      <c r="I1627" s="13"/>
      <c r="M1627" s="14"/>
      <c r="O1627" t="str">
        <f>IFERROR(VLOOKUP($I1627,CHOOSE({1,2},'[1]DIRETORES NTE'!$H$5:$H$31,'[1]DIRETORES NTE'!$E$5:$E$31,),2,0),"-")</f>
        <v>-</v>
      </c>
    </row>
    <row r="1628" spans="9:15" x14ac:dyDescent="0.25">
      <c r="I1628" s="13"/>
      <c r="M1628" s="14"/>
      <c r="O1628" t="str">
        <f>IFERROR(VLOOKUP($I1628,CHOOSE({1,2},'[1]DIRETORES NTE'!$H$5:$H$31,'[1]DIRETORES NTE'!$E$5:$E$31,),2,0),"-")</f>
        <v>-</v>
      </c>
    </row>
    <row r="1629" spans="9:15" x14ac:dyDescent="0.25">
      <c r="I1629" s="13"/>
      <c r="M1629" s="14"/>
      <c r="O1629" t="str">
        <f>IFERROR(VLOOKUP($I1629,CHOOSE({1,2},'[1]DIRETORES NTE'!$H$5:$H$31,'[1]DIRETORES NTE'!$E$5:$E$31,),2,0),"-")</f>
        <v>-</v>
      </c>
    </row>
    <row r="1630" spans="9:15" x14ac:dyDescent="0.25">
      <c r="I1630" s="13"/>
      <c r="M1630" s="14"/>
      <c r="O1630" t="str">
        <f>IFERROR(VLOOKUP($I1630,CHOOSE({1,2},'[1]DIRETORES NTE'!$H$5:$H$31,'[1]DIRETORES NTE'!$E$5:$E$31,),2,0),"-")</f>
        <v>-</v>
      </c>
    </row>
    <row r="1631" spans="9:15" x14ac:dyDescent="0.25">
      <c r="I1631" s="13"/>
      <c r="M1631" s="14"/>
      <c r="O1631" t="str">
        <f>IFERROR(VLOOKUP($I1631,CHOOSE({1,2},'[1]DIRETORES NTE'!$H$5:$H$31,'[1]DIRETORES NTE'!$E$5:$E$31,),2,0),"-")</f>
        <v>-</v>
      </c>
    </row>
    <row r="1632" spans="9:15" x14ac:dyDescent="0.25">
      <c r="I1632" s="13"/>
      <c r="M1632" s="14"/>
      <c r="O1632" t="str">
        <f>IFERROR(VLOOKUP($I1632,CHOOSE({1,2},'[1]DIRETORES NTE'!$H$5:$H$31,'[1]DIRETORES NTE'!$E$5:$E$31,),2,0),"-")</f>
        <v>-</v>
      </c>
    </row>
    <row r="1633" spans="9:15" x14ac:dyDescent="0.25">
      <c r="I1633" s="13"/>
      <c r="M1633" s="14"/>
      <c r="O1633" t="str">
        <f>IFERROR(VLOOKUP($I1633,CHOOSE({1,2},'[1]DIRETORES NTE'!$H$5:$H$31,'[1]DIRETORES NTE'!$E$5:$E$31,),2,0),"-")</f>
        <v>-</v>
      </c>
    </row>
    <row r="1634" spans="9:15" x14ac:dyDescent="0.25">
      <c r="I1634" s="13"/>
      <c r="M1634" s="14"/>
      <c r="O1634" t="str">
        <f>IFERROR(VLOOKUP($I1634,CHOOSE({1,2},'[1]DIRETORES NTE'!$H$5:$H$31,'[1]DIRETORES NTE'!$E$5:$E$31,),2,0),"-")</f>
        <v>-</v>
      </c>
    </row>
    <row r="1635" spans="9:15" x14ac:dyDescent="0.25">
      <c r="I1635" s="13"/>
      <c r="M1635" s="14"/>
      <c r="O1635" t="str">
        <f>IFERROR(VLOOKUP($I1635,CHOOSE({1,2},'[1]DIRETORES NTE'!$H$5:$H$31,'[1]DIRETORES NTE'!$E$5:$E$31,),2,0),"-")</f>
        <v>-</v>
      </c>
    </row>
    <row r="1636" spans="9:15" x14ac:dyDescent="0.25">
      <c r="I1636" s="13"/>
      <c r="M1636" s="14"/>
      <c r="O1636" t="str">
        <f>IFERROR(VLOOKUP($I1636,CHOOSE({1,2},'[1]DIRETORES NTE'!$H$5:$H$31,'[1]DIRETORES NTE'!$E$5:$E$31,),2,0),"-")</f>
        <v>-</v>
      </c>
    </row>
    <row r="1637" spans="9:15" x14ac:dyDescent="0.25">
      <c r="I1637" s="13"/>
      <c r="M1637" s="14"/>
      <c r="O1637" t="str">
        <f>IFERROR(VLOOKUP($I1637,CHOOSE({1,2},'[1]DIRETORES NTE'!$H$5:$H$31,'[1]DIRETORES NTE'!$E$5:$E$31,),2,0),"-")</f>
        <v>-</v>
      </c>
    </row>
    <row r="1638" spans="9:15" x14ac:dyDescent="0.25">
      <c r="I1638" s="13"/>
      <c r="M1638" s="14"/>
      <c r="O1638" t="str">
        <f>IFERROR(VLOOKUP($I1638,CHOOSE({1,2},'[1]DIRETORES NTE'!$H$5:$H$31,'[1]DIRETORES NTE'!$E$5:$E$31,),2,0),"-")</f>
        <v>-</v>
      </c>
    </row>
    <row r="1639" spans="9:15" x14ac:dyDescent="0.25">
      <c r="I1639" s="13"/>
      <c r="M1639" s="14"/>
      <c r="O1639" t="str">
        <f>IFERROR(VLOOKUP($I1639,CHOOSE({1,2},'[1]DIRETORES NTE'!$H$5:$H$31,'[1]DIRETORES NTE'!$E$5:$E$31,),2,0),"-")</f>
        <v>-</v>
      </c>
    </row>
    <row r="1640" spans="9:15" x14ac:dyDescent="0.25">
      <c r="I1640" s="13"/>
      <c r="M1640" s="14"/>
      <c r="O1640" t="str">
        <f>IFERROR(VLOOKUP($I1640,CHOOSE({1,2},'[1]DIRETORES NTE'!$H$5:$H$31,'[1]DIRETORES NTE'!$E$5:$E$31,),2,0),"-")</f>
        <v>-</v>
      </c>
    </row>
    <row r="1641" spans="9:15" x14ac:dyDescent="0.25">
      <c r="I1641" s="13"/>
      <c r="M1641" s="14"/>
      <c r="O1641" t="str">
        <f>IFERROR(VLOOKUP($I1641,CHOOSE({1,2},'[1]DIRETORES NTE'!$H$5:$H$31,'[1]DIRETORES NTE'!$E$5:$E$31,),2,0),"-")</f>
        <v>-</v>
      </c>
    </row>
    <row r="1642" spans="9:15" x14ac:dyDescent="0.25">
      <c r="I1642" s="13"/>
      <c r="M1642" s="14"/>
      <c r="O1642" t="str">
        <f>IFERROR(VLOOKUP($I1642,CHOOSE({1,2},'[1]DIRETORES NTE'!$H$5:$H$31,'[1]DIRETORES NTE'!$E$5:$E$31,),2,0),"-")</f>
        <v>-</v>
      </c>
    </row>
    <row r="1643" spans="9:15" x14ac:dyDescent="0.25">
      <c r="I1643" s="13"/>
      <c r="M1643" s="14"/>
      <c r="O1643" t="str">
        <f>IFERROR(VLOOKUP($I1643,CHOOSE({1,2},'[1]DIRETORES NTE'!$H$5:$H$31,'[1]DIRETORES NTE'!$E$5:$E$31,),2,0),"-")</f>
        <v>-</v>
      </c>
    </row>
    <row r="1644" spans="9:15" x14ac:dyDescent="0.25">
      <c r="I1644" s="13"/>
      <c r="M1644" s="14"/>
      <c r="O1644" t="str">
        <f>IFERROR(VLOOKUP($I1644,CHOOSE({1,2},'[1]DIRETORES NTE'!$H$5:$H$31,'[1]DIRETORES NTE'!$E$5:$E$31,),2,0),"-")</f>
        <v>-</v>
      </c>
    </row>
    <row r="1645" spans="9:15" x14ac:dyDescent="0.25">
      <c r="I1645" s="13"/>
      <c r="M1645" s="14"/>
      <c r="O1645" t="str">
        <f>IFERROR(VLOOKUP($I1645,CHOOSE({1,2},'[1]DIRETORES NTE'!$H$5:$H$31,'[1]DIRETORES NTE'!$E$5:$E$31,),2,0),"-")</f>
        <v>-</v>
      </c>
    </row>
    <row r="1646" spans="9:15" x14ac:dyDescent="0.25">
      <c r="I1646" s="13"/>
      <c r="M1646" s="14"/>
      <c r="O1646" t="str">
        <f>IFERROR(VLOOKUP($I1646,CHOOSE({1,2},'[1]DIRETORES NTE'!$H$5:$H$31,'[1]DIRETORES NTE'!$E$5:$E$31,),2,0),"-")</f>
        <v>-</v>
      </c>
    </row>
    <row r="1647" spans="9:15" x14ac:dyDescent="0.25">
      <c r="I1647" s="13"/>
      <c r="M1647" s="14"/>
      <c r="O1647" t="str">
        <f>IFERROR(VLOOKUP($I1647,CHOOSE({1,2},'[1]DIRETORES NTE'!$H$5:$H$31,'[1]DIRETORES NTE'!$E$5:$E$31,),2,0),"-")</f>
        <v>-</v>
      </c>
    </row>
    <row r="1648" spans="9:15" x14ac:dyDescent="0.25">
      <c r="I1648" s="13"/>
      <c r="M1648" s="14"/>
      <c r="O1648" t="str">
        <f>IFERROR(VLOOKUP($I1648,CHOOSE({1,2},'[1]DIRETORES NTE'!$H$5:$H$31,'[1]DIRETORES NTE'!$E$5:$E$31,),2,0),"-")</f>
        <v>-</v>
      </c>
    </row>
    <row r="1649" spans="9:15" x14ac:dyDescent="0.25">
      <c r="I1649" s="13"/>
      <c r="M1649" s="14"/>
      <c r="O1649" t="str">
        <f>IFERROR(VLOOKUP($I1649,CHOOSE({1,2},'[1]DIRETORES NTE'!$H$5:$H$31,'[1]DIRETORES NTE'!$E$5:$E$31,),2,0),"-")</f>
        <v>-</v>
      </c>
    </row>
    <row r="1650" spans="9:15" x14ac:dyDescent="0.25">
      <c r="I1650" s="13"/>
      <c r="M1650" s="14"/>
      <c r="O1650" t="str">
        <f>IFERROR(VLOOKUP($I1650,CHOOSE({1,2},'[1]DIRETORES NTE'!$H$5:$H$31,'[1]DIRETORES NTE'!$E$5:$E$31,),2,0),"-")</f>
        <v>-</v>
      </c>
    </row>
    <row r="1651" spans="9:15" x14ac:dyDescent="0.25">
      <c r="I1651" s="13"/>
      <c r="M1651" s="14"/>
      <c r="O1651" t="str">
        <f>IFERROR(VLOOKUP($I1651,CHOOSE({1,2},'[1]DIRETORES NTE'!$H$5:$H$31,'[1]DIRETORES NTE'!$E$5:$E$31,),2,0),"-")</f>
        <v>-</v>
      </c>
    </row>
    <row r="1652" spans="9:15" x14ac:dyDescent="0.25">
      <c r="I1652" s="13"/>
      <c r="M1652" s="14"/>
      <c r="O1652" t="str">
        <f>IFERROR(VLOOKUP($I1652,CHOOSE({1,2},'[1]DIRETORES NTE'!$H$5:$H$31,'[1]DIRETORES NTE'!$E$5:$E$31,),2,0),"-")</f>
        <v>-</v>
      </c>
    </row>
    <row r="1653" spans="9:15" x14ac:dyDescent="0.25">
      <c r="I1653" s="13"/>
      <c r="M1653" s="14"/>
      <c r="O1653" t="str">
        <f>IFERROR(VLOOKUP($I1653,CHOOSE({1,2},'[1]DIRETORES NTE'!$H$5:$H$31,'[1]DIRETORES NTE'!$E$5:$E$31,),2,0),"-")</f>
        <v>-</v>
      </c>
    </row>
    <row r="1654" spans="9:15" x14ac:dyDescent="0.25">
      <c r="I1654" s="13"/>
      <c r="M1654" s="14"/>
      <c r="O1654" t="str">
        <f>IFERROR(VLOOKUP($I1654,CHOOSE({1,2},'[1]DIRETORES NTE'!$H$5:$H$31,'[1]DIRETORES NTE'!$E$5:$E$31,),2,0),"-")</f>
        <v>-</v>
      </c>
    </row>
    <row r="1655" spans="9:15" x14ac:dyDescent="0.25">
      <c r="I1655" s="13"/>
      <c r="M1655" s="14"/>
      <c r="O1655" t="str">
        <f>IFERROR(VLOOKUP($I1655,CHOOSE({1,2},'[1]DIRETORES NTE'!$H$5:$H$31,'[1]DIRETORES NTE'!$E$5:$E$31,),2,0),"-")</f>
        <v>-</v>
      </c>
    </row>
    <row r="1656" spans="9:15" x14ac:dyDescent="0.25">
      <c r="I1656" s="13"/>
      <c r="M1656" s="14"/>
      <c r="O1656" t="str">
        <f>IFERROR(VLOOKUP($I1656,CHOOSE({1,2},'[1]DIRETORES NTE'!$H$5:$H$31,'[1]DIRETORES NTE'!$E$5:$E$31,),2,0),"-")</f>
        <v>-</v>
      </c>
    </row>
    <row r="1657" spans="9:15" x14ac:dyDescent="0.25">
      <c r="I1657" s="13"/>
      <c r="M1657" s="14"/>
      <c r="O1657" t="str">
        <f>IFERROR(VLOOKUP($I1657,CHOOSE({1,2},'[1]DIRETORES NTE'!$H$5:$H$31,'[1]DIRETORES NTE'!$E$5:$E$31,),2,0),"-")</f>
        <v>-</v>
      </c>
    </row>
    <row r="1658" spans="9:15" x14ac:dyDescent="0.25">
      <c r="I1658" s="13"/>
      <c r="M1658" s="14"/>
      <c r="O1658" t="str">
        <f>IFERROR(VLOOKUP($I1658,CHOOSE({1,2},'[1]DIRETORES NTE'!$H$5:$H$31,'[1]DIRETORES NTE'!$E$5:$E$31,),2,0),"-")</f>
        <v>-</v>
      </c>
    </row>
    <row r="1659" spans="9:15" x14ac:dyDescent="0.25">
      <c r="I1659" s="13"/>
      <c r="M1659" s="14"/>
      <c r="O1659" t="str">
        <f>IFERROR(VLOOKUP($I1659,CHOOSE({1,2},'[1]DIRETORES NTE'!$H$5:$H$31,'[1]DIRETORES NTE'!$E$5:$E$31,),2,0),"-")</f>
        <v>-</v>
      </c>
    </row>
    <row r="1660" spans="9:15" x14ac:dyDescent="0.25">
      <c r="I1660" s="13"/>
      <c r="M1660" s="14"/>
      <c r="O1660" t="str">
        <f>IFERROR(VLOOKUP($I1660,CHOOSE({1,2},'[1]DIRETORES NTE'!$H$5:$H$31,'[1]DIRETORES NTE'!$E$5:$E$31,),2,0),"-")</f>
        <v>-</v>
      </c>
    </row>
    <row r="1661" spans="9:15" x14ac:dyDescent="0.25">
      <c r="I1661" s="13"/>
      <c r="M1661" s="14"/>
      <c r="O1661" t="str">
        <f>IFERROR(VLOOKUP($I1661,CHOOSE({1,2},'[1]DIRETORES NTE'!$H$5:$H$31,'[1]DIRETORES NTE'!$E$5:$E$31,),2,0),"-")</f>
        <v>-</v>
      </c>
    </row>
    <row r="1662" spans="9:15" x14ac:dyDescent="0.25">
      <c r="I1662" s="13"/>
      <c r="M1662" s="14"/>
      <c r="O1662" t="str">
        <f>IFERROR(VLOOKUP($I1662,CHOOSE({1,2},'[1]DIRETORES NTE'!$H$5:$H$31,'[1]DIRETORES NTE'!$E$5:$E$31,),2,0),"-")</f>
        <v>-</v>
      </c>
    </row>
    <row r="1663" spans="9:15" x14ac:dyDescent="0.25">
      <c r="I1663" s="13"/>
      <c r="M1663" s="14"/>
      <c r="O1663" t="str">
        <f>IFERROR(VLOOKUP($I1663,CHOOSE({1,2},'[1]DIRETORES NTE'!$H$5:$H$31,'[1]DIRETORES NTE'!$E$5:$E$31,),2,0),"-")</f>
        <v>-</v>
      </c>
    </row>
    <row r="1664" spans="9:15" x14ac:dyDescent="0.25">
      <c r="I1664" s="13"/>
      <c r="M1664" s="14"/>
      <c r="O1664" t="str">
        <f>IFERROR(VLOOKUP($I1664,CHOOSE({1,2},'[1]DIRETORES NTE'!$H$5:$H$31,'[1]DIRETORES NTE'!$E$5:$E$31,),2,0),"-")</f>
        <v>-</v>
      </c>
    </row>
    <row r="1665" spans="9:15" x14ac:dyDescent="0.25">
      <c r="I1665" s="13"/>
      <c r="M1665" s="14"/>
      <c r="O1665" t="str">
        <f>IFERROR(VLOOKUP($I1665,CHOOSE({1,2},'[1]DIRETORES NTE'!$H$5:$H$31,'[1]DIRETORES NTE'!$E$5:$E$31,),2,0),"-")</f>
        <v>-</v>
      </c>
    </row>
    <row r="1666" spans="9:15" x14ac:dyDescent="0.25">
      <c r="I1666" s="13"/>
      <c r="M1666" s="14"/>
      <c r="O1666" t="str">
        <f>IFERROR(VLOOKUP($I1666,CHOOSE({1,2},'[1]DIRETORES NTE'!$H$5:$H$31,'[1]DIRETORES NTE'!$E$5:$E$31,),2,0),"-")</f>
        <v>-</v>
      </c>
    </row>
    <row r="1667" spans="9:15" x14ac:dyDescent="0.25">
      <c r="I1667" s="13"/>
      <c r="M1667" s="14"/>
      <c r="O1667" t="str">
        <f>IFERROR(VLOOKUP($I1667,CHOOSE({1,2},'[1]DIRETORES NTE'!$H$5:$H$31,'[1]DIRETORES NTE'!$E$5:$E$31,),2,0),"-")</f>
        <v>-</v>
      </c>
    </row>
    <row r="1668" spans="9:15" x14ac:dyDescent="0.25">
      <c r="I1668" s="13"/>
      <c r="M1668" s="14"/>
      <c r="O1668" t="str">
        <f>IFERROR(VLOOKUP($I1668,CHOOSE({1,2},'[1]DIRETORES NTE'!$H$5:$H$31,'[1]DIRETORES NTE'!$E$5:$E$31,),2,0),"-")</f>
        <v>-</v>
      </c>
    </row>
    <row r="1669" spans="9:15" x14ac:dyDescent="0.25">
      <c r="I1669" s="13"/>
      <c r="M1669" s="14"/>
      <c r="O1669" t="str">
        <f>IFERROR(VLOOKUP($I1669,CHOOSE({1,2},'[1]DIRETORES NTE'!$H$5:$H$31,'[1]DIRETORES NTE'!$E$5:$E$31,),2,0),"-")</f>
        <v>-</v>
      </c>
    </row>
    <row r="1670" spans="9:15" x14ac:dyDescent="0.25">
      <c r="I1670" s="13"/>
      <c r="M1670" s="14"/>
      <c r="O1670" t="str">
        <f>IFERROR(VLOOKUP($I1670,CHOOSE({1,2},'[1]DIRETORES NTE'!$H$5:$H$31,'[1]DIRETORES NTE'!$E$5:$E$31,),2,0),"-")</f>
        <v>-</v>
      </c>
    </row>
    <row r="1671" spans="9:15" x14ac:dyDescent="0.25">
      <c r="I1671" s="13"/>
      <c r="M1671" s="14"/>
      <c r="O1671" t="str">
        <f>IFERROR(VLOOKUP($I1671,CHOOSE({1,2},'[1]DIRETORES NTE'!$H$5:$H$31,'[1]DIRETORES NTE'!$E$5:$E$31,),2,0),"-")</f>
        <v>-</v>
      </c>
    </row>
    <row r="1672" spans="9:15" x14ac:dyDescent="0.25">
      <c r="I1672" s="13"/>
      <c r="M1672" s="14"/>
      <c r="O1672" t="str">
        <f>IFERROR(VLOOKUP($I1672,CHOOSE({1,2},'[1]DIRETORES NTE'!$H$5:$H$31,'[1]DIRETORES NTE'!$E$5:$E$31,),2,0),"-")</f>
        <v>-</v>
      </c>
    </row>
    <row r="1673" spans="9:15" x14ac:dyDescent="0.25">
      <c r="I1673" s="13"/>
      <c r="M1673" s="14"/>
      <c r="O1673" t="str">
        <f>IFERROR(VLOOKUP($I1673,CHOOSE({1,2},'[1]DIRETORES NTE'!$H$5:$H$31,'[1]DIRETORES NTE'!$E$5:$E$31,),2,0),"-")</f>
        <v>-</v>
      </c>
    </row>
    <row r="1674" spans="9:15" x14ac:dyDescent="0.25">
      <c r="I1674" s="13"/>
      <c r="M1674" s="14"/>
      <c r="O1674" t="str">
        <f>IFERROR(VLOOKUP($I1674,CHOOSE({1,2},'[1]DIRETORES NTE'!$H$5:$H$31,'[1]DIRETORES NTE'!$E$5:$E$31,),2,0),"-")</f>
        <v>-</v>
      </c>
    </row>
    <row r="1675" spans="9:15" x14ac:dyDescent="0.25">
      <c r="I1675" s="13"/>
      <c r="M1675" s="14"/>
      <c r="O1675" t="str">
        <f>IFERROR(VLOOKUP($I1675,CHOOSE({1,2},'[1]DIRETORES NTE'!$H$5:$H$31,'[1]DIRETORES NTE'!$E$5:$E$31,),2,0),"-")</f>
        <v>-</v>
      </c>
    </row>
    <row r="1676" spans="9:15" x14ac:dyDescent="0.25">
      <c r="I1676" s="13"/>
      <c r="M1676" s="14"/>
      <c r="O1676" t="str">
        <f>IFERROR(VLOOKUP($I1676,CHOOSE({1,2},'[1]DIRETORES NTE'!$H$5:$H$31,'[1]DIRETORES NTE'!$E$5:$E$31,),2,0),"-")</f>
        <v>-</v>
      </c>
    </row>
    <row r="1677" spans="9:15" x14ac:dyDescent="0.25">
      <c r="I1677" s="13"/>
      <c r="M1677" s="14"/>
      <c r="O1677" t="str">
        <f>IFERROR(VLOOKUP($I1677,CHOOSE({1,2},'[1]DIRETORES NTE'!$H$5:$H$31,'[1]DIRETORES NTE'!$E$5:$E$31,),2,0),"-")</f>
        <v>-</v>
      </c>
    </row>
    <row r="1678" spans="9:15" x14ac:dyDescent="0.25">
      <c r="I1678" s="13"/>
      <c r="M1678" s="14"/>
      <c r="O1678" t="str">
        <f>IFERROR(VLOOKUP($I1678,CHOOSE({1,2},'[1]DIRETORES NTE'!$H$5:$H$31,'[1]DIRETORES NTE'!$E$5:$E$31,),2,0),"-")</f>
        <v>-</v>
      </c>
    </row>
    <row r="1679" spans="9:15" x14ac:dyDescent="0.25">
      <c r="I1679" s="13"/>
      <c r="M1679" s="14"/>
      <c r="O1679" t="str">
        <f>IFERROR(VLOOKUP($I1679,CHOOSE({1,2},'[1]DIRETORES NTE'!$H$5:$H$31,'[1]DIRETORES NTE'!$E$5:$E$31,),2,0),"-")</f>
        <v>-</v>
      </c>
    </row>
    <row r="1680" spans="9:15" x14ac:dyDescent="0.25">
      <c r="I1680" s="13"/>
      <c r="M1680" s="14"/>
      <c r="O1680" t="str">
        <f>IFERROR(VLOOKUP($I1680,CHOOSE({1,2},'[1]DIRETORES NTE'!$H$5:$H$31,'[1]DIRETORES NTE'!$E$5:$E$31,),2,0),"-")</f>
        <v>-</v>
      </c>
    </row>
    <row r="1681" spans="9:15" x14ac:dyDescent="0.25">
      <c r="I1681" s="13"/>
      <c r="M1681" s="14"/>
      <c r="O1681" t="str">
        <f>IFERROR(VLOOKUP($I1681,CHOOSE({1,2},'[1]DIRETORES NTE'!$H$5:$H$31,'[1]DIRETORES NTE'!$E$5:$E$31,),2,0),"-")</f>
        <v>-</v>
      </c>
    </row>
    <row r="1682" spans="9:15" x14ac:dyDescent="0.25">
      <c r="I1682" s="13"/>
      <c r="M1682" s="14"/>
      <c r="O1682" t="str">
        <f>IFERROR(VLOOKUP($I1682,CHOOSE({1,2},'[1]DIRETORES NTE'!$H$5:$H$31,'[1]DIRETORES NTE'!$E$5:$E$31,),2,0),"-")</f>
        <v>-</v>
      </c>
    </row>
    <row r="1683" spans="9:15" x14ac:dyDescent="0.25">
      <c r="I1683" s="13"/>
      <c r="M1683" s="14"/>
      <c r="O1683" t="str">
        <f>IFERROR(VLOOKUP($I1683,CHOOSE({1,2},'[1]DIRETORES NTE'!$H$5:$H$31,'[1]DIRETORES NTE'!$E$5:$E$31,),2,0),"-")</f>
        <v>-</v>
      </c>
    </row>
    <row r="1684" spans="9:15" x14ac:dyDescent="0.25">
      <c r="I1684" s="13"/>
      <c r="M1684" s="14"/>
      <c r="O1684" t="str">
        <f>IFERROR(VLOOKUP($I1684,CHOOSE({1,2},'[1]DIRETORES NTE'!$H$5:$H$31,'[1]DIRETORES NTE'!$E$5:$E$31,),2,0),"-")</f>
        <v>-</v>
      </c>
    </row>
    <row r="1685" spans="9:15" x14ac:dyDescent="0.25">
      <c r="I1685" s="13"/>
      <c r="M1685" s="14"/>
      <c r="O1685" t="str">
        <f>IFERROR(VLOOKUP($I1685,CHOOSE({1,2},'[1]DIRETORES NTE'!$H$5:$H$31,'[1]DIRETORES NTE'!$E$5:$E$31,),2,0),"-")</f>
        <v>-</v>
      </c>
    </row>
    <row r="1686" spans="9:15" x14ac:dyDescent="0.25">
      <c r="I1686" s="13"/>
      <c r="M1686" s="14"/>
      <c r="O1686" t="str">
        <f>IFERROR(VLOOKUP($I1686,CHOOSE({1,2},'[1]DIRETORES NTE'!$H$5:$H$31,'[1]DIRETORES NTE'!$E$5:$E$31,),2,0),"-")</f>
        <v>-</v>
      </c>
    </row>
    <row r="1687" spans="9:15" x14ac:dyDescent="0.25">
      <c r="I1687" s="13"/>
      <c r="M1687" s="14"/>
      <c r="O1687" t="str">
        <f>IFERROR(VLOOKUP($I1687,CHOOSE({1,2},'[1]DIRETORES NTE'!$H$5:$H$31,'[1]DIRETORES NTE'!$E$5:$E$31,),2,0),"-")</f>
        <v>-</v>
      </c>
    </row>
    <row r="1688" spans="9:15" x14ac:dyDescent="0.25">
      <c r="I1688" s="13"/>
      <c r="M1688" s="14"/>
      <c r="O1688" t="str">
        <f>IFERROR(VLOOKUP($I1688,CHOOSE({1,2},'[1]DIRETORES NTE'!$H$5:$H$31,'[1]DIRETORES NTE'!$E$5:$E$31,),2,0),"-")</f>
        <v>-</v>
      </c>
    </row>
    <row r="1689" spans="9:15" x14ac:dyDescent="0.25">
      <c r="I1689" s="13"/>
      <c r="M1689" s="14"/>
      <c r="O1689" t="str">
        <f>IFERROR(VLOOKUP($I1689,CHOOSE({1,2},'[1]DIRETORES NTE'!$H$5:$H$31,'[1]DIRETORES NTE'!$E$5:$E$31,),2,0),"-")</f>
        <v>-</v>
      </c>
    </row>
    <row r="1690" spans="9:15" x14ac:dyDescent="0.25">
      <c r="I1690" s="13"/>
      <c r="M1690" s="14"/>
      <c r="O1690" t="str">
        <f>IFERROR(VLOOKUP($I1690,CHOOSE({1,2},'[1]DIRETORES NTE'!$H$5:$H$31,'[1]DIRETORES NTE'!$E$5:$E$31,),2,0),"-")</f>
        <v>-</v>
      </c>
    </row>
    <row r="1691" spans="9:15" x14ac:dyDescent="0.25">
      <c r="I1691" s="13"/>
      <c r="M1691" s="14"/>
      <c r="O1691" t="str">
        <f>IFERROR(VLOOKUP($I1691,CHOOSE({1,2},'[1]DIRETORES NTE'!$H$5:$H$31,'[1]DIRETORES NTE'!$E$5:$E$31,),2,0),"-")</f>
        <v>-</v>
      </c>
    </row>
    <row r="1692" spans="9:15" x14ac:dyDescent="0.25">
      <c r="I1692" s="13"/>
      <c r="M1692" s="14"/>
      <c r="O1692" t="str">
        <f>IFERROR(VLOOKUP($I1692,CHOOSE({1,2},'[1]DIRETORES NTE'!$H$5:$H$31,'[1]DIRETORES NTE'!$E$5:$E$31,),2,0),"-")</f>
        <v>-</v>
      </c>
    </row>
    <row r="1693" spans="9:15" x14ac:dyDescent="0.25">
      <c r="I1693" s="13"/>
      <c r="M1693" s="14"/>
      <c r="O1693" t="str">
        <f>IFERROR(VLOOKUP($I1693,CHOOSE({1,2},'[1]DIRETORES NTE'!$H$5:$H$31,'[1]DIRETORES NTE'!$E$5:$E$31,),2,0),"-")</f>
        <v>-</v>
      </c>
    </row>
    <row r="1694" spans="9:15" x14ac:dyDescent="0.25">
      <c r="I1694" s="13"/>
      <c r="M1694" s="14"/>
      <c r="O1694" t="str">
        <f>IFERROR(VLOOKUP($I1694,CHOOSE({1,2},'[1]DIRETORES NTE'!$H$5:$H$31,'[1]DIRETORES NTE'!$E$5:$E$31,),2,0),"-")</f>
        <v>-</v>
      </c>
    </row>
    <row r="1695" spans="9:15" x14ac:dyDescent="0.25">
      <c r="I1695" s="13"/>
      <c r="M1695" s="14"/>
      <c r="O1695" t="str">
        <f>IFERROR(VLOOKUP($I1695,CHOOSE({1,2},'[1]DIRETORES NTE'!$H$5:$H$31,'[1]DIRETORES NTE'!$E$5:$E$31,),2,0),"-")</f>
        <v>-</v>
      </c>
    </row>
    <row r="1696" spans="9:15" x14ac:dyDescent="0.25">
      <c r="I1696" s="13"/>
      <c r="M1696" s="14"/>
      <c r="O1696" t="str">
        <f>IFERROR(VLOOKUP($I1696,CHOOSE({1,2},'[1]DIRETORES NTE'!$H$5:$H$31,'[1]DIRETORES NTE'!$E$5:$E$31,),2,0),"-")</f>
        <v>-</v>
      </c>
    </row>
    <row r="1697" spans="9:15" x14ac:dyDescent="0.25">
      <c r="I1697" s="13"/>
      <c r="M1697" s="14"/>
      <c r="O1697" t="str">
        <f>IFERROR(VLOOKUP($I1697,CHOOSE({1,2},'[1]DIRETORES NTE'!$H$5:$H$31,'[1]DIRETORES NTE'!$E$5:$E$31,),2,0),"-")</f>
        <v>-</v>
      </c>
    </row>
    <row r="1698" spans="9:15" x14ac:dyDescent="0.25">
      <c r="I1698" s="13"/>
      <c r="M1698" s="14"/>
      <c r="O1698" t="str">
        <f>IFERROR(VLOOKUP($I1698,CHOOSE({1,2},'[1]DIRETORES NTE'!$H$5:$H$31,'[1]DIRETORES NTE'!$E$5:$E$31,),2,0),"-")</f>
        <v>-</v>
      </c>
    </row>
    <row r="1699" spans="9:15" x14ac:dyDescent="0.25">
      <c r="I1699" s="13"/>
      <c r="M1699" s="14"/>
      <c r="O1699" t="str">
        <f>IFERROR(VLOOKUP($I1699,CHOOSE({1,2},'[1]DIRETORES NTE'!$H$5:$H$31,'[1]DIRETORES NTE'!$E$5:$E$31,),2,0),"-")</f>
        <v>-</v>
      </c>
    </row>
    <row r="1700" spans="9:15" x14ac:dyDescent="0.25">
      <c r="I1700" s="13"/>
      <c r="M1700" s="14"/>
      <c r="O1700" t="str">
        <f>IFERROR(VLOOKUP($I1700,CHOOSE({1,2},'[1]DIRETORES NTE'!$H$5:$H$31,'[1]DIRETORES NTE'!$E$5:$E$31,),2,0),"-")</f>
        <v>-</v>
      </c>
    </row>
    <row r="1701" spans="9:15" x14ac:dyDescent="0.25">
      <c r="I1701" s="13"/>
      <c r="M1701" s="14"/>
      <c r="O1701" t="str">
        <f>IFERROR(VLOOKUP($I1701,CHOOSE({1,2},'[1]DIRETORES NTE'!$H$5:$H$31,'[1]DIRETORES NTE'!$E$5:$E$31,),2,0),"-")</f>
        <v>-</v>
      </c>
    </row>
    <row r="1702" spans="9:15" x14ac:dyDescent="0.25">
      <c r="I1702" s="13"/>
      <c r="M1702" s="14"/>
      <c r="O1702" t="str">
        <f>IFERROR(VLOOKUP($I1702,CHOOSE({1,2},'[1]DIRETORES NTE'!$H$5:$H$31,'[1]DIRETORES NTE'!$E$5:$E$31,),2,0),"-")</f>
        <v>-</v>
      </c>
    </row>
    <row r="1703" spans="9:15" x14ac:dyDescent="0.25">
      <c r="I1703" s="13"/>
      <c r="M1703" s="14"/>
      <c r="O1703" t="str">
        <f>IFERROR(VLOOKUP($I1703,CHOOSE({1,2},'[1]DIRETORES NTE'!$H$5:$H$31,'[1]DIRETORES NTE'!$E$5:$E$31,),2,0),"-")</f>
        <v>-</v>
      </c>
    </row>
    <row r="1704" spans="9:15" x14ac:dyDescent="0.25">
      <c r="I1704" s="13"/>
      <c r="M1704" s="14"/>
      <c r="O1704" t="str">
        <f>IFERROR(VLOOKUP($I1704,CHOOSE({1,2},'[1]DIRETORES NTE'!$H$5:$H$31,'[1]DIRETORES NTE'!$E$5:$E$31,),2,0),"-")</f>
        <v>-</v>
      </c>
    </row>
    <row r="1705" spans="9:15" x14ac:dyDescent="0.25">
      <c r="I1705" s="13"/>
      <c r="M1705" s="14"/>
      <c r="O1705" t="str">
        <f>IFERROR(VLOOKUP($I1705,CHOOSE({1,2},'[1]DIRETORES NTE'!$H$5:$H$31,'[1]DIRETORES NTE'!$E$5:$E$31,),2,0),"-")</f>
        <v>-</v>
      </c>
    </row>
    <row r="1706" spans="9:15" x14ac:dyDescent="0.25">
      <c r="I1706" s="13"/>
      <c r="M1706" s="14"/>
      <c r="O1706" t="str">
        <f>IFERROR(VLOOKUP($I1706,CHOOSE({1,2},'[1]DIRETORES NTE'!$H$5:$H$31,'[1]DIRETORES NTE'!$E$5:$E$31,),2,0),"-")</f>
        <v>-</v>
      </c>
    </row>
    <row r="1707" spans="9:15" x14ac:dyDescent="0.25">
      <c r="I1707" s="13"/>
      <c r="M1707" s="14"/>
      <c r="O1707" t="str">
        <f>IFERROR(VLOOKUP($I1707,CHOOSE({1,2},'[1]DIRETORES NTE'!$H$5:$H$31,'[1]DIRETORES NTE'!$E$5:$E$31,),2,0),"-")</f>
        <v>-</v>
      </c>
    </row>
    <row r="1708" spans="9:15" x14ac:dyDescent="0.25">
      <c r="I1708" s="13"/>
      <c r="M1708" s="14"/>
      <c r="O1708" t="str">
        <f>IFERROR(VLOOKUP($I1708,CHOOSE({1,2},'[1]DIRETORES NTE'!$H$5:$H$31,'[1]DIRETORES NTE'!$E$5:$E$31,),2,0),"-")</f>
        <v>-</v>
      </c>
    </row>
    <row r="1709" spans="9:15" x14ac:dyDescent="0.25">
      <c r="I1709" s="13"/>
      <c r="M1709" s="14"/>
      <c r="O1709" t="str">
        <f>IFERROR(VLOOKUP($I1709,CHOOSE({1,2},'[1]DIRETORES NTE'!$H$5:$H$31,'[1]DIRETORES NTE'!$E$5:$E$31,),2,0),"-")</f>
        <v>-</v>
      </c>
    </row>
    <row r="1710" spans="9:15" x14ac:dyDescent="0.25">
      <c r="I1710" s="13"/>
      <c r="M1710" s="14"/>
      <c r="O1710" t="str">
        <f>IFERROR(VLOOKUP($I1710,CHOOSE({1,2},'[1]DIRETORES NTE'!$H$5:$H$31,'[1]DIRETORES NTE'!$E$5:$E$31,),2,0),"-")</f>
        <v>-</v>
      </c>
    </row>
    <row r="1711" spans="9:15" x14ac:dyDescent="0.25">
      <c r="I1711" s="13"/>
      <c r="M1711" s="14"/>
      <c r="O1711" t="str">
        <f>IFERROR(VLOOKUP($I1711,CHOOSE({1,2},'[1]DIRETORES NTE'!$H$5:$H$31,'[1]DIRETORES NTE'!$E$5:$E$31,),2,0),"-")</f>
        <v>-</v>
      </c>
    </row>
    <row r="1712" spans="9:15" x14ac:dyDescent="0.25">
      <c r="I1712" s="13"/>
      <c r="M1712" s="14"/>
      <c r="O1712" t="str">
        <f>IFERROR(VLOOKUP($I1712,CHOOSE({1,2},'[1]DIRETORES NTE'!$H$5:$H$31,'[1]DIRETORES NTE'!$E$5:$E$31,),2,0),"-")</f>
        <v>-</v>
      </c>
    </row>
    <row r="1713" spans="9:15" x14ac:dyDescent="0.25">
      <c r="I1713" s="13"/>
      <c r="M1713" s="14"/>
      <c r="O1713" t="str">
        <f>IFERROR(VLOOKUP($I1713,CHOOSE({1,2},'[1]DIRETORES NTE'!$H$5:$H$31,'[1]DIRETORES NTE'!$E$5:$E$31,),2,0),"-")</f>
        <v>-</v>
      </c>
    </row>
    <row r="1714" spans="9:15" x14ac:dyDescent="0.25">
      <c r="I1714" s="13"/>
      <c r="M1714" s="14"/>
      <c r="O1714" t="str">
        <f>IFERROR(VLOOKUP($I1714,CHOOSE({1,2},'[1]DIRETORES NTE'!$H$5:$H$31,'[1]DIRETORES NTE'!$E$5:$E$31,),2,0),"-")</f>
        <v>-</v>
      </c>
    </row>
    <row r="1715" spans="9:15" x14ac:dyDescent="0.25">
      <c r="I1715" s="13"/>
      <c r="M1715" s="14"/>
      <c r="O1715" t="str">
        <f>IFERROR(VLOOKUP($I1715,CHOOSE({1,2},'[1]DIRETORES NTE'!$H$5:$H$31,'[1]DIRETORES NTE'!$E$5:$E$31,),2,0),"-")</f>
        <v>-</v>
      </c>
    </row>
    <row r="1716" spans="9:15" x14ac:dyDescent="0.25">
      <c r="I1716" s="13"/>
      <c r="M1716" s="14"/>
      <c r="O1716" t="str">
        <f>IFERROR(VLOOKUP($I1716,CHOOSE({1,2},'[1]DIRETORES NTE'!$H$5:$H$31,'[1]DIRETORES NTE'!$E$5:$E$31,),2,0),"-")</f>
        <v>-</v>
      </c>
    </row>
    <row r="1717" spans="9:15" x14ac:dyDescent="0.25">
      <c r="I1717" s="13"/>
      <c r="M1717" s="14"/>
      <c r="O1717" t="str">
        <f>IFERROR(VLOOKUP($I1717,CHOOSE({1,2},'[1]DIRETORES NTE'!$H$5:$H$31,'[1]DIRETORES NTE'!$E$5:$E$31,),2,0),"-")</f>
        <v>-</v>
      </c>
    </row>
    <row r="1718" spans="9:15" x14ac:dyDescent="0.25">
      <c r="I1718" s="13"/>
      <c r="M1718" s="14"/>
      <c r="O1718" t="str">
        <f>IFERROR(VLOOKUP($I1718,CHOOSE({1,2},'[1]DIRETORES NTE'!$H$5:$H$31,'[1]DIRETORES NTE'!$E$5:$E$31,),2,0),"-")</f>
        <v>-</v>
      </c>
    </row>
    <row r="1719" spans="9:15" x14ac:dyDescent="0.25">
      <c r="I1719" s="13"/>
      <c r="M1719" s="14"/>
      <c r="O1719" t="str">
        <f>IFERROR(VLOOKUP($I1719,CHOOSE({1,2},'[1]DIRETORES NTE'!$H$5:$H$31,'[1]DIRETORES NTE'!$E$5:$E$31,),2,0),"-")</f>
        <v>-</v>
      </c>
    </row>
    <row r="1720" spans="9:15" x14ac:dyDescent="0.25">
      <c r="I1720" s="13"/>
      <c r="M1720" s="14"/>
      <c r="O1720" t="str">
        <f>IFERROR(VLOOKUP($I1720,CHOOSE({1,2},'[1]DIRETORES NTE'!$H$5:$H$31,'[1]DIRETORES NTE'!$E$5:$E$31,),2,0),"-")</f>
        <v>-</v>
      </c>
    </row>
    <row r="1721" spans="9:15" x14ac:dyDescent="0.25">
      <c r="I1721" s="13"/>
      <c r="M1721" s="14"/>
      <c r="O1721" t="str">
        <f>IFERROR(VLOOKUP($I1721,CHOOSE({1,2},'[1]DIRETORES NTE'!$H$5:$H$31,'[1]DIRETORES NTE'!$E$5:$E$31,),2,0),"-")</f>
        <v>-</v>
      </c>
    </row>
    <row r="1722" spans="9:15" x14ac:dyDescent="0.25">
      <c r="I1722" s="13"/>
      <c r="M1722" s="14"/>
      <c r="O1722" t="str">
        <f>IFERROR(VLOOKUP($I1722,CHOOSE({1,2},'[1]DIRETORES NTE'!$H$5:$H$31,'[1]DIRETORES NTE'!$E$5:$E$31,),2,0),"-")</f>
        <v>-</v>
      </c>
    </row>
    <row r="1723" spans="9:15" x14ac:dyDescent="0.25">
      <c r="I1723" s="13"/>
      <c r="M1723" s="14"/>
      <c r="O1723" t="str">
        <f>IFERROR(VLOOKUP($I1723,CHOOSE({1,2},'[1]DIRETORES NTE'!$H$5:$H$31,'[1]DIRETORES NTE'!$E$5:$E$31,),2,0),"-")</f>
        <v>-</v>
      </c>
    </row>
    <row r="1724" spans="9:15" x14ac:dyDescent="0.25">
      <c r="I1724" s="13"/>
      <c r="M1724" s="14"/>
      <c r="O1724" t="str">
        <f>IFERROR(VLOOKUP($I1724,CHOOSE({1,2},'[1]DIRETORES NTE'!$H$5:$H$31,'[1]DIRETORES NTE'!$E$5:$E$31,),2,0),"-")</f>
        <v>-</v>
      </c>
    </row>
    <row r="1725" spans="9:15" x14ac:dyDescent="0.25">
      <c r="I1725" s="13"/>
      <c r="M1725" s="14"/>
      <c r="O1725" t="str">
        <f>IFERROR(VLOOKUP($I1725,CHOOSE({1,2},'[1]DIRETORES NTE'!$H$5:$H$31,'[1]DIRETORES NTE'!$E$5:$E$31,),2,0),"-")</f>
        <v>-</v>
      </c>
    </row>
    <row r="1726" spans="9:15" x14ac:dyDescent="0.25">
      <c r="I1726" s="13"/>
      <c r="M1726" s="14"/>
      <c r="O1726" t="str">
        <f>IFERROR(VLOOKUP($I1726,CHOOSE({1,2},'[1]DIRETORES NTE'!$H$5:$H$31,'[1]DIRETORES NTE'!$E$5:$E$31,),2,0),"-")</f>
        <v>-</v>
      </c>
    </row>
    <row r="1727" spans="9:15" x14ac:dyDescent="0.25">
      <c r="I1727" s="13"/>
      <c r="M1727" s="14"/>
      <c r="O1727" t="str">
        <f>IFERROR(VLOOKUP($I1727,CHOOSE({1,2},'[1]DIRETORES NTE'!$H$5:$H$31,'[1]DIRETORES NTE'!$E$5:$E$31,),2,0),"-")</f>
        <v>-</v>
      </c>
    </row>
    <row r="1728" spans="9:15" x14ac:dyDescent="0.25">
      <c r="I1728" s="13"/>
      <c r="M1728" s="14"/>
      <c r="O1728" t="str">
        <f>IFERROR(VLOOKUP($I1728,CHOOSE({1,2},'[1]DIRETORES NTE'!$H$5:$H$31,'[1]DIRETORES NTE'!$E$5:$E$31,),2,0),"-")</f>
        <v>-</v>
      </c>
    </row>
    <row r="1729" spans="9:15" x14ac:dyDescent="0.25">
      <c r="I1729" s="13"/>
      <c r="M1729" s="14"/>
      <c r="O1729" t="str">
        <f>IFERROR(VLOOKUP($I1729,CHOOSE({1,2},'[1]DIRETORES NTE'!$H$5:$H$31,'[1]DIRETORES NTE'!$E$5:$E$31,),2,0),"-")</f>
        <v>-</v>
      </c>
    </row>
    <row r="1730" spans="9:15" x14ac:dyDescent="0.25">
      <c r="I1730" s="13"/>
      <c r="M1730" s="14"/>
      <c r="O1730" t="str">
        <f>IFERROR(VLOOKUP($I1730,CHOOSE({1,2},'[1]DIRETORES NTE'!$H$5:$H$31,'[1]DIRETORES NTE'!$E$5:$E$31,),2,0),"-")</f>
        <v>-</v>
      </c>
    </row>
    <row r="1731" spans="9:15" x14ac:dyDescent="0.25">
      <c r="I1731" s="13"/>
      <c r="M1731" s="14"/>
      <c r="O1731" t="str">
        <f>IFERROR(VLOOKUP($I1731,CHOOSE({1,2},'[1]DIRETORES NTE'!$H$5:$H$31,'[1]DIRETORES NTE'!$E$5:$E$31,),2,0),"-")</f>
        <v>-</v>
      </c>
    </row>
    <row r="1732" spans="9:15" x14ac:dyDescent="0.25">
      <c r="I1732" s="13"/>
      <c r="M1732" s="14"/>
      <c r="O1732" t="str">
        <f>IFERROR(VLOOKUP($I1732,CHOOSE({1,2},'[1]DIRETORES NTE'!$H$5:$H$31,'[1]DIRETORES NTE'!$E$5:$E$31,),2,0),"-")</f>
        <v>-</v>
      </c>
    </row>
    <row r="1733" spans="9:15" x14ac:dyDescent="0.25">
      <c r="I1733" s="13"/>
      <c r="M1733" s="14"/>
      <c r="O1733" t="str">
        <f>IFERROR(VLOOKUP($I1733,CHOOSE({1,2},'[1]DIRETORES NTE'!$H$5:$H$31,'[1]DIRETORES NTE'!$E$5:$E$31,),2,0),"-")</f>
        <v>-</v>
      </c>
    </row>
    <row r="1734" spans="9:15" x14ac:dyDescent="0.25">
      <c r="I1734" s="13"/>
      <c r="M1734" s="14"/>
      <c r="O1734" t="str">
        <f>IFERROR(VLOOKUP($I1734,CHOOSE({1,2},'[1]DIRETORES NTE'!$H$5:$H$31,'[1]DIRETORES NTE'!$E$5:$E$31,),2,0),"-")</f>
        <v>-</v>
      </c>
    </row>
    <row r="1735" spans="9:15" x14ac:dyDescent="0.25">
      <c r="I1735" s="13"/>
      <c r="M1735" s="14"/>
      <c r="O1735" t="str">
        <f>IFERROR(VLOOKUP($I1735,CHOOSE({1,2},'[1]DIRETORES NTE'!$H$5:$H$31,'[1]DIRETORES NTE'!$E$5:$E$31,),2,0),"-")</f>
        <v>-</v>
      </c>
    </row>
    <row r="1736" spans="9:15" x14ac:dyDescent="0.25">
      <c r="I1736" s="13"/>
      <c r="M1736" s="14"/>
      <c r="O1736" t="str">
        <f>IFERROR(VLOOKUP($I1736,CHOOSE({1,2},'[1]DIRETORES NTE'!$H$5:$H$31,'[1]DIRETORES NTE'!$E$5:$E$31,),2,0),"-")</f>
        <v>-</v>
      </c>
    </row>
    <row r="1737" spans="9:15" x14ac:dyDescent="0.25">
      <c r="I1737" s="13"/>
      <c r="M1737" s="14"/>
      <c r="O1737" t="str">
        <f>IFERROR(VLOOKUP($I1737,CHOOSE({1,2},'[1]DIRETORES NTE'!$H$5:$H$31,'[1]DIRETORES NTE'!$E$5:$E$31,),2,0),"-")</f>
        <v>-</v>
      </c>
    </row>
    <row r="1738" spans="9:15" x14ac:dyDescent="0.25">
      <c r="I1738" s="13"/>
      <c r="M1738" s="14"/>
      <c r="O1738" t="str">
        <f>IFERROR(VLOOKUP($I1738,CHOOSE({1,2},'[1]DIRETORES NTE'!$H$5:$H$31,'[1]DIRETORES NTE'!$E$5:$E$31,),2,0),"-")</f>
        <v>-</v>
      </c>
    </row>
    <row r="1739" spans="9:15" x14ac:dyDescent="0.25">
      <c r="I1739" s="13"/>
      <c r="M1739" s="14"/>
      <c r="O1739" t="str">
        <f>IFERROR(VLOOKUP($I1739,CHOOSE({1,2},'[1]DIRETORES NTE'!$H$5:$H$31,'[1]DIRETORES NTE'!$E$5:$E$31,),2,0),"-")</f>
        <v>-</v>
      </c>
    </row>
    <row r="1740" spans="9:15" x14ac:dyDescent="0.25">
      <c r="I1740" s="13"/>
      <c r="M1740" s="14"/>
      <c r="O1740" t="str">
        <f>IFERROR(VLOOKUP($I1740,CHOOSE({1,2},'[1]DIRETORES NTE'!$H$5:$H$31,'[1]DIRETORES NTE'!$E$5:$E$31,),2,0),"-")</f>
        <v>-</v>
      </c>
    </row>
    <row r="1741" spans="9:15" x14ac:dyDescent="0.25">
      <c r="I1741" s="13"/>
      <c r="M1741" s="14"/>
      <c r="O1741" t="str">
        <f>IFERROR(VLOOKUP($I1741,CHOOSE({1,2},'[1]DIRETORES NTE'!$H$5:$H$31,'[1]DIRETORES NTE'!$E$5:$E$31,),2,0),"-")</f>
        <v>-</v>
      </c>
    </row>
    <row r="1742" spans="9:15" x14ac:dyDescent="0.25">
      <c r="I1742" s="13"/>
      <c r="M1742" s="14"/>
      <c r="O1742" t="str">
        <f>IFERROR(VLOOKUP($I1742,CHOOSE({1,2},'[1]DIRETORES NTE'!$H$5:$H$31,'[1]DIRETORES NTE'!$E$5:$E$31,),2,0),"-")</f>
        <v>-</v>
      </c>
    </row>
    <row r="1743" spans="9:15" x14ac:dyDescent="0.25">
      <c r="I1743" s="13"/>
      <c r="M1743" s="14"/>
      <c r="O1743" t="str">
        <f>IFERROR(VLOOKUP($I1743,CHOOSE({1,2},'[1]DIRETORES NTE'!$H$5:$H$31,'[1]DIRETORES NTE'!$E$5:$E$31,),2,0),"-")</f>
        <v>-</v>
      </c>
    </row>
    <row r="1744" spans="9:15" x14ac:dyDescent="0.25">
      <c r="I1744" s="13"/>
      <c r="M1744" s="14"/>
      <c r="O1744" t="str">
        <f>IFERROR(VLOOKUP($I1744,CHOOSE({1,2},'[1]DIRETORES NTE'!$H$5:$H$31,'[1]DIRETORES NTE'!$E$5:$E$31,),2,0),"-")</f>
        <v>-</v>
      </c>
    </row>
    <row r="1745" spans="9:15" x14ac:dyDescent="0.25">
      <c r="I1745" s="13"/>
      <c r="M1745" s="14"/>
      <c r="O1745" t="str">
        <f>IFERROR(VLOOKUP($I1745,CHOOSE({1,2},'[1]DIRETORES NTE'!$H$5:$H$31,'[1]DIRETORES NTE'!$E$5:$E$31,),2,0),"-")</f>
        <v>-</v>
      </c>
    </row>
    <row r="1746" spans="9:15" x14ac:dyDescent="0.25">
      <c r="I1746" s="13"/>
      <c r="M1746" s="14"/>
      <c r="O1746" t="str">
        <f>IFERROR(VLOOKUP($I1746,CHOOSE({1,2},'[1]DIRETORES NTE'!$H$5:$H$31,'[1]DIRETORES NTE'!$E$5:$E$31,),2,0),"-")</f>
        <v>-</v>
      </c>
    </row>
    <row r="1747" spans="9:15" x14ac:dyDescent="0.25">
      <c r="I1747" s="13"/>
      <c r="M1747" s="14"/>
      <c r="O1747" t="str">
        <f>IFERROR(VLOOKUP($I1747,CHOOSE({1,2},'[1]DIRETORES NTE'!$H$5:$H$31,'[1]DIRETORES NTE'!$E$5:$E$31,),2,0),"-")</f>
        <v>-</v>
      </c>
    </row>
    <row r="1748" spans="9:15" x14ac:dyDescent="0.25">
      <c r="I1748" s="13"/>
      <c r="M1748" s="14"/>
      <c r="O1748" t="str">
        <f>IFERROR(VLOOKUP($I1748,CHOOSE({1,2},'[1]DIRETORES NTE'!$H$5:$H$31,'[1]DIRETORES NTE'!$E$5:$E$31,),2,0),"-")</f>
        <v>-</v>
      </c>
    </row>
    <row r="1749" spans="9:15" x14ac:dyDescent="0.25">
      <c r="I1749" s="13"/>
      <c r="M1749" s="14"/>
      <c r="O1749" t="str">
        <f>IFERROR(VLOOKUP($I1749,CHOOSE({1,2},'[1]DIRETORES NTE'!$H$5:$H$31,'[1]DIRETORES NTE'!$E$5:$E$31,),2,0),"-")</f>
        <v>-</v>
      </c>
    </row>
    <row r="1750" spans="9:15" x14ac:dyDescent="0.25">
      <c r="I1750" s="13"/>
      <c r="M1750" s="14"/>
      <c r="O1750" t="str">
        <f>IFERROR(VLOOKUP($I1750,CHOOSE({1,2},'[1]DIRETORES NTE'!$H$5:$H$31,'[1]DIRETORES NTE'!$E$5:$E$31,),2,0),"-")</f>
        <v>-</v>
      </c>
    </row>
    <row r="1751" spans="9:15" x14ac:dyDescent="0.25">
      <c r="I1751" s="13"/>
      <c r="M1751" s="14"/>
      <c r="O1751" t="str">
        <f>IFERROR(VLOOKUP($I1751,CHOOSE({1,2},'[1]DIRETORES NTE'!$H$5:$H$31,'[1]DIRETORES NTE'!$E$5:$E$31,),2,0),"-")</f>
        <v>-</v>
      </c>
    </row>
    <row r="1752" spans="9:15" x14ac:dyDescent="0.25">
      <c r="I1752" s="13"/>
      <c r="M1752" s="14"/>
      <c r="O1752" t="str">
        <f>IFERROR(VLOOKUP($I1752,CHOOSE({1,2},'[1]DIRETORES NTE'!$H$5:$H$31,'[1]DIRETORES NTE'!$E$5:$E$31,),2,0),"-")</f>
        <v>-</v>
      </c>
    </row>
    <row r="1753" spans="9:15" x14ac:dyDescent="0.25">
      <c r="I1753" s="13"/>
      <c r="M1753" s="14"/>
      <c r="O1753" t="str">
        <f>IFERROR(VLOOKUP($I1753,CHOOSE({1,2},'[1]DIRETORES NTE'!$H$5:$H$31,'[1]DIRETORES NTE'!$E$5:$E$31,),2,0),"-")</f>
        <v>-</v>
      </c>
    </row>
    <row r="1754" spans="9:15" x14ac:dyDescent="0.25">
      <c r="I1754" s="13"/>
      <c r="M1754" s="14"/>
      <c r="O1754" t="str">
        <f>IFERROR(VLOOKUP($I1754,CHOOSE({1,2},'[1]DIRETORES NTE'!$H$5:$H$31,'[1]DIRETORES NTE'!$E$5:$E$31,),2,0),"-")</f>
        <v>-</v>
      </c>
    </row>
    <row r="1755" spans="9:15" x14ac:dyDescent="0.25">
      <c r="I1755" s="13"/>
      <c r="M1755" s="14"/>
      <c r="O1755" t="str">
        <f>IFERROR(VLOOKUP($I1755,CHOOSE({1,2},'[1]DIRETORES NTE'!$H$5:$H$31,'[1]DIRETORES NTE'!$E$5:$E$31,),2,0),"-")</f>
        <v>-</v>
      </c>
    </row>
    <row r="1756" spans="9:15" x14ac:dyDescent="0.25">
      <c r="I1756" s="13"/>
      <c r="M1756" s="14"/>
      <c r="O1756" t="str">
        <f>IFERROR(VLOOKUP($I1756,CHOOSE({1,2},'[1]DIRETORES NTE'!$H$5:$H$31,'[1]DIRETORES NTE'!$E$5:$E$31,),2,0),"-")</f>
        <v>-</v>
      </c>
    </row>
    <row r="1757" spans="9:15" x14ac:dyDescent="0.25">
      <c r="I1757" s="13"/>
      <c r="M1757" s="14"/>
      <c r="O1757" t="str">
        <f>IFERROR(VLOOKUP($I1757,CHOOSE({1,2},'[1]DIRETORES NTE'!$H$5:$H$31,'[1]DIRETORES NTE'!$E$5:$E$31,),2,0),"-")</f>
        <v>-</v>
      </c>
    </row>
    <row r="1758" spans="9:15" x14ac:dyDescent="0.25">
      <c r="I1758" s="13"/>
      <c r="M1758" s="14"/>
      <c r="O1758" t="str">
        <f>IFERROR(VLOOKUP($I1758,CHOOSE({1,2},'[1]DIRETORES NTE'!$H$5:$H$31,'[1]DIRETORES NTE'!$E$5:$E$31,),2,0),"-")</f>
        <v>-</v>
      </c>
    </row>
    <row r="1759" spans="9:15" x14ac:dyDescent="0.25">
      <c r="I1759" s="13"/>
      <c r="M1759" s="14"/>
      <c r="O1759" t="str">
        <f>IFERROR(VLOOKUP($I1759,CHOOSE({1,2},'[1]DIRETORES NTE'!$H$5:$H$31,'[1]DIRETORES NTE'!$E$5:$E$31,),2,0),"-")</f>
        <v>-</v>
      </c>
    </row>
    <row r="1760" spans="9:15" x14ac:dyDescent="0.25">
      <c r="I1760" s="13"/>
      <c r="M1760" s="14"/>
      <c r="O1760" t="str">
        <f>IFERROR(VLOOKUP($I1760,CHOOSE({1,2},'[1]DIRETORES NTE'!$H$5:$H$31,'[1]DIRETORES NTE'!$E$5:$E$31,),2,0),"-")</f>
        <v>-</v>
      </c>
    </row>
    <row r="1761" spans="9:15" x14ac:dyDescent="0.25">
      <c r="I1761" s="13"/>
      <c r="M1761" s="14"/>
      <c r="O1761" t="str">
        <f>IFERROR(VLOOKUP($I1761,CHOOSE({1,2},'[1]DIRETORES NTE'!$H$5:$H$31,'[1]DIRETORES NTE'!$E$5:$E$31,),2,0),"-")</f>
        <v>-</v>
      </c>
    </row>
    <row r="1762" spans="9:15" x14ac:dyDescent="0.25">
      <c r="I1762" s="13"/>
      <c r="M1762" s="14"/>
      <c r="O1762" t="str">
        <f>IFERROR(VLOOKUP($I1762,CHOOSE({1,2},'[1]DIRETORES NTE'!$H$5:$H$31,'[1]DIRETORES NTE'!$E$5:$E$31,),2,0),"-")</f>
        <v>-</v>
      </c>
    </row>
    <row r="1763" spans="9:15" x14ac:dyDescent="0.25">
      <c r="I1763" s="13"/>
      <c r="M1763" s="14"/>
      <c r="O1763" t="str">
        <f>IFERROR(VLOOKUP($I1763,CHOOSE({1,2},'[1]DIRETORES NTE'!$H$5:$H$31,'[1]DIRETORES NTE'!$E$5:$E$31,),2,0),"-")</f>
        <v>-</v>
      </c>
    </row>
    <row r="1764" spans="9:15" x14ac:dyDescent="0.25">
      <c r="I1764" s="13"/>
      <c r="M1764" s="14"/>
      <c r="O1764" t="str">
        <f>IFERROR(VLOOKUP($I1764,CHOOSE({1,2},'[1]DIRETORES NTE'!$H$5:$H$31,'[1]DIRETORES NTE'!$E$5:$E$31,),2,0),"-")</f>
        <v>-</v>
      </c>
    </row>
    <row r="1765" spans="9:15" x14ac:dyDescent="0.25">
      <c r="I1765" s="13"/>
      <c r="M1765" s="14"/>
      <c r="O1765" t="str">
        <f>IFERROR(VLOOKUP($I1765,CHOOSE({1,2},'[1]DIRETORES NTE'!$H$5:$H$31,'[1]DIRETORES NTE'!$E$5:$E$31,),2,0),"-")</f>
        <v>-</v>
      </c>
    </row>
    <row r="1766" spans="9:15" x14ac:dyDescent="0.25">
      <c r="I1766" s="13"/>
      <c r="M1766" s="14"/>
      <c r="O1766" t="str">
        <f>IFERROR(VLOOKUP($I1766,CHOOSE({1,2},'[1]DIRETORES NTE'!$H$5:$H$31,'[1]DIRETORES NTE'!$E$5:$E$31,),2,0),"-")</f>
        <v>-</v>
      </c>
    </row>
    <row r="1767" spans="9:15" x14ac:dyDescent="0.25">
      <c r="I1767" s="13"/>
      <c r="M1767" s="14"/>
      <c r="O1767" t="str">
        <f>IFERROR(VLOOKUP($I1767,CHOOSE({1,2},'[1]DIRETORES NTE'!$H$5:$H$31,'[1]DIRETORES NTE'!$E$5:$E$31,),2,0),"-")</f>
        <v>-</v>
      </c>
    </row>
    <row r="1768" spans="9:15" x14ac:dyDescent="0.25">
      <c r="I1768" s="13"/>
      <c r="M1768" s="14"/>
      <c r="O1768" t="str">
        <f>IFERROR(VLOOKUP($I1768,CHOOSE({1,2},'[1]DIRETORES NTE'!$H$5:$H$31,'[1]DIRETORES NTE'!$E$5:$E$31,),2,0),"-")</f>
        <v>-</v>
      </c>
    </row>
    <row r="1769" spans="9:15" x14ac:dyDescent="0.25">
      <c r="I1769" s="13"/>
      <c r="M1769" s="14"/>
      <c r="O1769" t="str">
        <f>IFERROR(VLOOKUP($I1769,CHOOSE({1,2},'[1]DIRETORES NTE'!$H$5:$H$31,'[1]DIRETORES NTE'!$E$5:$E$31,),2,0),"-")</f>
        <v>-</v>
      </c>
    </row>
    <row r="1770" spans="9:15" x14ac:dyDescent="0.25">
      <c r="I1770" s="13"/>
      <c r="M1770" s="14"/>
      <c r="O1770" t="str">
        <f>IFERROR(VLOOKUP($I1770,CHOOSE({1,2},'[1]DIRETORES NTE'!$H$5:$H$31,'[1]DIRETORES NTE'!$E$5:$E$31,),2,0),"-")</f>
        <v>-</v>
      </c>
    </row>
    <row r="1771" spans="9:15" x14ac:dyDescent="0.25">
      <c r="I1771" s="13"/>
      <c r="M1771" s="14"/>
      <c r="O1771" t="str">
        <f>IFERROR(VLOOKUP($I1771,CHOOSE({1,2},'[1]DIRETORES NTE'!$H$5:$H$31,'[1]DIRETORES NTE'!$E$5:$E$31,),2,0),"-")</f>
        <v>-</v>
      </c>
    </row>
    <row r="1772" spans="9:15" x14ac:dyDescent="0.25">
      <c r="I1772" s="13"/>
      <c r="M1772" s="14"/>
      <c r="O1772" t="str">
        <f>IFERROR(VLOOKUP($I1772,CHOOSE({1,2},'[1]DIRETORES NTE'!$H$5:$H$31,'[1]DIRETORES NTE'!$E$5:$E$31,),2,0),"-")</f>
        <v>-</v>
      </c>
    </row>
    <row r="1773" spans="9:15" x14ac:dyDescent="0.25">
      <c r="I1773" s="13"/>
      <c r="M1773" s="14"/>
      <c r="O1773" t="str">
        <f>IFERROR(VLOOKUP($I1773,CHOOSE({1,2},'[1]DIRETORES NTE'!$H$5:$H$31,'[1]DIRETORES NTE'!$E$5:$E$31,),2,0),"-")</f>
        <v>-</v>
      </c>
    </row>
    <row r="1774" spans="9:15" x14ac:dyDescent="0.25">
      <c r="I1774" s="13"/>
      <c r="M1774" s="14"/>
      <c r="O1774" t="str">
        <f>IFERROR(VLOOKUP($I1774,CHOOSE({1,2},'[1]DIRETORES NTE'!$H$5:$H$31,'[1]DIRETORES NTE'!$E$5:$E$31,),2,0),"-")</f>
        <v>-</v>
      </c>
    </row>
    <row r="1775" spans="9:15" x14ac:dyDescent="0.25">
      <c r="I1775" s="13"/>
      <c r="M1775" s="14"/>
      <c r="O1775" t="str">
        <f>IFERROR(VLOOKUP($I1775,CHOOSE({1,2},'[1]DIRETORES NTE'!$H$5:$H$31,'[1]DIRETORES NTE'!$E$5:$E$31,),2,0),"-")</f>
        <v>-</v>
      </c>
    </row>
    <row r="1776" spans="9:15" x14ac:dyDescent="0.25">
      <c r="I1776" s="13"/>
      <c r="M1776" s="14"/>
      <c r="O1776" t="str">
        <f>IFERROR(VLOOKUP($I1776,CHOOSE({1,2},'[1]DIRETORES NTE'!$H$5:$H$31,'[1]DIRETORES NTE'!$E$5:$E$31,),2,0),"-")</f>
        <v>-</v>
      </c>
    </row>
    <row r="1777" spans="9:15" x14ac:dyDescent="0.25">
      <c r="I1777" s="13"/>
      <c r="M1777" s="14"/>
      <c r="O1777" t="str">
        <f>IFERROR(VLOOKUP($I1777,CHOOSE({1,2},'[1]DIRETORES NTE'!$H$5:$H$31,'[1]DIRETORES NTE'!$E$5:$E$31,),2,0),"-")</f>
        <v>-</v>
      </c>
    </row>
    <row r="1778" spans="9:15" x14ac:dyDescent="0.25">
      <c r="I1778" s="13"/>
      <c r="M1778" s="14"/>
      <c r="O1778" t="str">
        <f>IFERROR(VLOOKUP($I1778,CHOOSE({1,2},'[1]DIRETORES NTE'!$H$5:$H$31,'[1]DIRETORES NTE'!$E$5:$E$31,),2,0),"-")</f>
        <v>-</v>
      </c>
    </row>
    <row r="1779" spans="9:15" x14ac:dyDescent="0.25">
      <c r="I1779" s="13"/>
      <c r="M1779" s="14"/>
      <c r="O1779" t="str">
        <f>IFERROR(VLOOKUP($I1779,CHOOSE({1,2},'[1]DIRETORES NTE'!$H$5:$H$31,'[1]DIRETORES NTE'!$E$5:$E$31,),2,0),"-")</f>
        <v>-</v>
      </c>
    </row>
    <row r="1780" spans="9:15" x14ac:dyDescent="0.25">
      <c r="I1780" s="13"/>
      <c r="M1780" s="14"/>
      <c r="O1780" t="str">
        <f>IFERROR(VLOOKUP($I1780,CHOOSE({1,2},'[1]DIRETORES NTE'!$H$5:$H$31,'[1]DIRETORES NTE'!$E$5:$E$31,),2,0),"-")</f>
        <v>-</v>
      </c>
    </row>
    <row r="1781" spans="9:15" x14ac:dyDescent="0.25">
      <c r="I1781" s="13"/>
      <c r="M1781" s="14"/>
      <c r="O1781" t="str">
        <f>IFERROR(VLOOKUP($I1781,CHOOSE({1,2},'[1]DIRETORES NTE'!$H$5:$H$31,'[1]DIRETORES NTE'!$E$5:$E$31,),2,0),"-")</f>
        <v>-</v>
      </c>
    </row>
    <row r="1782" spans="9:15" x14ac:dyDescent="0.25">
      <c r="I1782" s="13"/>
      <c r="M1782" s="14"/>
      <c r="O1782" t="str">
        <f>IFERROR(VLOOKUP($I1782,CHOOSE({1,2},'[1]DIRETORES NTE'!$H$5:$H$31,'[1]DIRETORES NTE'!$E$5:$E$31,),2,0),"-")</f>
        <v>-</v>
      </c>
    </row>
    <row r="1783" spans="9:15" x14ac:dyDescent="0.25">
      <c r="I1783" s="13"/>
      <c r="M1783" s="14"/>
      <c r="O1783" t="str">
        <f>IFERROR(VLOOKUP($I1783,CHOOSE({1,2},'[1]DIRETORES NTE'!$H$5:$H$31,'[1]DIRETORES NTE'!$E$5:$E$31,),2,0),"-")</f>
        <v>-</v>
      </c>
    </row>
    <row r="1784" spans="9:15" x14ac:dyDescent="0.25">
      <c r="I1784" s="13"/>
      <c r="M1784" s="14"/>
      <c r="O1784" t="str">
        <f>IFERROR(VLOOKUP($I1784,CHOOSE({1,2},'[1]DIRETORES NTE'!$H$5:$H$31,'[1]DIRETORES NTE'!$E$5:$E$31,),2,0),"-")</f>
        <v>-</v>
      </c>
    </row>
    <row r="1785" spans="9:15" x14ac:dyDescent="0.25">
      <c r="I1785" s="13"/>
      <c r="M1785" s="14"/>
      <c r="O1785" t="str">
        <f>IFERROR(VLOOKUP($I1785,CHOOSE({1,2},'[1]DIRETORES NTE'!$H$5:$H$31,'[1]DIRETORES NTE'!$E$5:$E$31,),2,0),"-")</f>
        <v>-</v>
      </c>
    </row>
    <row r="1786" spans="9:15" x14ac:dyDescent="0.25">
      <c r="I1786" s="13"/>
      <c r="M1786" s="14"/>
      <c r="O1786" t="str">
        <f>IFERROR(VLOOKUP($I1786,CHOOSE({1,2},'[1]DIRETORES NTE'!$H$5:$H$31,'[1]DIRETORES NTE'!$E$5:$E$31,),2,0),"-")</f>
        <v>-</v>
      </c>
    </row>
    <row r="1787" spans="9:15" x14ac:dyDescent="0.25">
      <c r="I1787" s="13"/>
      <c r="M1787" s="14"/>
      <c r="O1787" t="str">
        <f>IFERROR(VLOOKUP($I1787,CHOOSE({1,2},'[1]DIRETORES NTE'!$H$5:$H$31,'[1]DIRETORES NTE'!$E$5:$E$31,),2,0),"-")</f>
        <v>-</v>
      </c>
    </row>
    <row r="1788" spans="9:15" x14ac:dyDescent="0.25">
      <c r="I1788" s="13"/>
      <c r="M1788" s="14"/>
      <c r="O1788" t="str">
        <f>IFERROR(VLOOKUP($I1788,CHOOSE({1,2},'[1]DIRETORES NTE'!$H$5:$H$31,'[1]DIRETORES NTE'!$E$5:$E$31,),2,0),"-")</f>
        <v>-</v>
      </c>
    </row>
    <row r="1789" spans="9:15" x14ac:dyDescent="0.25">
      <c r="I1789" s="13"/>
      <c r="M1789" s="14"/>
      <c r="O1789" t="str">
        <f>IFERROR(VLOOKUP($I1789,CHOOSE({1,2},'[1]DIRETORES NTE'!$H$5:$H$31,'[1]DIRETORES NTE'!$E$5:$E$31,),2,0),"-")</f>
        <v>-</v>
      </c>
    </row>
    <row r="1790" spans="9:15" x14ac:dyDescent="0.25">
      <c r="I1790" s="13"/>
      <c r="M1790" s="14"/>
      <c r="O1790" t="str">
        <f>IFERROR(VLOOKUP($I1790,CHOOSE({1,2},'[1]DIRETORES NTE'!$H$5:$H$31,'[1]DIRETORES NTE'!$E$5:$E$31,),2,0),"-")</f>
        <v>-</v>
      </c>
    </row>
    <row r="1791" spans="9:15" x14ac:dyDescent="0.25">
      <c r="I1791" s="13"/>
      <c r="M1791" s="14"/>
      <c r="O1791" t="str">
        <f>IFERROR(VLOOKUP($I1791,CHOOSE({1,2},'[1]DIRETORES NTE'!$H$5:$H$31,'[1]DIRETORES NTE'!$E$5:$E$31,),2,0),"-")</f>
        <v>-</v>
      </c>
    </row>
    <row r="1792" spans="9:15" x14ac:dyDescent="0.25">
      <c r="I1792" s="13"/>
      <c r="M1792" s="14"/>
      <c r="O1792" t="str">
        <f>IFERROR(VLOOKUP($I1792,CHOOSE({1,2},'[1]DIRETORES NTE'!$H$5:$H$31,'[1]DIRETORES NTE'!$E$5:$E$31,),2,0),"-")</f>
        <v>-</v>
      </c>
    </row>
    <row r="1793" spans="9:15" x14ac:dyDescent="0.25">
      <c r="I1793" s="13"/>
      <c r="M1793" s="14"/>
      <c r="O1793" t="str">
        <f>IFERROR(VLOOKUP($I1793,CHOOSE({1,2},'[1]DIRETORES NTE'!$H$5:$H$31,'[1]DIRETORES NTE'!$E$5:$E$31,),2,0),"-")</f>
        <v>-</v>
      </c>
    </row>
    <row r="1794" spans="9:15" x14ac:dyDescent="0.25">
      <c r="I1794" s="13"/>
      <c r="M1794" s="14"/>
      <c r="O1794" t="str">
        <f>IFERROR(VLOOKUP($I1794,CHOOSE({1,2},'[1]DIRETORES NTE'!$H$5:$H$31,'[1]DIRETORES NTE'!$E$5:$E$31,),2,0),"-")</f>
        <v>-</v>
      </c>
    </row>
    <row r="1795" spans="9:15" x14ac:dyDescent="0.25">
      <c r="I1795" s="13"/>
      <c r="M1795" s="14"/>
      <c r="O1795" t="str">
        <f>IFERROR(VLOOKUP($I1795,CHOOSE({1,2},'[1]DIRETORES NTE'!$H$5:$H$31,'[1]DIRETORES NTE'!$E$5:$E$31,),2,0),"-")</f>
        <v>-</v>
      </c>
    </row>
    <row r="1796" spans="9:15" x14ac:dyDescent="0.25">
      <c r="I1796" s="13"/>
      <c r="M1796" s="14"/>
      <c r="O1796" t="str">
        <f>IFERROR(VLOOKUP($I1796,CHOOSE({1,2},'[1]DIRETORES NTE'!$H$5:$H$31,'[1]DIRETORES NTE'!$E$5:$E$31,),2,0),"-")</f>
        <v>-</v>
      </c>
    </row>
    <row r="1797" spans="9:15" x14ac:dyDescent="0.25">
      <c r="I1797" s="13"/>
      <c r="M1797" s="14"/>
      <c r="O1797" t="str">
        <f>IFERROR(VLOOKUP($I1797,CHOOSE({1,2},'[1]DIRETORES NTE'!$H$5:$H$31,'[1]DIRETORES NTE'!$E$5:$E$31,),2,0),"-")</f>
        <v>-</v>
      </c>
    </row>
    <row r="1798" spans="9:15" x14ac:dyDescent="0.25">
      <c r="I1798" s="13"/>
      <c r="M1798" s="14"/>
      <c r="O1798" t="str">
        <f>IFERROR(VLOOKUP($I1798,CHOOSE({1,2},'[1]DIRETORES NTE'!$H$5:$H$31,'[1]DIRETORES NTE'!$E$5:$E$31,),2,0),"-")</f>
        <v>-</v>
      </c>
    </row>
    <row r="1799" spans="9:15" x14ac:dyDescent="0.25">
      <c r="I1799" s="13"/>
      <c r="M1799" s="14"/>
      <c r="O1799" t="str">
        <f>IFERROR(VLOOKUP($I1799,CHOOSE({1,2},'[1]DIRETORES NTE'!$H$5:$H$31,'[1]DIRETORES NTE'!$E$5:$E$31,),2,0),"-")</f>
        <v>-</v>
      </c>
    </row>
    <row r="1800" spans="9:15" x14ac:dyDescent="0.25">
      <c r="I1800" s="13"/>
      <c r="M1800" s="14"/>
      <c r="O1800" t="str">
        <f>IFERROR(VLOOKUP($I1800,CHOOSE({1,2},'[1]DIRETORES NTE'!$H$5:$H$31,'[1]DIRETORES NTE'!$E$5:$E$31,),2,0),"-")</f>
        <v>-</v>
      </c>
    </row>
    <row r="1801" spans="9:15" x14ac:dyDescent="0.25">
      <c r="I1801" s="13"/>
      <c r="M1801" s="14"/>
      <c r="O1801" t="str">
        <f>IFERROR(VLOOKUP($I1801,CHOOSE({1,2},'[1]DIRETORES NTE'!$H$5:$H$31,'[1]DIRETORES NTE'!$E$5:$E$31,),2,0),"-")</f>
        <v>-</v>
      </c>
    </row>
    <row r="1802" spans="9:15" x14ac:dyDescent="0.25">
      <c r="I1802" s="13"/>
      <c r="M1802" s="14"/>
      <c r="O1802" t="str">
        <f>IFERROR(VLOOKUP($I1802,CHOOSE({1,2},'[1]DIRETORES NTE'!$H$5:$H$31,'[1]DIRETORES NTE'!$E$5:$E$31,),2,0),"-")</f>
        <v>-</v>
      </c>
    </row>
    <row r="1803" spans="9:15" x14ac:dyDescent="0.25">
      <c r="I1803" s="13"/>
      <c r="M1803" s="14"/>
      <c r="O1803" t="str">
        <f>IFERROR(VLOOKUP($I1803,CHOOSE({1,2},'[1]DIRETORES NTE'!$H$5:$H$31,'[1]DIRETORES NTE'!$E$5:$E$31,),2,0),"-")</f>
        <v>-</v>
      </c>
    </row>
    <row r="1804" spans="9:15" x14ac:dyDescent="0.25">
      <c r="I1804" s="13"/>
      <c r="M1804" s="14"/>
      <c r="O1804" t="str">
        <f>IFERROR(VLOOKUP($I1804,CHOOSE({1,2},'[1]DIRETORES NTE'!$H$5:$H$31,'[1]DIRETORES NTE'!$E$5:$E$31,),2,0),"-")</f>
        <v>-</v>
      </c>
    </row>
    <row r="1805" spans="9:15" x14ac:dyDescent="0.25">
      <c r="I1805" s="13"/>
      <c r="M1805" s="14"/>
      <c r="O1805" t="str">
        <f>IFERROR(VLOOKUP($I1805,CHOOSE({1,2},'[1]DIRETORES NTE'!$H$5:$H$31,'[1]DIRETORES NTE'!$E$5:$E$31,),2,0),"-")</f>
        <v>-</v>
      </c>
    </row>
    <row r="1806" spans="9:15" x14ac:dyDescent="0.25">
      <c r="I1806" s="13"/>
      <c r="M1806" s="14"/>
      <c r="O1806" t="str">
        <f>IFERROR(VLOOKUP($I1806,CHOOSE({1,2},'[1]DIRETORES NTE'!$H$5:$H$31,'[1]DIRETORES NTE'!$E$5:$E$31,),2,0),"-")</f>
        <v>-</v>
      </c>
    </row>
    <row r="1807" spans="9:15" x14ac:dyDescent="0.25">
      <c r="I1807" s="13"/>
      <c r="M1807" s="14"/>
      <c r="O1807" t="str">
        <f>IFERROR(VLOOKUP($I1807,CHOOSE({1,2},'[1]DIRETORES NTE'!$H$5:$H$31,'[1]DIRETORES NTE'!$E$5:$E$31,),2,0),"-")</f>
        <v>-</v>
      </c>
    </row>
    <row r="1808" spans="9:15" x14ac:dyDescent="0.25">
      <c r="I1808" s="13"/>
      <c r="M1808" s="14"/>
      <c r="O1808" t="str">
        <f>IFERROR(VLOOKUP($I1808,CHOOSE({1,2},'[1]DIRETORES NTE'!$H$5:$H$31,'[1]DIRETORES NTE'!$E$5:$E$31,),2,0),"-")</f>
        <v>-</v>
      </c>
    </row>
    <row r="1809" spans="9:15" x14ac:dyDescent="0.25">
      <c r="I1809" s="13"/>
      <c r="M1809" s="14"/>
      <c r="O1809" t="str">
        <f>IFERROR(VLOOKUP($I1809,CHOOSE({1,2},'[1]DIRETORES NTE'!$H$5:$H$31,'[1]DIRETORES NTE'!$E$5:$E$31,),2,0),"-")</f>
        <v>-</v>
      </c>
    </row>
    <row r="1810" spans="9:15" x14ac:dyDescent="0.25">
      <c r="I1810" s="13"/>
      <c r="M1810" s="14"/>
      <c r="O1810" t="str">
        <f>IFERROR(VLOOKUP($I1810,CHOOSE({1,2},'[1]DIRETORES NTE'!$H$5:$H$31,'[1]DIRETORES NTE'!$E$5:$E$31,),2,0),"-")</f>
        <v>-</v>
      </c>
    </row>
    <row r="1811" spans="9:15" x14ac:dyDescent="0.25">
      <c r="I1811" s="13"/>
      <c r="M1811" s="14"/>
      <c r="O1811" t="str">
        <f>IFERROR(VLOOKUP($I1811,CHOOSE({1,2},'[1]DIRETORES NTE'!$H$5:$H$31,'[1]DIRETORES NTE'!$E$5:$E$31,),2,0),"-")</f>
        <v>-</v>
      </c>
    </row>
    <row r="1812" spans="9:15" x14ac:dyDescent="0.25">
      <c r="I1812" s="13"/>
      <c r="M1812" s="14"/>
      <c r="O1812" t="str">
        <f>IFERROR(VLOOKUP($I1812,CHOOSE({1,2},'[1]DIRETORES NTE'!$H$5:$H$31,'[1]DIRETORES NTE'!$E$5:$E$31,),2,0),"-")</f>
        <v>-</v>
      </c>
    </row>
    <row r="1813" spans="9:15" x14ac:dyDescent="0.25">
      <c r="I1813" s="13"/>
      <c r="M1813" s="14"/>
      <c r="O1813" t="str">
        <f>IFERROR(VLOOKUP($I1813,CHOOSE({1,2},'[1]DIRETORES NTE'!$H$5:$H$31,'[1]DIRETORES NTE'!$E$5:$E$31,),2,0),"-")</f>
        <v>-</v>
      </c>
    </row>
    <row r="1814" spans="9:15" x14ac:dyDescent="0.25">
      <c r="I1814" s="13"/>
      <c r="M1814" s="14"/>
      <c r="O1814" t="str">
        <f>IFERROR(VLOOKUP($I1814,CHOOSE({1,2},'[1]DIRETORES NTE'!$H$5:$H$31,'[1]DIRETORES NTE'!$E$5:$E$31,),2,0),"-")</f>
        <v>-</v>
      </c>
    </row>
    <row r="1815" spans="9:15" x14ac:dyDescent="0.25">
      <c r="I1815" s="13"/>
      <c r="M1815" s="14"/>
      <c r="O1815" t="str">
        <f>IFERROR(VLOOKUP($I1815,CHOOSE({1,2},'[1]DIRETORES NTE'!$H$5:$H$31,'[1]DIRETORES NTE'!$E$5:$E$31,),2,0),"-")</f>
        <v>-</v>
      </c>
    </row>
    <row r="1816" spans="9:15" x14ac:dyDescent="0.25">
      <c r="I1816" s="13"/>
      <c r="M1816" s="14"/>
      <c r="O1816" t="str">
        <f>IFERROR(VLOOKUP($I1816,CHOOSE({1,2},'[1]DIRETORES NTE'!$H$5:$H$31,'[1]DIRETORES NTE'!$E$5:$E$31,),2,0),"-")</f>
        <v>-</v>
      </c>
    </row>
    <row r="1817" spans="9:15" x14ac:dyDescent="0.25">
      <c r="I1817" s="13"/>
      <c r="M1817" s="14"/>
      <c r="O1817" t="str">
        <f>IFERROR(VLOOKUP($I1817,CHOOSE({1,2},'[1]DIRETORES NTE'!$H$5:$H$31,'[1]DIRETORES NTE'!$E$5:$E$31,),2,0),"-")</f>
        <v>-</v>
      </c>
    </row>
    <row r="1818" spans="9:15" x14ac:dyDescent="0.25">
      <c r="I1818" s="13"/>
      <c r="M1818" s="14"/>
      <c r="O1818" t="str">
        <f>IFERROR(VLOOKUP($I1818,CHOOSE({1,2},'[1]DIRETORES NTE'!$H$5:$H$31,'[1]DIRETORES NTE'!$E$5:$E$31,),2,0),"-")</f>
        <v>-</v>
      </c>
    </row>
    <row r="1819" spans="9:15" x14ac:dyDescent="0.25">
      <c r="I1819" s="13"/>
      <c r="M1819" s="14"/>
      <c r="O1819" t="str">
        <f>IFERROR(VLOOKUP($I1819,CHOOSE({1,2},'[1]DIRETORES NTE'!$H$5:$H$31,'[1]DIRETORES NTE'!$E$5:$E$31,),2,0),"-")</f>
        <v>-</v>
      </c>
    </row>
    <row r="1820" spans="9:15" x14ac:dyDescent="0.25">
      <c r="I1820" s="13"/>
      <c r="M1820" s="14"/>
      <c r="O1820" t="str">
        <f>IFERROR(VLOOKUP($I1820,CHOOSE({1,2},'[1]DIRETORES NTE'!$H$5:$H$31,'[1]DIRETORES NTE'!$E$5:$E$31,),2,0),"-")</f>
        <v>-</v>
      </c>
    </row>
    <row r="1821" spans="9:15" x14ac:dyDescent="0.25">
      <c r="I1821" s="13"/>
      <c r="M1821" s="14"/>
      <c r="O1821" t="str">
        <f>IFERROR(VLOOKUP($I1821,CHOOSE({1,2},'[1]DIRETORES NTE'!$H$5:$H$31,'[1]DIRETORES NTE'!$E$5:$E$31,),2,0),"-")</f>
        <v>-</v>
      </c>
    </row>
    <row r="1822" spans="9:15" x14ac:dyDescent="0.25">
      <c r="I1822" s="13"/>
      <c r="M1822" s="14"/>
      <c r="O1822" t="str">
        <f>IFERROR(VLOOKUP($I1822,CHOOSE({1,2},'[1]DIRETORES NTE'!$H$5:$H$31,'[1]DIRETORES NTE'!$E$5:$E$31,),2,0),"-")</f>
        <v>-</v>
      </c>
    </row>
    <row r="1823" spans="9:15" x14ac:dyDescent="0.25">
      <c r="I1823" s="13"/>
      <c r="M1823" s="14"/>
      <c r="O1823" t="str">
        <f>IFERROR(VLOOKUP($I1823,CHOOSE({1,2},'[1]DIRETORES NTE'!$H$5:$H$31,'[1]DIRETORES NTE'!$E$5:$E$31,),2,0),"-")</f>
        <v>-</v>
      </c>
    </row>
    <row r="1824" spans="9:15" x14ac:dyDescent="0.25">
      <c r="I1824" s="13"/>
      <c r="M1824" s="14"/>
      <c r="O1824" t="str">
        <f>IFERROR(VLOOKUP($I1824,CHOOSE({1,2},'[1]DIRETORES NTE'!$H$5:$H$31,'[1]DIRETORES NTE'!$E$5:$E$31,),2,0),"-")</f>
        <v>-</v>
      </c>
    </row>
    <row r="1825" spans="9:15" x14ac:dyDescent="0.25">
      <c r="I1825" s="13"/>
      <c r="M1825" s="14"/>
      <c r="O1825" t="str">
        <f>IFERROR(VLOOKUP($I1825,CHOOSE({1,2},'[1]DIRETORES NTE'!$H$5:$H$31,'[1]DIRETORES NTE'!$E$5:$E$31,),2,0),"-")</f>
        <v>-</v>
      </c>
    </row>
    <row r="1826" spans="9:15" x14ac:dyDescent="0.25">
      <c r="I1826" s="13"/>
      <c r="M1826" s="14"/>
      <c r="O1826" t="str">
        <f>IFERROR(VLOOKUP($I1826,CHOOSE({1,2},'[1]DIRETORES NTE'!$H$5:$H$31,'[1]DIRETORES NTE'!$E$5:$E$31,),2,0),"-")</f>
        <v>-</v>
      </c>
    </row>
    <row r="1827" spans="9:15" x14ac:dyDescent="0.25">
      <c r="I1827" s="13"/>
      <c r="M1827" s="14"/>
      <c r="O1827" t="str">
        <f>IFERROR(VLOOKUP($I1827,CHOOSE({1,2},'[1]DIRETORES NTE'!$H$5:$H$31,'[1]DIRETORES NTE'!$E$5:$E$31,),2,0),"-")</f>
        <v>-</v>
      </c>
    </row>
    <row r="1828" spans="9:15" x14ac:dyDescent="0.25">
      <c r="I1828" s="13"/>
      <c r="M1828" s="14"/>
      <c r="O1828" t="str">
        <f>IFERROR(VLOOKUP($I1828,CHOOSE({1,2},'[1]DIRETORES NTE'!$H$5:$H$31,'[1]DIRETORES NTE'!$E$5:$E$31,),2,0),"-")</f>
        <v>-</v>
      </c>
    </row>
    <row r="1829" spans="9:15" x14ac:dyDescent="0.25">
      <c r="I1829" s="13"/>
      <c r="M1829" s="14"/>
      <c r="O1829" t="str">
        <f>IFERROR(VLOOKUP($I1829,CHOOSE({1,2},'[1]DIRETORES NTE'!$H$5:$H$31,'[1]DIRETORES NTE'!$E$5:$E$31,),2,0),"-")</f>
        <v>-</v>
      </c>
    </row>
    <row r="1830" spans="9:15" x14ac:dyDescent="0.25">
      <c r="I1830" s="13"/>
      <c r="M1830" s="14"/>
      <c r="O1830" t="str">
        <f>IFERROR(VLOOKUP($I1830,CHOOSE({1,2},'[1]DIRETORES NTE'!$H$5:$H$31,'[1]DIRETORES NTE'!$E$5:$E$31,),2,0),"-")</f>
        <v>-</v>
      </c>
    </row>
    <row r="1831" spans="9:15" x14ac:dyDescent="0.25">
      <c r="I1831" s="13"/>
      <c r="M1831" s="14"/>
      <c r="O1831" t="str">
        <f>IFERROR(VLOOKUP($I1831,CHOOSE({1,2},'[1]DIRETORES NTE'!$H$5:$H$31,'[1]DIRETORES NTE'!$E$5:$E$31,),2,0),"-")</f>
        <v>-</v>
      </c>
    </row>
    <row r="1832" spans="9:15" x14ac:dyDescent="0.25">
      <c r="I1832" s="13"/>
      <c r="M1832" s="14"/>
      <c r="O1832" t="str">
        <f>IFERROR(VLOOKUP($I1832,CHOOSE({1,2},'[1]DIRETORES NTE'!$H$5:$H$31,'[1]DIRETORES NTE'!$E$5:$E$31,),2,0),"-")</f>
        <v>-</v>
      </c>
    </row>
    <row r="1833" spans="9:15" x14ac:dyDescent="0.25">
      <c r="I1833" s="13"/>
      <c r="M1833" s="14"/>
      <c r="O1833" t="str">
        <f>IFERROR(VLOOKUP($I1833,CHOOSE({1,2},'[1]DIRETORES NTE'!$H$5:$H$31,'[1]DIRETORES NTE'!$E$5:$E$31,),2,0),"-")</f>
        <v>-</v>
      </c>
    </row>
    <row r="1834" spans="9:15" x14ac:dyDescent="0.25">
      <c r="I1834" s="13"/>
      <c r="M1834" s="14"/>
      <c r="O1834" t="str">
        <f>IFERROR(VLOOKUP($I1834,CHOOSE({1,2},'[1]DIRETORES NTE'!$H$5:$H$31,'[1]DIRETORES NTE'!$E$5:$E$31,),2,0),"-")</f>
        <v>-</v>
      </c>
    </row>
    <row r="1835" spans="9:15" x14ac:dyDescent="0.25">
      <c r="I1835" s="13"/>
      <c r="M1835" s="14"/>
      <c r="O1835" t="str">
        <f>IFERROR(VLOOKUP($I1835,CHOOSE({1,2},'[1]DIRETORES NTE'!$H$5:$H$31,'[1]DIRETORES NTE'!$E$5:$E$31,),2,0),"-")</f>
        <v>-</v>
      </c>
    </row>
    <row r="1836" spans="9:15" x14ac:dyDescent="0.25">
      <c r="I1836" s="13"/>
      <c r="M1836" s="14"/>
      <c r="O1836" t="str">
        <f>IFERROR(VLOOKUP($I1836,CHOOSE({1,2},'[1]DIRETORES NTE'!$H$5:$H$31,'[1]DIRETORES NTE'!$E$5:$E$31,),2,0),"-")</f>
        <v>-</v>
      </c>
    </row>
    <row r="1837" spans="9:15" x14ac:dyDescent="0.25">
      <c r="I1837" s="13"/>
      <c r="M1837" s="14"/>
      <c r="O1837" t="str">
        <f>IFERROR(VLOOKUP($I1837,CHOOSE({1,2},'[1]DIRETORES NTE'!$H$5:$H$31,'[1]DIRETORES NTE'!$E$5:$E$31,),2,0),"-")</f>
        <v>-</v>
      </c>
    </row>
    <row r="1838" spans="9:15" x14ac:dyDescent="0.25">
      <c r="I1838" s="13"/>
      <c r="M1838" s="14"/>
      <c r="O1838" t="str">
        <f>IFERROR(VLOOKUP($I1838,CHOOSE({1,2},'[1]DIRETORES NTE'!$H$5:$H$31,'[1]DIRETORES NTE'!$E$5:$E$31,),2,0),"-")</f>
        <v>-</v>
      </c>
    </row>
    <row r="1839" spans="9:15" x14ac:dyDescent="0.25">
      <c r="I1839" s="13"/>
      <c r="M1839" s="14"/>
      <c r="O1839" t="str">
        <f>IFERROR(VLOOKUP($I1839,CHOOSE({1,2},'[1]DIRETORES NTE'!$H$5:$H$31,'[1]DIRETORES NTE'!$E$5:$E$31,),2,0),"-")</f>
        <v>-</v>
      </c>
    </row>
    <row r="1840" spans="9:15" x14ac:dyDescent="0.25">
      <c r="I1840" s="13"/>
      <c r="M1840" s="14"/>
      <c r="O1840" t="str">
        <f>IFERROR(VLOOKUP($I1840,CHOOSE({1,2},'[1]DIRETORES NTE'!$H$5:$H$31,'[1]DIRETORES NTE'!$E$5:$E$31,),2,0),"-")</f>
        <v>-</v>
      </c>
    </row>
    <row r="1841" spans="9:15" x14ac:dyDescent="0.25">
      <c r="I1841" s="13"/>
      <c r="M1841" s="14"/>
      <c r="O1841" t="str">
        <f>IFERROR(VLOOKUP($I1841,CHOOSE({1,2},'[1]DIRETORES NTE'!$H$5:$H$31,'[1]DIRETORES NTE'!$E$5:$E$31,),2,0),"-")</f>
        <v>-</v>
      </c>
    </row>
    <row r="1842" spans="9:15" x14ac:dyDescent="0.25">
      <c r="I1842" s="13"/>
      <c r="M1842" s="14"/>
      <c r="O1842" t="str">
        <f>IFERROR(VLOOKUP($I1842,CHOOSE({1,2},'[1]DIRETORES NTE'!$H$5:$H$31,'[1]DIRETORES NTE'!$E$5:$E$31,),2,0),"-")</f>
        <v>-</v>
      </c>
    </row>
    <row r="1843" spans="9:15" x14ac:dyDescent="0.25">
      <c r="I1843" s="13"/>
      <c r="M1843" s="14"/>
      <c r="O1843" t="str">
        <f>IFERROR(VLOOKUP($I1843,CHOOSE({1,2},'[1]DIRETORES NTE'!$H$5:$H$31,'[1]DIRETORES NTE'!$E$5:$E$31,),2,0),"-")</f>
        <v>-</v>
      </c>
    </row>
    <row r="1844" spans="9:15" x14ac:dyDescent="0.25">
      <c r="I1844" s="13"/>
      <c r="M1844" s="14"/>
      <c r="O1844" t="str">
        <f>IFERROR(VLOOKUP($I1844,CHOOSE({1,2},'[1]DIRETORES NTE'!$H$5:$H$31,'[1]DIRETORES NTE'!$E$5:$E$31,),2,0),"-")</f>
        <v>-</v>
      </c>
    </row>
    <row r="1845" spans="9:15" x14ac:dyDescent="0.25">
      <c r="I1845" s="13"/>
      <c r="M1845" s="14"/>
      <c r="O1845" t="str">
        <f>IFERROR(VLOOKUP($I1845,CHOOSE({1,2},'[1]DIRETORES NTE'!$H$5:$H$31,'[1]DIRETORES NTE'!$E$5:$E$31,),2,0),"-")</f>
        <v>-</v>
      </c>
    </row>
    <row r="1846" spans="9:15" x14ac:dyDescent="0.25">
      <c r="I1846" s="13"/>
      <c r="M1846" s="14"/>
      <c r="O1846" t="str">
        <f>IFERROR(VLOOKUP($I1846,CHOOSE({1,2},'[1]DIRETORES NTE'!$H$5:$H$31,'[1]DIRETORES NTE'!$E$5:$E$31,),2,0),"-")</f>
        <v>-</v>
      </c>
    </row>
    <row r="1847" spans="9:15" x14ac:dyDescent="0.25">
      <c r="I1847" s="13"/>
      <c r="M1847" s="14"/>
      <c r="O1847" t="str">
        <f>IFERROR(VLOOKUP($I1847,CHOOSE({1,2},'[1]DIRETORES NTE'!$H$5:$H$31,'[1]DIRETORES NTE'!$E$5:$E$31,),2,0),"-")</f>
        <v>-</v>
      </c>
    </row>
    <row r="1848" spans="9:15" x14ac:dyDescent="0.25">
      <c r="I1848" s="13"/>
      <c r="M1848" s="14"/>
      <c r="O1848" t="str">
        <f>IFERROR(VLOOKUP($I1848,CHOOSE({1,2},'[1]DIRETORES NTE'!$H$5:$H$31,'[1]DIRETORES NTE'!$E$5:$E$31,),2,0),"-")</f>
        <v>-</v>
      </c>
    </row>
    <row r="1849" spans="9:15" x14ac:dyDescent="0.25">
      <c r="I1849" s="13"/>
      <c r="M1849" s="14"/>
      <c r="O1849" t="str">
        <f>IFERROR(VLOOKUP($I1849,CHOOSE({1,2},'[1]DIRETORES NTE'!$H$5:$H$31,'[1]DIRETORES NTE'!$E$5:$E$31,),2,0),"-")</f>
        <v>-</v>
      </c>
    </row>
    <row r="1850" spans="9:15" x14ac:dyDescent="0.25">
      <c r="I1850" s="13"/>
      <c r="M1850" s="14"/>
      <c r="O1850" t="str">
        <f>IFERROR(VLOOKUP($I1850,CHOOSE({1,2},'[1]DIRETORES NTE'!$H$5:$H$31,'[1]DIRETORES NTE'!$E$5:$E$31,),2,0),"-")</f>
        <v>-</v>
      </c>
    </row>
    <row r="1851" spans="9:15" x14ac:dyDescent="0.25">
      <c r="I1851" s="13"/>
      <c r="M1851" s="14"/>
      <c r="O1851" t="str">
        <f>IFERROR(VLOOKUP($I1851,CHOOSE({1,2},'[1]DIRETORES NTE'!$H$5:$H$31,'[1]DIRETORES NTE'!$E$5:$E$31,),2,0),"-")</f>
        <v>-</v>
      </c>
    </row>
    <row r="1852" spans="9:15" x14ac:dyDescent="0.25">
      <c r="I1852" s="13"/>
      <c r="M1852" s="14"/>
      <c r="O1852" t="str">
        <f>IFERROR(VLOOKUP($I1852,CHOOSE({1,2},'[1]DIRETORES NTE'!$H$5:$H$31,'[1]DIRETORES NTE'!$E$5:$E$31,),2,0),"-")</f>
        <v>-</v>
      </c>
    </row>
    <row r="1853" spans="9:15" x14ac:dyDescent="0.25">
      <c r="I1853" s="13"/>
      <c r="M1853" s="14"/>
      <c r="O1853" t="str">
        <f>IFERROR(VLOOKUP($I1853,CHOOSE({1,2},'[1]DIRETORES NTE'!$H$5:$H$31,'[1]DIRETORES NTE'!$E$5:$E$31,),2,0),"-")</f>
        <v>-</v>
      </c>
    </row>
    <row r="1854" spans="9:15" x14ac:dyDescent="0.25">
      <c r="I1854" s="13"/>
      <c r="M1854" s="14"/>
      <c r="O1854" t="str">
        <f>IFERROR(VLOOKUP($I1854,CHOOSE({1,2},'[1]DIRETORES NTE'!$H$5:$H$31,'[1]DIRETORES NTE'!$E$5:$E$31,),2,0),"-")</f>
        <v>-</v>
      </c>
    </row>
    <row r="1855" spans="9:15" x14ac:dyDescent="0.25">
      <c r="I1855" s="13"/>
      <c r="M1855" s="14"/>
      <c r="O1855" t="str">
        <f>IFERROR(VLOOKUP($I1855,CHOOSE({1,2},'[1]DIRETORES NTE'!$H$5:$H$31,'[1]DIRETORES NTE'!$E$5:$E$31,),2,0),"-")</f>
        <v>-</v>
      </c>
    </row>
    <row r="1856" spans="9:15" x14ac:dyDescent="0.25">
      <c r="I1856" s="13"/>
      <c r="M1856" s="14"/>
      <c r="O1856" t="str">
        <f>IFERROR(VLOOKUP($I1856,CHOOSE({1,2},'[1]DIRETORES NTE'!$H$5:$H$31,'[1]DIRETORES NTE'!$E$5:$E$31,),2,0),"-")</f>
        <v>-</v>
      </c>
    </row>
    <row r="1857" spans="9:15" x14ac:dyDescent="0.25">
      <c r="I1857" s="13"/>
      <c r="M1857" s="14"/>
      <c r="O1857" t="str">
        <f>IFERROR(VLOOKUP($I1857,CHOOSE({1,2},'[1]DIRETORES NTE'!$H$5:$H$31,'[1]DIRETORES NTE'!$E$5:$E$31,),2,0),"-")</f>
        <v>-</v>
      </c>
    </row>
    <row r="1858" spans="9:15" x14ac:dyDescent="0.25">
      <c r="I1858" s="13"/>
      <c r="M1858" s="14"/>
      <c r="O1858" t="str">
        <f>IFERROR(VLOOKUP($I1858,CHOOSE({1,2},'[1]DIRETORES NTE'!$H$5:$H$31,'[1]DIRETORES NTE'!$E$5:$E$31,),2,0),"-")</f>
        <v>-</v>
      </c>
    </row>
    <row r="1859" spans="9:15" x14ac:dyDescent="0.25">
      <c r="I1859" s="13"/>
      <c r="M1859" s="14"/>
      <c r="O1859" t="str">
        <f>IFERROR(VLOOKUP($I1859,CHOOSE({1,2},'[1]DIRETORES NTE'!$H$5:$H$31,'[1]DIRETORES NTE'!$E$5:$E$31,),2,0),"-")</f>
        <v>-</v>
      </c>
    </row>
    <row r="1860" spans="9:15" x14ac:dyDescent="0.25">
      <c r="I1860" s="13"/>
      <c r="M1860" s="14"/>
      <c r="O1860" t="str">
        <f>IFERROR(VLOOKUP($I1860,CHOOSE({1,2},'[1]DIRETORES NTE'!$H$5:$H$31,'[1]DIRETORES NTE'!$E$5:$E$31,),2,0),"-")</f>
        <v>-</v>
      </c>
    </row>
    <row r="1861" spans="9:15" x14ac:dyDescent="0.25">
      <c r="I1861" s="13"/>
      <c r="M1861" s="14"/>
      <c r="O1861" t="str">
        <f>IFERROR(VLOOKUP($I1861,CHOOSE({1,2},'[1]DIRETORES NTE'!$H$5:$H$31,'[1]DIRETORES NTE'!$E$5:$E$31,),2,0),"-")</f>
        <v>-</v>
      </c>
    </row>
    <row r="1862" spans="9:15" x14ac:dyDescent="0.25">
      <c r="I1862" s="13"/>
      <c r="M1862" s="14"/>
      <c r="O1862" t="str">
        <f>IFERROR(VLOOKUP($I1862,CHOOSE({1,2},'[1]DIRETORES NTE'!$H$5:$H$31,'[1]DIRETORES NTE'!$E$5:$E$31,),2,0),"-")</f>
        <v>-</v>
      </c>
    </row>
    <row r="1863" spans="9:15" x14ac:dyDescent="0.25">
      <c r="I1863" s="13"/>
      <c r="M1863" s="14"/>
      <c r="O1863" t="str">
        <f>IFERROR(VLOOKUP($I1863,CHOOSE({1,2},'[1]DIRETORES NTE'!$H$5:$H$31,'[1]DIRETORES NTE'!$E$5:$E$31,),2,0),"-")</f>
        <v>-</v>
      </c>
    </row>
    <row r="1864" spans="9:15" x14ac:dyDescent="0.25">
      <c r="I1864" s="13"/>
      <c r="M1864" s="14"/>
      <c r="O1864" t="str">
        <f>IFERROR(VLOOKUP($I1864,CHOOSE({1,2},'[1]DIRETORES NTE'!$H$5:$H$31,'[1]DIRETORES NTE'!$E$5:$E$31,),2,0),"-")</f>
        <v>-</v>
      </c>
    </row>
    <row r="1865" spans="9:15" x14ac:dyDescent="0.25">
      <c r="I1865" s="13"/>
      <c r="M1865" s="14"/>
      <c r="O1865" t="str">
        <f>IFERROR(VLOOKUP($I1865,CHOOSE({1,2},'[1]DIRETORES NTE'!$H$5:$H$31,'[1]DIRETORES NTE'!$E$5:$E$31,),2,0),"-")</f>
        <v>-</v>
      </c>
    </row>
    <row r="1866" spans="9:15" x14ac:dyDescent="0.25">
      <c r="I1866" s="13"/>
      <c r="M1866" s="14"/>
      <c r="O1866" t="str">
        <f>IFERROR(VLOOKUP($I1866,CHOOSE({1,2},'[1]DIRETORES NTE'!$H$5:$H$31,'[1]DIRETORES NTE'!$E$5:$E$31,),2,0),"-")</f>
        <v>-</v>
      </c>
    </row>
    <row r="1867" spans="9:15" x14ac:dyDescent="0.25">
      <c r="I1867" s="13"/>
      <c r="M1867" s="14"/>
      <c r="O1867" t="str">
        <f>IFERROR(VLOOKUP($I1867,CHOOSE({1,2},'[1]DIRETORES NTE'!$H$5:$H$31,'[1]DIRETORES NTE'!$E$5:$E$31,),2,0),"-")</f>
        <v>-</v>
      </c>
    </row>
    <row r="1868" spans="9:15" x14ac:dyDescent="0.25">
      <c r="I1868" s="13"/>
      <c r="M1868" s="14"/>
      <c r="O1868" t="str">
        <f>IFERROR(VLOOKUP($I1868,CHOOSE({1,2},'[1]DIRETORES NTE'!$H$5:$H$31,'[1]DIRETORES NTE'!$E$5:$E$31,),2,0),"-")</f>
        <v>-</v>
      </c>
    </row>
    <row r="1869" spans="9:15" x14ac:dyDescent="0.25">
      <c r="I1869" s="13"/>
      <c r="M1869" s="14"/>
      <c r="O1869" t="str">
        <f>IFERROR(VLOOKUP($I1869,CHOOSE({1,2},'[1]DIRETORES NTE'!$H$5:$H$31,'[1]DIRETORES NTE'!$E$5:$E$31,),2,0),"-")</f>
        <v>-</v>
      </c>
    </row>
    <row r="1870" spans="9:15" x14ac:dyDescent="0.25">
      <c r="I1870" s="13"/>
      <c r="M1870" s="14"/>
      <c r="O1870" t="str">
        <f>IFERROR(VLOOKUP($I1870,CHOOSE({1,2},'[1]DIRETORES NTE'!$H$5:$H$31,'[1]DIRETORES NTE'!$E$5:$E$31,),2,0),"-")</f>
        <v>-</v>
      </c>
    </row>
    <row r="1871" spans="9:15" x14ac:dyDescent="0.25">
      <c r="I1871" s="13"/>
      <c r="M1871" s="14"/>
      <c r="O1871" t="str">
        <f>IFERROR(VLOOKUP($I1871,CHOOSE({1,2},'[1]DIRETORES NTE'!$H$5:$H$31,'[1]DIRETORES NTE'!$E$5:$E$31,),2,0),"-")</f>
        <v>-</v>
      </c>
    </row>
    <row r="1872" spans="9:15" x14ac:dyDescent="0.25">
      <c r="I1872" s="13"/>
      <c r="M1872" s="14"/>
      <c r="O1872" t="str">
        <f>IFERROR(VLOOKUP($I1872,CHOOSE({1,2},'[1]DIRETORES NTE'!$H$5:$H$31,'[1]DIRETORES NTE'!$E$5:$E$31,),2,0),"-")</f>
        <v>-</v>
      </c>
    </row>
    <row r="1873" spans="9:15" x14ac:dyDescent="0.25">
      <c r="I1873" s="13"/>
      <c r="M1873" s="14"/>
      <c r="O1873" t="str">
        <f>IFERROR(VLOOKUP($I1873,CHOOSE({1,2},'[1]DIRETORES NTE'!$H$5:$H$31,'[1]DIRETORES NTE'!$E$5:$E$31,),2,0),"-")</f>
        <v>-</v>
      </c>
    </row>
    <row r="1874" spans="9:15" x14ac:dyDescent="0.25">
      <c r="I1874" s="13"/>
      <c r="M1874" s="14"/>
      <c r="O1874" t="str">
        <f>IFERROR(VLOOKUP($I1874,CHOOSE({1,2},'[1]DIRETORES NTE'!$H$5:$H$31,'[1]DIRETORES NTE'!$E$5:$E$31,),2,0),"-")</f>
        <v>-</v>
      </c>
    </row>
    <row r="1875" spans="9:15" x14ac:dyDescent="0.25">
      <c r="I1875" s="13"/>
      <c r="M1875" s="14"/>
      <c r="O1875" t="str">
        <f>IFERROR(VLOOKUP($I1875,CHOOSE({1,2},'[1]DIRETORES NTE'!$H$5:$H$31,'[1]DIRETORES NTE'!$E$5:$E$31,),2,0),"-")</f>
        <v>-</v>
      </c>
    </row>
    <row r="1876" spans="9:15" x14ac:dyDescent="0.25">
      <c r="I1876" s="13"/>
      <c r="M1876" s="14"/>
      <c r="O1876" t="str">
        <f>IFERROR(VLOOKUP($I1876,CHOOSE({1,2},'[1]DIRETORES NTE'!$H$5:$H$31,'[1]DIRETORES NTE'!$E$5:$E$31,),2,0),"-")</f>
        <v>-</v>
      </c>
    </row>
    <row r="1877" spans="9:15" x14ac:dyDescent="0.25">
      <c r="I1877" s="13"/>
      <c r="M1877" s="14"/>
      <c r="O1877" t="str">
        <f>IFERROR(VLOOKUP($I1877,CHOOSE({1,2},'[1]DIRETORES NTE'!$H$5:$H$31,'[1]DIRETORES NTE'!$E$5:$E$31,),2,0),"-")</f>
        <v>-</v>
      </c>
    </row>
    <row r="1878" spans="9:15" x14ac:dyDescent="0.25">
      <c r="I1878" s="13"/>
      <c r="M1878" s="14"/>
      <c r="O1878" t="str">
        <f>IFERROR(VLOOKUP($I1878,CHOOSE({1,2},'[1]DIRETORES NTE'!$H$5:$H$31,'[1]DIRETORES NTE'!$E$5:$E$31,),2,0),"-")</f>
        <v>-</v>
      </c>
    </row>
    <row r="1879" spans="9:15" x14ac:dyDescent="0.25">
      <c r="I1879" s="13"/>
      <c r="M1879" s="14"/>
      <c r="O1879" t="str">
        <f>IFERROR(VLOOKUP($I1879,CHOOSE({1,2},'[1]DIRETORES NTE'!$H$5:$H$31,'[1]DIRETORES NTE'!$E$5:$E$31,),2,0),"-")</f>
        <v>-</v>
      </c>
    </row>
    <row r="1880" spans="9:15" x14ac:dyDescent="0.25">
      <c r="I1880" s="13"/>
      <c r="M1880" s="14"/>
      <c r="O1880" t="str">
        <f>IFERROR(VLOOKUP($I1880,CHOOSE({1,2},'[1]DIRETORES NTE'!$H$5:$H$31,'[1]DIRETORES NTE'!$E$5:$E$31,),2,0),"-")</f>
        <v>-</v>
      </c>
    </row>
    <row r="1881" spans="9:15" x14ac:dyDescent="0.25">
      <c r="I1881" s="13"/>
      <c r="M1881" s="14"/>
      <c r="O1881" t="str">
        <f>IFERROR(VLOOKUP($I1881,CHOOSE({1,2},'[1]DIRETORES NTE'!$H$5:$H$31,'[1]DIRETORES NTE'!$E$5:$E$31,),2,0),"-")</f>
        <v>-</v>
      </c>
    </row>
    <row r="1882" spans="9:15" x14ac:dyDescent="0.25">
      <c r="I1882" s="13"/>
      <c r="M1882" s="14"/>
      <c r="O1882" t="str">
        <f>IFERROR(VLOOKUP($I1882,CHOOSE({1,2},'[1]DIRETORES NTE'!$H$5:$H$31,'[1]DIRETORES NTE'!$E$5:$E$31,),2,0),"-")</f>
        <v>-</v>
      </c>
    </row>
    <row r="1883" spans="9:15" x14ac:dyDescent="0.25">
      <c r="I1883" s="13"/>
      <c r="M1883" s="14"/>
      <c r="O1883" t="str">
        <f>IFERROR(VLOOKUP($I1883,CHOOSE({1,2},'[1]DIRETORES NTE'!$H$5:$H$31,'[1]DIRETORES NTE'!$E$5:$E$31,),2,0),"-")</f>
        <v>-</v>
      </c>
    </row>
    <row r="1884" spans="9:15" x14ac:dyDescent="0.25">
      <c r="I1884" s="13"/>
      <c r="M1884" s="14"/>
      <c r="O1884" t="str">
        <f>IFERROR(VLOOKUP($I1884,CHOOSE({1,2},'[1]DIRETORES NTE'!$H$5:$H$31,'[1]DIRETORES NTE'!$E$5:$E$31,),2,0),"-")</f>
        <v>-</v>
      </c>
    </row>
    <row r="1885" spans="9:15" x14ac:dyDescent="0.25">
      <c r="I1885" s="13"/>
      <c r="M1885" s="14"/>
      <c r="O1885" t="str">
        <f>IFERROR(VLOOKUP($I1885,CHOOSE({1,2},'[1]DIRETORES NTE'!$H$5:$H$31,'[1]DIRETORES NTE'!$E$5:$E$31,),2,0),"-")</f>
        <v>-</v>
      </c>
    </row>
    <row r="1886" spans="9:15" x14ac:dyDescent="0.25">
      <c r="I1886" s="13"/>
      <c r="M1886" s="14"/>
      <c r="O1886" t="str">
        <f>IFERROR(VLOOKUP($I1886,CHOOSE({1,2},'[1]DIRETORES NTE'!$H$5:$H$31,'[1]DIRETORES NTE'!$E$5:$E$31,),2,0),"-")</f>
        <v>-</v>
      </c>
    </row>
    <row r="1887" spans="9:15" x14ac:dyDescent="0.25">
      <c r="I1887" s="13"/>
      <c r="M1887" s="14"/>
      <c r="O1887" t="str">
        <f>IFERROR(VLOOKUP($I1887,CHOOSE({1,2},'[1]DIRETORES NTE'!$H$5:$H$31,'[1]DIRETORES NTE'!$E$5:$E$31,),2,0),"-")</f>
        <v>-</v>
      </c>
    </row>
    <row r="1888" spans="9:15" x14ac:dyDescent="0.25">
      <c r="I1888" s="13"/>
      <c r="M1888" s="14"/>
      <c r="O1888" t="str">
        <f>IFERROR(VLOOKUP($I1888,CHOOSE({1,2},'[1]DIRETORES NTE'!$H$5:$H$31,'[1]DIRETORES NTE'!$E$5:$E$31,),2,0),"-")</f>
        <v>-</v>
      </c>
    </row>
    <row r="1889" spans="9:15" x14ac:dyDescent="0.25">
      <c r="I1889" s="13"/>
      <c r="M1889" s="14"/>
      <c r="O1889" t="str">
        <f>IFERROR(VLOOKUP($I1889,CHOOSE({1,2},'[1]DIRETORES NTE'!$H$5:$H$31,'[1]DIRETORES NTE'!$E$5:$E$31,),2,0),"-")</f>
        <v>-</v>
      </c>
    </row>
    <row r="1890" spans="9:15" x14ac:dyDescent="0.25">
      <c r="I1890" s="13"/>
      <c r="M1890" s="14"/>
      <c r="O1890" t="str">
        <f>IFERROR(VLOOKUP($I1890,CHOOSE({1,2},'[1]DIRETORES NTE'!$H$5:$H$31,'[1]DIRETORES NTE'!$E$5:$E$31,),2,0),"-")</f>
        <v>-</v>
      </c>
    </row>
    <row r="1891" spans="9:15" x14ac:dyDescent="0.25">
      <c r="I1891" s="13"/>
      <c r="M1891" s="14"/>
      <c r="O1891" t="str">
        <f>IFERROR(VLOOKUP($I1891,CHOOSE({1,2},'[1]DIRETORES NTE'!$H$5:$H$31,'[1]DIRETORES NTE'!$E$5:$E$31,),2,0),"-")</f>
        <v>-</v>
      </c>
    </row>
    <row r="1892" spans="9:15" x14ac:dyDescent="0.25">
      <c r="I1892" s="13"/>
      <c r="M1892" s="14"/>
      <c r="O1892" t="str">
        <f>IFERROR(VLOOKUP($I1892,CHOOSE({1,2},'[1]DIRETORES NTE'!$H$5:$H$31,'[1]DIRETORES NTE'!$E$5:$E$31,),2,0),"-")</f>
        <v>-</v>
      </c>
    </row>
    <row r="1893" spans="9:15" x14ac:dyDescent="0.25">
      <c r="I1893" s="13"/>
      <c r="M1893" s="14"/>
      <c r="O1893" t="str">
        <f>IFERROR(VLOOKUP($I1893,CHOOSE({1,2},'[1]DIRETORES NTE'!$H$5:$H$31,'[1]DIRETORES NTE'!$E$5:$E$31,),2,0),"-")</f>
        <v>-</v>
      </c>
    </row>
    <row r="1894" spans="9:15" x14ac:dyDescent="0.25">
      <c r="I1894" s="13"/>
      <c r="M1894" s="14"/>
      <c r="O1894" t="str">
        <f>IFERROR(VLOOKUP($I1894,CHOOSE({1,2},'[1]DIRETORES NTE'!$H$5:$H$31,'[1]DIRETORES NTE'!$E$5:$E$31,),2,0),"-")</f>
        <v>-</v>
      </c>
    </row>
    <row r="1895" spans="9:15" x14ac:dyDescent="0.25">
      <c r="I1895" s="13"/>
      <c r="M1895" s="14"/>
      <c r="O1895" t="str">
        <f>IFERROR(VLOOKUP($I1895,CHOOSE({1,2},'[1]DIRETORES NTE'!$H$5:$H$31,'[1]DIRETORES NTE'!$E$5:$E$31,),2,0),"-")</f>
        <v>-</v>
      </c>
    </row>
    <row r="1896" spans="9:15" x14ac:dyDescent="0.25">
      <c r="I1896" s="13"/>
      <c r="M1896" s="14"/>
      <c r="O1896" t="str">
        <f>IFERROR(VLOOKUP($I1896,CHOOSE({1,2},'[1]DIRETORES NTE'!$H$5:$H$31,'[1]DIRETORES NTE'!$E$5:$E$31,),2,0),"-")</f>
        <v>-</v>
      </c>
    </row>
    <row r="1897" spans="9:15" x14ac:dyDescent="0.25">
      <c r="I1897" s="13"/>
      <c r="M1897" s="14"/>
      <c r="O1897" t="str">
        <f>IFERROR(VLOOKUP($I1897,CHOOSE({1,2},'[1]DIRETORES NTE'!$H$5:$H$31,'[1]DIRETORES NTE'!$E$5:$E$31,),2,0),"-")</f>
        <v>-</v>
      </c>
    </row>
    <row r="1898" spans="9:15" x14ac:dyDescent="0.25">
      <c r="I1898" s="13"/>
      <c r="M1898" s="14"/>
      <c r="O1898" t="str">
        <f>IFERROR(VLOOKUP($I1898,CHOOSE({1,2},'[1]DIRETORES NTE'!$H$5:$H$31,'[1]DIRETORES NTE'!$E$5:$E$31,),2,0),"-")</f>
        <v>-</v>
      </c>
    </row>
    <row r="1899" spans="9:15" x14ac:dyDescent="0.25">
      <c r="I1899" s="13"/>
      <c r="M1899" s="14"/>
      <c r="O1899" t="str">
        <f>IFERROR(VLOOKUP($I1899,CHOOSE({1,2},'[1]DIRETORES NTE'!$H$5:$H$31,'[1]DIRETORES NTE'!$E$5:$E$31,),2,0),"-")</f>
        <v>-</v>
      </c>
    </row>
    <row r="1900" spans="9:15" x14ac:dyDescent="0.25">
      <c r="I1900" s="13"/>
      <c r="M1900" s="14"/>
      <c r="O1900" t="str">
        <f>IFERROR(VLOOKUP($I1900,CHOOSE({1,2},'[1]DIRETORES NTE'!$H$5:$H$31,'[1]DIRETORES NTE'!$E$5:$E$31,),2,0),"-")</f>
        <v>-</v>
      </c>
    </row>
    <row r="1901" spans="9:15" x14ac:dyDescent="0.25">
      <c r="I1901" s="13"/>
      <c r="M1901" s="14"/>
      <c r="O1901" t="str">
        <f>IFERROR(VLOOKUP($I1901,CHOOSE({1,2},'[1]DIRETORES NTE'!$H$5:$H$31,'[1]DIRETORES NTE'!$E$5:$E$31,),2,0),"-")</f>
        <v>-</v>
      </c>
    </row>
    <row r="1902" spans="9:15" x14ac:dyDescent="0.25">
      <c r="I1902" s="13"/>
      <c r="M1902" s="14"/>
      <c r="O1902" t="str">
        <f>IFERROR(VLOOKUP($I1902,CHOOSE({1,2},'[1]DIRETORES NTE'!$H$5:$H$31,'[1]DIRETORES NTE'!$E$5:$E$31,),2,0),"-")</f>
        <v>-</v>
      </c>
    </row>
    <row r="1903" spans="9:15" x14ac:dyDescent="0.25">
      <c r="I1903" s="13"/>
      <c r="M1903" s="14"/>
      <c r="O1903" t="str">
        <f>IFERROR(VLOOKUP($I1903,CHOOSE({1,2},'[1]DIRETORES NTE'!$H$5:$H$31,'[1]DIRETORES NTE'!$E$5:$E$31,),2,0),"-")</f>
        <v>-</v>
      </c>
    </row>
    <row r="1904" spans="9:15" x14ac:dyDescent="0.25">
      <c r="I1904" s="13"/>
      <c r="M1904" s="14"/>
      <c r="O1904" t="str">
        <f>IFERROR(VLOOKUP($I1904,CHOOSE({1,2},'[1]DIRETORES NTE'!$H$5:$H$31,'[1]DIRETORES NTE'!$E$5:$E$31,),2,0),"-")</f>
        <v>-</v>
      </c>
    </row>
    <row r="1905" spans="9:15" x14ac:dyDescent="0.25">
      <c r="I1905" s="13"/>
      <c r="M1905" s="14"/>
      <c r="O1905" t="str">
        <f>IFERROR(VLOOKUP($I1905,CHOOSE({1,2},'[1]DIRETORES NTE'!$H$5:$H$31,'[1]DIRETORES NTE'!$E$5:$E$31,),2,0),"-")</f>
        <v>-</v>
      </c>
    </row>
    <row r="1906" spans="9:15" x14ac:dyDescent="0.25">
      <c r="I1906" s="13"/>
      <c r="M1906" s="14"/>
      <c r="O1906" t="str">
        <f>IFERROR(VLOOKUP($I1906,CHOOSE({1,2},'[1]DIRETORES NTE'!$H$5:$H$31,'[1]DIRETORES NTE'!$E$5:$E$31,),2,0),"-")</f>
        <v>-</v>
      </c>
    </row>
    <row r="1907" spans="9:15" x14ac:dyDescent="0.25">
      <c r="I1907" s="13"/>
      <c r="M1907" s="14"/>
      <c r="O1907" t="str">
        <f>IFERROR(VLOOKUP($I1907,CHOOSE({1,2},'[1]DIRETORES NTE'!$H$5:$H$31,'[1]DIRETORES NTE'!$E$5:$E$31,),2,0),"-")</f>
        <v>-</v>
      </c>
    </row>
    <row r="1908" spans="9:15" x14ac:dyDescent="0.25">
      <c r="I1908" s="13"/>
      <c r="M1908" s="14"/>
      <c r="O1908" t="str">
        <f>IFERROR(VLOOKUP($I1908,CHOOSE({1,2},'[1]DIRETORES NTE'!$H$5:$H$31,'[1]DIRETORES NTE'!$E$5:$E$31,),2,0),"-")</f>
        <v>-</v>
      </c>
    </row>
    <row r="1909" spans="9:15" x14ac:dyDescent="0.25">
      <c r="I1909" s="13"/>
      <c r="M1909" s="14"/>
      <c r="O1909" t="str">
        <f>IFERROR(VLOOKUP($I1909,CHOOSE({1,2},'[1]DIRETORES NTE'!$H$5:$H$31,'[1]DIRETORES NTE'!$E$5:$E$31,),2,0),"-")</f>
        <v>-</v>
      </c>
    </row>
    <row r="1910" spans="9:15" x14ac:dyDescent="0.25">
      <c r="I1910" s="13"/>
      <c r="M1910" s="14"/>
      <c r="O1910" t="str">
        <f>IFERROR(VLOOKUP($I1910,CHOOSE({1,2},'[1]DIRETORES NTE'!$H$5:$H$31,'[1]DIRETORES NTE'!$E$5:$E$31,),2,0),"-")</f>
        <v>-</v>
      </c>
    </row>
    <row r="1911" spans="9:15" x14ac:dyDescent="0.25">
      <c r="I1911" s="13"/>
      <c r="M1911" s="14"/>
      <c r="O1911" t="str">
        <f>IFERROR(VLOOKUP($I1911,CHOOSE({1,2},'[1]DIRETORES NTE'!$H$5:$H$31,'[1]DIRETORES NTE'!$E$5:$E$31,),2,0),"-")</f>
        <v>-</v>
      </c>
    </row>
    <row r="1912" spans="9:15" x14ac:dyDescent="0.25">
      <c r="I1912" s="13"/>
      <c r="M1912" s="14"/>
      <c r="O1912" t="str">
        <f>IFERROR(VLOOKUP($I1912,CHOOSE({1,2},'[1]DIRETORES NTE'!$H$5:$H$31,'[1]DIRETORES NTE'!$E$5:$E$31,),2,0),"-")</f>
        <v>-</v>
      </c>
    </row>
    <row r="1913" spans="9:15" x14ac:dyDescent="0.25">
      <c r="I1913" s="13"/>
      <c r="M1913" s="14"/>
      <c r="O1913" t="str">
        <f>IFERROR(VLOOKUP($I1913,CHOOSE({1,2},'[1]DIRETORES NTE'!$H$5:$H$31,'[1]DIRETORES NTE'!$E$5:$E$31,),2,0),"-")</f>
        <v>-</v>
      </c>
    </row>
    <row r="1914" spans="9:15" x14ac:dyDescent="0.25">
      <c r="I1914" s="13"/>
      <c r="M1914" s="14"/>
      <c r="O1914" t="str">
        <f>IFERROR(VLOOKUP($I1914,CHOOSE({1,2},'[1]DIRETORES NTE'!$H$5:$H$31,'[1]DIRETORES NTE'!$E$5:$E$31,),2,0),"-")</f>
        <v>-</v>
      </c>
    </row>
    <row r="1915" spans="9:15" x14ac:dyDescent="0.25">
      <c r="I1915" s="13"/>
      <c r="M1915" s="14"/>
      <c r="O1915" t="str">
        <f>IFERROR(VLOOKUP($I1915,CHOOSE({1,2},'[1]DIRETORES NTE'!$H$5:$H$31,'[1]DIRETORES NTE'!$E$5:$E$31,),2,0),"-")</f>
        <v>-</v>
      </c>
    </row>
    <row r="1916" spans="9:15" x14ac:dyDescent="0.25">
      <c r="I1916" s="13"/>
      <c r="M1916" s="14"/>
      <c r="O1916" t="str">
        <f>IFERROR(VLOOKUP($I1916,CHOOSE({1,2},'[1]DIRETORES NTE'!$H$5:$H$31,'[1]DIRETORES NTE'!$E$5:$E$31,),2,0),"-")</f>
        <v>-</v>
      </c>
    </row>
    <row r="1917" spans="9:15" x14ac:dyDescent="0.25">
      <c r="I1917" s="13"/>
      <c r="M1917" s="14"/>
      <c r="O1917" t="str">
        <f>IFERROR(VLOOKUP($I1917,CHOOSE({1,2},'[1]DIRETORES NTE'!$H$5:$H$31,'[1]DIRETORES NTE'!$E$5:$E$31,),2,0),"-")</f>
        <v>-</v>
      </c>
    </row>
    <row r="1918" spans="9:15" x14ac:dyDescent="0.25">
      <c r="I1918" s="13"/>
      <c r="M1918" s="14"/>
      <c r="O1918" t="str">
        <f>IFERROR(VLOOKUP($I1918,CHOOSE({1,2},'[1]DIRETORES NTE'!$H$5:$H$31,'[1]DIRETORES NTE'!$E$5:$E$31,),2,0),"-")</f>
        <v>-</v>
      </c>
    </row>
    <row r="1919" spans="9:15" x14ac:dyDescent="0.25">
      <c r="I1919" s="13"/>
      <c r="M1919" s="14"/>
      <c r="O1919" t="str">
        <f>IFERROR(VLOOKUP($I1919,CHOOSE({1,2},'[1]DIRETORES NTE'!$H$5:$H$31,'[1]DIRETORES NTE'!$E$5:$E$31,),2,0),"-")</f>
        <v>-</v>
      </c>
    </row>
    <row r="1920" spans="9:15" x14ac:dyDescent="0.25">
      <c r="I1920" s="13"/>
      <c r="M1920" s="14"/>
      <c r="O1920" t="str">
        <f>IFERROR(VLOOKUP($I1920,CHOOSE({1,2},'[1]DIRETORES NTE'!$H$5:$H$31,'[1]DIRETORES NTE'!$E$5:$E$31,),2,0),"-")</f>
        <v>-</v>
      </c>
    </row>
    <row r="1921" spans="9:15" x14ac:dyDescent="0.25">
      <c r="I1921" s="13"/>
      <c r="M1921" s="14"/>
      <c r="O1921" t="str">
        <f>IFERROR(VLOOKUP($I1921,CHOOSE({1,2},'[1]DIRETORES NTE'!$H$5:$H$31,'[1]DIRETORES NTE'!$E$5:$E$31,),2,0),"-")</f>
        <v>-</v>
      </c>
    </row>
    <row r="1922" spans="9:15" x14ac:dyDescent="0.25">
      <c r="I1922" s="13"/>
      <c r="M1922" s="14"/>
      <c r="O1922" t="str">
        <f>IFERROR(VLOOKUP($I1922,CHOOSE({1,2},'[1]DIRETORES NTE'!$H$5:$H$31,'[1]DIRETORES NTE'!$E$5:$E$31,),2,0),"-")</f>
        <v>-</v>
      </c>
    </row>
    <row r="1923" spans="9:15" x14ac:dyDescent="0.25">
      <c r="I1923" s="13"/>
      <c r="M1923" s="14"/>
      <c r="O1923" t="str">
        <f>IFERROR(VLOOKUP($I1923,CHOOSE({1,2},'[1]DIRETORES NTE'!$H$5:$H$31,'[1]DIRETORES NTE'!$E$5:$E$31,),2,0),"-")</f>
        <v>-</v>
      </c>
    </row>
    <row r="1924" spans="9:15" x14ac:dyDescent="0.25">
      <c r="I1924" s="13"/>
      <c r="M1924" s="14"/>
      <c r="O1924" t="str">
        <f>IFERROR(VLOOKUP($I1924,CHOOSE({1,2},'[1]DIRETORES NTE'!$H$5:$H$31,'[1]DIRETORES NTE'!$E$5:$E$31,),2,0),"-")</f>
        <v>-</v>
      </c>
    </row>
    <row r="1925" spans="9:15" x14ac:dyDescent="0.25">
      <c r="I1925" s="13"/>
      <c r="M1925" s="14"/>
      <c r="O1925" t="str">
        <f>IFERROR(VLOOKUP($I1925,CHOOSE({1,2},'[1]DIRETORES NTE'!$H$5:$H$31,'[1]DIRETORES NTE'!$E$5:$E$31,),2,0),"-")</f>
        <v>-</v>
      </c>
    </row>
    <row r="1926" spans="9:15" x14ac:dyDescent="0.25">
      <c r="I1926" s="13"/>
      <c r="M1926" s="14"/>
      <c r="O1926" t="str">
        <f>IFERROR(VLOOKUP($I1926,CHOOSE({1,2},'[1]DIRETORES NTE'!$H$5:$H$31,'[1]DIRETORES NTE'!$E$5:$E$31,),2,0),"-")</f>
        <v>-</v>
      </c>
    </row>
    <row r="1927" spans="9:15" x14ac:dyDescent="0.25">
      <c r="I1927" s="13"/>
      <c r="M1927" s="14"/>
      <c r="O1927" t="str">
        <f>IFERROR(VLOOKUP($I1927,CHOOSE({1,2},'[1]DIRETORES NTE'!$H$5:$H$31,'[1]DIRETORES NTE'!$E$5:$E$31,),2,0),"-")</f>
        <v>-</v>
      </c>
    </row>
    <row r="1928" spans="9:15" x14ac:dyDescent="0.25">
      <c r="I1928" s="13"/>
      <c r="M1928" s="14"/>
      <c r="O1928" t="str">
        <f>IFERROR(VLOOKUP($I1928,CHOOSE({1,2},'[1]DIRETORES NTE'!$H$5:$H$31,'[1]DIRETORES NTE'!$E$5:$E$31,),2,0),"-")</f>
        <v>-</v>
      </c>
    </row>
    <row r="1929" spans="9:15" x14ac:dyDescent="0.25">
      <c r="I1929" s="13"/>
      <c r="M1929" s="14"/>
      <c r="O1929" t="str">
        <f>IFERROR(VLOOKUP($I1929,CHOOSE({1,2},'[1]DIRETORES NTE'!$H$5:$H$31,'[1]DIRETORES NTE'!$E$5:$E$31,),2,0),"-")</f>
        <v>-</v>
      </c>
    </row>
    <row r="1930" spans="9:15" x14ac:dyDescent="0.25">
      <c r="I1930" s="13"/>
      <c r="M1930" s="14"/>
      <c r="O1930" t="str">
        <f>IFERROR(VLOOKUP($I1930,CHOOSE({1,2},'[1]DIRETORES NTE'!$H$5:$H$31,'[1]DIRETORES NTE'!$E$5:$E$31,),2,0),"-")</f>
        <v>-</v>
      </c>
    </row>
    <row r="1931" spans="9:15" x14ac:dyDescent="0.25">
      <c r="I1931" s="13"/>
      <c r="M1931" s="14"/>
      <c r="O1931" t="str">
        <f>IFERROR(VLOOKUP($I1931,CHOOSE({1,2},'[1]DIRETORES NTE'!$H$5:$H$31,'[1]DIRETORES NTE'!$E$5:$E$31,),2,0),"-")</f>
        <v>-</v>
      </c>
    </row>
    <row r="1932" spans="9:15" x14ac:dyDescent="0.25">
      <c r="I1932" s="13"/>
      <c r="M1932" s="14"/>
      <c r="O1932" t="str">
        <f>IFERROR(VLOOKUP($I1932,CHOOSE({1,2},'[1]DIRETORES NTE'!$H$5:$H$31,'[1]DIRETORES NTE'!$E$5:$E$31,),2,0),"-")</f>
        <v>-</v>
      </c>
    </row>
    <row r="1933" spans="9:15" x14ac:dyDescent="0.25">
      <c r="I1933" s="13"/>
      <c r="M1933" s="14"/>
      <c r="O1933" t="str">
        <f>IFERROR(VLOOKUP($I1933,CHOOSE({1,2},'[1]DIRETORES NTE'!$H$5:$H$31,'[1]DIRETORES NTE'!$E$5:$E$31,),2,0),"-")</f>
        <v>-</v>
      </c>
    </row>
    <row r="1934" spans="9:15" x14ac:dyDescent="0.25">
      <c r="I1934" s="13"/>
      <c r="M1934" s="14"/>
      <c r="O1934" t="str">
        <f>IFERROR(VLOOKUP($I1934,CHOOSE({1,2},'[1]DIRETORES NTE'!$H$5:$H$31,'[1]DIRETORES NTE'!$E$5:$E$31,),2,0),"-")</f>
        <v>-</v>
      </c>
    </row>
    <row r="1935" spans="9:15" x14ac:dyDescent="0.25">
      <c r="I1935" s="13"/>
      <c r="M1935" s="14"/>
      <c r="O1935" t="str">
        <f>IFERROR(VLOOKUP($I1935,CHOOSE({1,2},'[1]DIRETORES NTE'!$H$5:$H$31,'[1]DIRETORES NTE'!$E$5:$E$31,),2,0),"-")</f>
        <v>-</v>
      </c>
    </row>
    <row r="1936" spans="9:15" x14ac:dyDescent="0.25">
      <c r="I1936" s="13"/>
      <c r="M1936" s="14"/>
      <c r="O1936" t="str">
        <f>IFERROR(VLOOKUP($I1936,CHOOSE({1,2},'[1]DIRETORES NTE'!$H$5:$H$31,'[1]DIRETORES NTE'!$E$5:$E$31,),2,0),"-")</f>
        <v>-</v>
      </c>
    </row>
    <row r="1937" spans="9:15" x14ac:dyDescent="0.25">
      <c r="I1937" s="13"/>
      <c r="M1937" s="14"/>
      <c r="O1937" t="str">
        <f>IFERROR(VLOOKUP($I1937,CHOOSE({1,2},'[1]DIRETORES NTE'!$H$5:$H$31,'[1]DIRETORES NTE'!$E$5:$E$31,),2,0),"-")</f>
        <v>-</v>
      </c>
    </row>
    <row r="1938" spans="9:15" x14ac:dyDescent="0.25">
      <c r="I1938" s="13"/>
      <c r="M1938" s="14"/>
      <c r="O1938" t="str">
        <f>IFERROR(VLOOKUP($I1938,CHOOSE({1,2},'[1]DIRETORES NTE'!$H$5:$H$31,'[1]DIRETORES NTE'!$E$5:$E$31,),2,0),"-")</f>
        <v>-</v>
      </c>
    </row>
    <row r="1939" spans="9:15" x14ac:dyDescent="0.25">
      <c r="I1939" s="13"/>
      <c r="M1939" s="14"/>
      <c r="O1939" t="str">
        <f>IFERROR(VLOOKUP($I1939,CHOOSE({1,2},'[1]DIRETORES NTE'!$H$5:$H$31,'[1]DIRETORES NTE'!$E$5:$E$31,),2,0),"-")</f>
        <v>-</v>
      </c>
    </row>
    <row r="1940" spans="9:15" x14ac:dyDescent="0.25">
      <c r="I1940" s="13"/>
      <c r="M1940" s="14"/>
      <c r="O1940" t="str">
        <f>IFERROR(VLOOKUP($I1940,CHOOSE({1,2},'[1]DIRETORES NTE'!$H$5:$H$31,'[1]DIRETORES NTE'!$E$5:$E$31,),2,0),"-")</f>
        <v>-</v>
      </c>
    </row>
    <row r="1941" spans="9:15" x14ac:dyDescent="0.25">
      <c r="I1941" s="13"/>
      <c r="M1941" s="14"/>
      <c r="O1941" t="str">
        <f>IFERROR(VLOOKUP($I1941,CHOOSE({1,2},'[1]DIRETORES NTE'!$H$5:$H$31,'[1]DIRETORES NTE'!$E$5:$E$31,),2,0),"-")</f>
        <v>-</v>
      </c>
    </row>
    <row r="1942" spans="9:15" x14ac:dyDescent="0.25">
      <c r="I1942" s="13"/>
      <c r="M1942" s="14"/>
      <c r="O1942" t="str">
        <f>IFERROR(VLOOKUP($I1942,CHOOSE({1,2},'[1]DIRETORES NTE'!$H$5:$H$31,'[1]DIRETORES NTE'!$E$5:$E$31,),2,0),"-")</f>
        <v>-</v>
      </c>
    </row>
    <row r="1943" spans="9:15" x14ac:dyDescent="0.25">
      <c r="I1943" s="13"/>
      <c r="M1943" s="14"/>
      <c r="O1943" t="str">
        <f>IFERROR(VLOOKUP($I1943,CHOOSE({1,2},'[1]DIRETORES NTE'!$H$5:$H$31,'[1]DIRETORES NTE'!$E$5:$E$31,),2,0),"-")</f>
        <v>-</v>
      </c>
    </row>
    <row r="1944" spans="9:15" x14ac:dyDescent="0.25">
      <c r="I1944" s="13"/>
      <c r="M1944" s="14"/>
      <c r="O1944" t="str">
        <f>IFERROR(VLOOKUP($I1944,CHOOSE({1,2},'[1]DIRETORES NTE'!$H$5:$H$31,'[1]DIRETORES NTE'!$E$5:$E$31,),2,0),"-")</f>
        <v>-</v>
      </c>
    </row>
    <row r="1945" spans="9:15" x14ac:dyDescent="0.25">
      <c r="I1945" s="13"/>
      <c r="M1945" s="14"/>
      <c r="O1945" t="str">
        <f>IFERROR(VLOOKUP($I1945,CHOOSE({1,2},'[1]DIRETORES NTE'!$H$5:$H$31,'[1]DIRETORES NTE'!$E$5:$E$31,),2,0),"-")</f>
        <v>-</v>
      </c>
    </row>
    <row r="1946" spans="9:15" x14ac:dyDescent="0.25">
      <c r="I1946" s="13"/>
      <c r="M1946" s="14"/>
      <c r="O1946" t="str">
        <f>IFERROR(VLOOKUP($I1946,CHOOSE({1,2},'[1]DIRETORES NTE'!$H$5:$H$31,'[1]DIRETORES NTE'!$E$5:$E$31,),2,0),"-")</f>
        <v>-</v>
      </c>
    </row>
    <row r="1947" spans="9:15" x14ac:dyDescent="0.25">
      <c r="I1947" s="13"/>
      <c r="M1947" s="14"/>
      <c r="O1947" t="str">
        <f>IFERROR(VLOOKUP($I1947,CHOOSE({1,2},'[1]DIRETORES NTE'!$H$5:$H$31,'[1]DIRETORES NTE'!$E$5:$E$31,),2,0),"-")</f>
        <v>-</v>
      </c>
    </row>
    <row r="1948" spans="9:15" x14ac:dyDescent="0.25">
      <c r="I1948" s="13"/>
      <c r="M1948" s="14"/>
      <c r="O1948" t="str">
        <f>IFERROR(VLOOKUP($I1948,CHOOSE({1,2},'[1]DIRETORES NTE'!$H$5:$H$31,'[1]DIRETORES NTE'!$E$5:$E$31,),2,0),"-")</f>
        <v>-</v>
      </c>
    </row>
    <row r="1949" spans="9:15" x14ac:dyDescent="0.25">
      <c r="I1949" s="13"/>
      <c r="M1949" s="14"/>
      <c r="O1949" t="str">
        <f>IFERROR(VLOOKUP($I1949,CHOOSE({1,2},'[1]DIRETORES NTE'!$H$5:$H$31,'[1]DIRETORES NTE'!$E$5:$E$31,),2,0),"-")</f>
        <v>-</v>
      </c>
    </row>
    <row r="1950" spans="9:15" x14ac:dyDescent="0.25">
      <c r="I1950" s="13"/>
      <c r="M1950" s="14"/>
      <c r="O1950" t="str">
        <f>IFERROR(VLOOKUP($I1950,CHOOSE({1,2},'[1]DIRETORES NTE'!$H$5:$H$31,'[1]DIRETORES NTE'!$E$5:$E$31,),2,0),"-")</f>
        <v>-</v>
      </c>
    </row>
    <row r="1951" spans="9:15" x14ac:dyDescent="0.25">
      <c r="I1951" s="13"/>
      <c r="M1951" s="14"/>
      <c r="O1951" t="str">
        <f>IFERROR(VLOOKUP($I1951,CHOOSE({1,2},'[1]DIRETORES NTE'!$H$5:$H$31,'[1]DIRETORES NTE'!$E$5:$E$31,),2,0),"-")</f>
        <v>-</v>
      </c>
    </row>
    <row r="1952" spans="9:15" x14ac:dyDescent="0.25">
      <c r="I1952" s="13"/>
      <c r="M1952" s="14"/>
      <c r="O1952" t="str">
        <f>IFERROR(VLOOKUP($I1952,CHOOSE({1,2},'[1]DIRETORES NTE'!$H$5:$H$31,'[1]DIRETORES NTE'!$E$5:$E$31,),2,0),"-")</f>
        <v>-</v>
      </c>
    </row>
    <row r="1953" spans="9:15" x14ac:dyDescent="0.25">
      <c r="I1953" s="13"/>
      <c r="M1953" s="14"/>
      <c r="O1953" t="str">
        <f>IFERROR(VLOOKUP($I1953,CHOOSE({1,2},'[1]DIRETORES NTE'!$H$5:$H$31,'[1]DIRETORES NTE'!$E$5:$E$31,),2,0),"-")</f>
        <v>-</v>
      </c>
    </row>
    <row r="1954" spans="9:15" x14ac:dyDescent="0.25">
      <c r="I1954" s="13"/>
      <c r="M1954" s="14"/>
      <c r="O1954" t="str">
        <f>IFERROR(VLOOKUP($I1954,CHOOSE({1,2},'[1]DIRETORES NTE'!$H$5:$H$31,'[1]DIRETORES NTE'!$E$5:$E$31,),2,0),"-")</f>
        <v>-</v>
      </c>
    </row>
    <row r="1955" spans="9:15" x14ac:dyDescent="0.25">
      <c r="I1955" s="13"/>
      <c r="M1955" s="14"/>
      <c r="O1955" t="str">
        <f>IFERROR(VLOOKUP($I1955,CHOOSE({1,2},'[1]DIRETORES NTE'!$H$5:$H$31,'[1]DIRETORES NTE'!$E$5:$E$31,),2,0),"-")</f>
        <v>-</v>
      </c>
    </row>
    <row r="1956" spans="9:15" x14ac:dyDescent="0.25">
      <c r="I1956" s="13"/>
      <c r="M1956" s="14"/>
      <c r="O1956" t="str">
        <f>IFERROR(VLOOKUP($I1956,CHOOSE({1,2},'[1]DIRETORES NTE'!$H$5:$H$31,'[1]DIRETORES NTE'!$E$5:$E$31,),2,0),"-")</f>
        <v>-</v>
      </c>
    </row>
    <row r="1957" spans="9:15" x14ac:dyDescent="0.25">
      <c r="I1957" s="13"/>
      <c r="M1957" s="14"/>
      <c r="O1957" t="str">
        <f>IFERROR(VLOOKUP($I1957,CHOOSE({1,2},'[1]DIRETORES NTE'!$H$5:$H$31,'[1]DIRETORES NTE'!$E$5:$E$31,),2,0),"-")</f>
        <v>-</v>
      </c>
    </row>
    <row r="1958" spans="9:15" x14ac:dyDescent="0.25">
      <c r="I1958" s="13"/>
      <c r="M1958" s="14"/>
      <c r="O1958" t="str">
        <f>IFERROR(VLOOKUP($I1958,CHOOSE({1,2},'[1]DIRETORES NTE'!$H$5:$H$31,'[1]DIRETORES NTE'!$E$5:$E$31,),2,0),"-")</f>
        <v>-</v>
      </c>
    </row>
    <row r="1959" spans="9:15" x14ac:dyDescent="0.25">
      <c r="I1959" s="13"/>
      <c r="M1959" s="14"/>
      <c r="O1959" t="str">
        <f>IFERROR(VLOOKUP($I1959,CHOOSE({1,2},'[1]DIRETORES NTE'!$H$5:$H$31,'[1]DIRETORES NTE'!$E$5:$E$31,),2,0),"-")</f>
        <v>-</v>
      </c>
    </row>
    <row r="1960" spans="9:15" x14ac:dyDescent="0.25">
      <c r="I1960" s="13"/>
      <c r="M1960" s="14"/>
      <c r="O1960" t="str">
        <f>IFERROR(VLOOKUP($I1960,CHOOSE({1,2},'[1]DIRETORES NTE'!$H$5:$H$31,'[1]DIRETORES NTE'!$E$5:$E$31,),2,0),"-")</f>
        <v>-</v>
      </c>
    </row>
    <row r="1961" spans="9:15" x14ac:dyDescent="0.25">
      <c r="I1961" s="13"/>
      <c r="M1961" s="14"/>
      <c r="O1961" t="str">
        <f>IFERROR(VLOOKUP($I1961,CHOOSE({1,2},'[1]DIRETORES NTE'!$H$5:$H$31,'[1]DIRETORES NTE'!$E$5:$E$31,),2,0),"-")</f>
        <v>-</v>
      </c>
    </row>
    <row r="1962" spans="9:15" x14ac:dyDescent="0.25">
      <c r="I1962" s="13"/>
      <c r="M1962" s="14"/>
      <c r="O1962" t="str">
        <f>IFERROR(VLOOKUP($I1962,CHOOSE({1,2},'[1]DIRETORES NTE'!$H$5:$H$31,'[1]DIRETORES NTE'!$E$5:$E$31,),2,0),"-")</f>
        <v>-</v>
      </c>
    </row>
    <row r="1963" spans="9:15" x14ac:dyDescent="0.25">
      <c r="I1963" s="13"/>
      <c r="M1963" s="14"/>
      <c r="O1963" t="str">
        <f>IFERROR(VLOOKUP($I1963,CHOOSE({1,2},'[1]DIRETORES NTE'!$H$5:$H$31,'[1]DIRETORES NTE'!$E$5:$E$31,),2,0),"-")</f>
        <v>-</v>
      </c>
    </row>
    <row r="1964" spans="9:15" x14ac:dyDescent="0.25">
      <c r="I1964" s="13"/>
      <c r="M1964" s="14"/>
      <c r="O1964" t="str">
        <f>IFERROR(VLOOKUP($I1964,CHOOSE({1,2},'[1]DIRETORES NTE'!$H$5:$H$31,'[1]DIRETORES NTE'!$E$5:$E$31,),2,0),"-")</f>
        <v>-</v>
      </c>
    </row>
    <row r="1965" spans="9:15" x14ac:dyDescent="0.25">
      <c r="I1965" s="13"/>
      <c r="M1965" s="14"/>
      <c r="O1965" t="str">
        <f>IFERROR(VLOOKUP($I1965,CHOOSE({1,2},'[1]DIRETORES NTE'!$H$5:$H$31,'[1]DIRETORES NTE'!$E$5:$E$31,),2,0),"-")</f>
        <v>-</v>
      </c>
    </row>
    <row r="1966" spans="9:15" x14ac:dyDescent="0.25">
      <c r="I1966" s="13"/>
      <c r="M1966" s="14"/>
      <c r="O1966" t="str">
        <f>IFERROR(VLOOKUP($I1966,CHOOSE({1,2},'[1]DIRETORES NTE'!$H$5:$H$31,'[1]DIRETORES NTE'!$E$5:$E$31,),2,0),"-")</f>
        <v>-</v>
      </c>
    </row>
    <row r="1967" spans="9:15" x14ac:dyDescent="0.25">
      <c r="I1967" s="13"/>
      <c r="M1967" s="14"/>
      <c r="O1967" t="str">
        <f>IFERROR(VLOOKUP($I1967,CHOOSE({1,2},'[1]DIRETORES NTE'!$H$5:$H$31,'[1]DIRETORES NTE'!$E$5:$E$31,),2,0),"-")</f>
        <v>-</v>
      </c>
    </row>
    <row r="1968" spans="9:15" x14ac:dyDescent="0.25">
      <c r="I1968" s="13"/>
      <c r="M1968" s="14"/>
      <c r="O1968" t="str">
        <f>IFERROR(VLOOKUP($I1968,CHOOSE({1,2},'[1]DIRETORES NTE'!$H$5:$H$31,'[1]DIRETORES NTE'!$E$5:$E$31,),2,0),"-")</f>
        <v>-</v>
      </c>
    </row>
    <row r="1969" spans="9:15" x14ac:dyDescent="0.25">
      <c r="I1969" s="13"/>
      <c r="M1969" s="14"/>
      <c r="O1969" t="str">
        <f>IFERROR(VLOOKUP($I1969,CHOOSE({1,2},'[1]DIRETORES NTE'!$H$5:$H$31,'[1]DIRETORES NTE'!$E$5:$E$31,),2,0),"-")</f>
        <v>-</v>
      </c>
    </row>
    <row r="1970" spans="9:15" x14ac:dyDescent="0.25">
      <c r="I1970" s="13"/>
      <c r="M1970" s="14"/>
      <c r="O1970" t="str">
        <f>IFERROR(VLOOKUP($I1970,CHOOSE({1,2},'[1]DIRETORES NTE'!$H$5:$H$31,'[1]DIRETORES NTE'!$E$5:$E$31,),2,0),"-")</f>
        <v>-</v>
      </c>
    </row>
    <row r="1971" spans="9:15" x14ac:dyDescent="0.25">
      <c r="I1971" s="13"/>
      <c r="M1971" s="14"/>
      <c r="O1971" t="str">
        <f>IFERROR(VLOOKUP($I1971,CHOOSE({1,2},'[1]DIRETORES NTE'!$H$5:$H$31,'[1]DIRETORES NTE'!$E$5:$E$31,),2,0),"-")</f>
        <v>-</v>
      </c>
    </row>
    <row r="1972" spans="9:15" x14ac:dyDescent="0.25">
      <c r="I1972" s="13"/>
      <c r="M1972" s="14"/>
      <c r="O1972" t="str">
        <f>IFERROR(VLOOKUP($I1972,CHOOSE({1,2},'[1]DIRETORES NTE'!$H$5:$H$31,'[1]DIRETORES NTE'!$E$5:$E$31,),2,0),"-")</f>
        <v>-</v>
      </c>
    </row>
    <row r="1973" spans="9:15" x14ac:dyDescent="0.25">
      <c r="I1973" s="13"/>
      <c r="M1973" s="14"/>
      <c r="O1973" t="str">
        <f>IFERROR(VLOOKUP($I1973,CHOOSE({1,2},'[1]DIRETORES NTE'!$H$5:$H$31,'[1]DIRETORES NTE'!$E$5:$E$31,),2,0),"-")</f>
        <v>-</v>
      </c>
    </row>
    <row r="1974" spans="9:15" x14ac:dyDescent="0.25">
      <c r="I1974" s="13"/>
      <c r="M1974" s="14"/>
      <c r="O1974" t="str">
        <f>IFERROR(VLOOKUP($I1974,CHOOSE({1,2},'[1]DIRETORES NTE'!$H$5:$H$31,'[1]DIRETORES NTE'!$E$5:$E$31,),2,0),"-")</f>
        <v>-</v>
      </c>
    </row>
    <row r="1975" spans="9:15" x14ac:dyDescent="0.25">
      <c r="I1975" s="13"/>
      <c r="M1975" s="14"/>
      <c r="O1975" t="str">
        <f>IFERROR(VLOOKUP($I1975,CHOOSE({1,2},'[1]DIRETORES NTE'!$H$5:$H$31,'[1]DIRETORES NTE'!$E$5:$E$31,),2,0),"-")</f>
        <v>-</v>
      </c>
    </row>
    <row r="1976" spans="9:15" x14ac:dyDescent="0.25">
      <c r="I1976" s="13"/>
      <c r="M1976" s="14"/>
      <c r="O1976" t="str">
        <f>IFERROR(VLOOKUP($I1976,CHOOSE({1,2},'[1]DIRETORES NTE'!$H$5:$H$31,'[1]DIRETORES NTE'!$E$5:$E$31,),2,0),"-")</f>
        <v>-</v>
      </c>
    </row>
    <row r="1977" spans="9:15" x14ac:dyDescent="0.25">
      <c r="I1977" s="13"/>
      <c r="M1977" s="14"/>
      <c r="O1977" t="str">
        <f>IFERROR(VLOOKUP($I1977,CHOOSE({1,2},'[1]DIRETORES NTE'!$H$5:$H$31,'[1]DIRETORES NTE'!$E$5:$E$31,),2,0),"-")</f>
        <v>-</v>
      </c>
    </row>
    <row r="1978" spans="9:15" x14ac:dyDescent="0.25">
      <c r="I1978" s="13"/>
      <c r="M1978" s="14"/>
      <c r="O1978" t="str">
        <f>IFERROR(VLOOKUP($I1978,CHOOSE({1,2},'[1]DIRETORES NTE'!$H$5:$H$31,'[1]DIRETORES NTE'!$E$5:$E$31,),2,0),"-")</f>
        <v>-</v>
      </c>
    </row>
    <row r="1979" spans="9:15" x14ac:dyDescent="0.25">
      <c r="I1979" s="13"/>
      <c r="M1979" s="14"/>
      <c r="O1979" t="str">
        <f>IFERROR(VLOOKUP($I1979,CHOOSE({1,2},'[1]DIRETORES NTE'!$H$5:$H$31,'[1]DIRETORES NTE'!$E$5:$E$31,),2,0),"-")</f>
        <v>-</v>
      </c>
    </row>
    <row r="1980" spans="9:15" x14ac:dyDescent="0.25">
      <c r="I1980" s="13"/>
      <c r="M1980" s="14"/>
      <c r="O1980" t="str">
        <f>IFERROR(VLOOKUP($I1980,CHOOSE({1,2},'[1]DIRETORES NTE'!$H$5:$H$31,'[1]DIRETORES NTE'!$E$5:$E$31,),2,0),"-")</f>
        <v>-</v>
      </c>
    </row>
    <row r="1981" spans="9:15" x14ac:dyDescent="0.25">
      <c r="I1981" s="13"/>
      <c r="M1981" s="14"/>
      <c r="O1981" t="str">
        <f>IFERROR(VLOOKUP($I1981,CHOOSE({1,2},'[1]DIRETORES NTE'!$H$5:$H$31,'[1]DIRETORES NTE'!$E$5:$E$31,),2,0),"-")</f>
        <v>-</v>
      </c>
    </row>
    <row r="1982" spans="9:15" x14ac:dyDescent="0.25">
      <c r="I1982" s="13"/>
      <c r="M1982" s="14"/>
      <c r="O1982" t="str">
        <f>IFERROR(VLOOKUP($I1982,CHOOSE({1,2},'[1]DIRETORES NTE'!$H$5:$H$31,'[1]DIRETORES NTE'!$E$5:$E$31,),2,0),"-")</f>
        <v>-</v>
      </c>
    </row>
    <row r="1983" spans="9:15" x14ac:dyDescent="0.25">
      <c r="I1983" s="13"/>
      <c r="M1983" s="14"/>
      <c r="O1983" t="str">
        <f>IFERROR(VLOOKUP($I1983,CHOOSE({1,2},'[1]DIRETORES NTE'!$H$5:$H$31,'[1]DIRETORES NTE'!$E$5:$E$31,),2,0),"-")</f>
        <v>-</v>
      </c>
    </row>
    <row r="1984" spans="9:15" x14ac:dyDescent="0.25">
      <c r="I1984" s="13"/>
      <c r="M1984" s="14"/>
      <c r="O1984" t="str">
        <f>IFERROR(VLOOKUP($I1984,CHOOSE({1,2},'[1]DIRETORES NTE'!$H$5:$H$31,'[1]DIRETORES NTE'!$E$5:$E$31,),2,0),"-")</f>
        <v>-</v>
      </c>
    </row>
    <row r="1985" spans="9:15" x14ac:dyDescent="0.25">
      <c r="I1985" s="13"/>
      <c r="M1985" s="14"/>
      <c r="O1985" t="str">
        <f>IFERROR(VLOOKUP($I1985,CHOOSE({1,2},'[1]DIRETORES NTE'!$H$5:$H$31,'[1]DIRETORES NTE'!$E$5:$E$31,),2,0),"-")</f>
        <v>-</v>
      </c>
    </row>
    <row r="1986" spans="9:15" x14ac:dyDescent="0.25">
      <c r="I1986" s="13"/>
      <c r="M1986" s="14"/>
      <c r="O1986" t="str">
        <f>IFERROR(VLOOKUP($I1986,CHOOSE({1,2},'[1]DIRETORES NTE'!$H$5:$H$31,'[1]DIRETORES NTE'!$E$5:$E$31,),2,0),"-")</f>
        <v>-</v>
      </c>
    </row>
    <row r="1987" spans="9:15" x14ac:dyDescent="0.25">
      <c r="I1987" s="13"/>
      <c r="M1987" s="14"/>
      <c r="O1987" t="str">
        <f>IFERROR(VLOOKUP($I1987,CHOOSE({1,2},'[1]DIRETORES NTE'!$H$5:$H$31,'[1]DIRETORES NTE'!$E$5:$E$31,),2,0),"-")</f>
        <v>-</v>
      </c>
    </row>
    <row r="1988" spans="9:15" x14ac:dyDescent="0.25">
      <c r="I1988" s="13"/>
      <c r="M1988" s="14"/>
      <c r="O1988" t="str">
        <f>IFERROR(VLOOKUP($I1988,CHOOSE({1,2},'[1]DIRETORES NTE'!$H$5:$H$31,'[1]DIRETORES NTE'!$E$5:$E$31,),2,0),"-")</f>
        <v>-</v>
      </c>
    </row>
    <row r="1989" spans="9:15" x14ac:dyDescent="0.25">
      <c r="I1989" s="13"/>
      <c r="M1989" s="14"/>
      <c r="O1989" t="str">
        <f>IFERROR(VLOOKUP($I1989,CHOOSE({1,2},'[1]DIRETORES NTE'!$H$5:$H$31,'[1]DIRETORES NTE'!$E$5:$E$31,),2,0),"-")</f>
        <v>-</v>
      </c>
    </row>
    <row r="1990" spans="9:15" x14ac:dyDescent="0.25">
      <c r="I1990" s="13"/>
      <c r="M1990" s="14"/>
      <c r="O1990" t="str">
        <f>IFERROR(VLOOKUP($I1990,CHOOSE({1,2},'[1]DIRETORES NTE'!$H$5:$H$31,'[1]DIRETORES NTE'!$E$5:$E$31,),2,0),"-")</f>
        <v>-</v>
      </c>
    </row>
    <row r="1991" spans="9:15" x14ac:dyDescent="0.25">
      <c r="I1991" s="13"/>
      <c r="M1991" s="14"/>
      <c r="O1991" t="str">
        <f>IFERROR(VLOOKUP($I1991,CHOOSE({1,2},'[1]DIRETORES NTE'!$H$5:$H$31,'[1]DIRETORES NTE'!$E$5:$E$31,),2,0),"-")</f>
        <v>-</v>
      </c>
    </row>
    <row r="1992" spans="9:15" x14ac:dyDescent="0.25">
      <c r="I1992" s="13"/>
      <c r="M1992" s="14"/>
      <c r="O1992" t="str">
        <f>IFERROR(VLOOKUP($I1992,CHOOSE({1,2},'[1]DIRETORES NTE'!$H$5:$H$31,'[1]DIRETORES NTE'!$E$5:$E$31,),2,0),"-")</f>
        <v>-</v>
      </c>
    </row>
    <row r="1993" spans="9:15" x14ac:dyDescent="0.25">
      <c r="I1993" s="13"/>
      <c r="M1993" s="14"/>
      <c r="O1993" t="str">
        <f>IFERROR(VLOOKUP($I1993,CHOOSE({1,2},'[1]DIRETORES NTE'!$H$5:$H$31,'[1]DIRETORES NTE'!$E$5:$E$31,),2,0),"-")</f>
        <v>-</v>
      </c>
    </row>
    <row r="1994" spans="9:15" x14ac:dyDescent="0.25">
      <c r="I1994" s="13"/>
      <c r="M1994" s="14"/>
      <c r="O1994" t="str">
        <f>IFERROR(VLOOKUP($I1994,CHOOSE({1,2},'[1]DIRETORES NTE'!$H$5:$H$31,'[1]DIRETORES NTE'!$E$5:$E$31,),2,0),"-")</f>
        <v>-</v>
      </c>
    </row>
    <row r="1995" spans="9:15" x14ac:dyDescent="0.25">
      <c r="I1995" s="13"/>
      <c r="M1995" s="14"/>
      <c r="O1995" t="str">
        <f>IFERROR(VLOOKUP($I1995,CHOOSE({1,2},'[1]DIRETORES NTE'!$H$5:$H$31,'[1]DIRETORES NTE'!$E$5:$E$31,),2,0),"-")</f>
        <v>-</v>
      </c>
    </row>
    <row r="1996" spans="9:15" x14ac:dyDescent="0.25">
      <c r="I1996" s="13"/>
      <c r="M1996" s="14"/>
      <c r="O1996" t="str">
        <f>IFERROR(VLOOKUP($I1996,CHOOSE({1,2},'[1]DIRETORES NTE'!$H$5:$H$31,'[1]DIRETORES NTE'!$E$5:$E$31,),2,0),"-")</f>
        <v>-</v>
      </c>
    </row>
    <row r="1997" spans="9:15" x14ac:dyDescent="0.25">
      <c r="I1997" s="13"/>
      <c r="M1997" s="14"/>
      <c r="O1997" t="str">
        <f>IFERROR(VLOOKUP($I1997,CHOOSE({1,2},'[1]DIRETORES NTE'!$H$5:$H$31,'[1]DIRETORES NTE'!$E$5:$E$31,),2,0),"-")</f>
        <v>-</v>
      </c>
    </row>
    <row r="1998" spans="9:15" x14ac:dyDescent="0.25">
      <c r="I1998" s="13"/>
      <c r="M1998" s="14"/>
      <c r="O1998" t="str">
        <f>IFERROR(VLOOKUP($I1998,CHOOSE({1,2},'[1]DIRETORES NTE'!$H$5:$H$31,'[1]DIRETORES NTE'!$E$5:$E$31,),2,0),"-")</f>
        <v>-</v>
      </c>
    </row>
    <row r="1999" spans="9:15" x14ac:dyDescent="0.25">
      <c r="I1999" s="13"/>
      <c r="M1999" s="14"/>
      <c r="O1999" t="str">
        <f>IFERROR(VLOOKUP($I1999,CHOOSE({1,2},'[1]DIRETORES NTE'!$H$5:$H$31,'[1]DIRETORES NTE'!$E$5:$E$31,),2,0),"-")</f>
        <v>-</v>
      </c>
    </row>
    <row r="2000" spans="9:15" x14ac:dyDescent="0.25">
      <c r="I2000" s="13"/>
      <c r="M2000" s="14"/>
      <c r="O2000" t="str">
        <f>IFERROR(VLOOKUP($I2000,CHOOSE({1,2},'[1]DIRETORES NTE'!$H$5:$H$31,'[1]DIRETORES NTE'!$E$5:$E$31,),2,0),"-")</f>
        <v>-</v>
      </c>
    </row>
    <row r="2001" spans="9:15" x14ac:dyDescent="0.25">
      <c r="I2001" s="13"/>
      <c r="M2001" s="14"/>
      <c r="O2001" t="str">
        <f>IFERROR(VLOOKUP($I2001,CHOOSE({1,2},'[1]DIRETORES NTE'!$H$5:$H$31,'[1]DIRETORES NTE'!$E$5:$E$31,),2,0),"-")</f>
        <v>-</v>
      </c>
    </row>
    <row r="2002" spans="9:15" x14ac:dyDescent="0.25">
      <c r="I2002" s="13"/>
      <c r="M2002" s="14"/>
      <c r="O2002" t="str">
        <f>IFERROR(VLOOKUP($I2002,CHOOSE({1,2},'[1]DIRETORES NTE'!$H$5:$H$31,'[1]DIRETORES NTE'!$E$5:$E$31,),2,0),"-")</f>
        <v>-</v>
      </c>
    </row>
    <row r="2003" spans="9:15" x14ac:dyDescent="0.25">
      <c r="I2003" s="13"/>
      <c r="M2003" s="14"/>
      <c r="O2003" t="str">
        <f>IFERROR(VLOOKUP($I2003,CHOOSE({1,2},'[1]DIRETORES NTE'!$H$5:$H$31,'[1]DIRETORES NTE'!$E$5:$E$31,),2,0),"-")</f>
        <v>-</v>
      </c>
    </row>
    <row r="2004" spans="9:15" x14ac:dyDescent="0.25">
      <c r="I2004" s="13"/>
      <c r="M2004" s="14"/>
      <c r="O2004" t="str">
        <f>IFERROR(VLOOKUP($I2004,CHOOSE({1,2},'[1]DIRETORES NTE'!$H$5:$H$31,'[1]DIRETORES NTE'!$E$5:$E$31,),2,0),"-")</f>
        <v>-</v>
      </c>
    </row>
    <row r="2005" spans="9:15" x14ac:dyDescent="0.25">
      <c r="I2005" s="13"/>
      <c r="M2005" s="14"/>
      <c r="O2005" t="str">
        <f>IFERROR(VLOOKUP($I2005,CHOOSE({1,2},'[1]DIRETORES NTE'!$H$5:$H$31,'[1]DIRETORES NTE'!$E$5:$E$31,),2,0),"-")</f>
        <v>-</v>
      </c>
    </row>
    <row r="2006" spans="9:15" x14ac:dyDescent="0.25">
      <c r="I2006" s="13"/>
      <c r="M2006" s="14"/>
      <c r="O2006" t="str">
        <f>IFERROR(VLOOKUP($I2006,CHOOSE({1,2},'[1]DIRETORES NTE'!$H$5:$H$31,'[1]DIRETORES NTE'!$E$5:$E$31,),2,0),"-")</f>
        <v>-</v>
      </c>
    </row>
    <row r="2007" spans="9:15" x14ac:dyDescent="0.25">
      <c r="I2007" s="13"/>
      <c r="M2007" s="14"/>
      <c r="O2007" t="str">
        <f>IFERROR(VLOOKUP($I2007,CHOOSE({1,2},'[1]DIRETORES NTE'!$H$5:$H$31,'[1]DIRETORES NTE'!$E$5:$E$31,),2,0),"-")</f>
        <v>-</v>
      </c>
    </row>
    <row r="2008" spans="9:15" x14ac:dyDescent="0.25">
      <c r="I2008" s="13"/>
      <c r="M2008" s="14"/>
      <c r="O2008" t="str">
        <f>IFERROR(VLOOKUP($I2008,CHOOSE({1,2},'[1]DIRETORES NTE'!$H$5:$H$31,'[1]DIRETORES NTE'!$E$5:$E$31,),2,0),"-")</f>
        <v>-</v>
      </c>
    </row>
    <row r="2009" spans="9:15" x14ac:dyDescent="0.25">
      <c r="I2009" s="13"/>
      <c r="M2009" s="14"/>
      <c r="O2009" t="str">
        <f>IFERROR(VLOOKUP($I2009,CHOOSE({1,2},'[1]DIRETORES NTE'!$H$5:$H$31,'[1]DIRETORES NTE'!$E$5:$E$31,),2,0),"-")</f>
        <v>-</v>
      </c>
    </row>
    <row r="2010" spans="9:15" x14ac:dyDescent="0.25">
      <c r="I2010" s="13"/>
      <c r="M2010" s="14"/>
      <c r="O2010" t="str">
        <f>IFERROR(VLOOKUP($I2010,CHOOSE({1,2},'[1]DIRETORES NTE'!$H$5:$H$31,'[1]DIRETORES NTE'!$E$5:$E$31,),2,0),"-")</f>
        <v>-</v>
      </c>
    </row>
    <row r="2011" spans="9:15" x14ac:dyDescent="0.25">
      <c r="I2011" s="13"/>
      <c r="M2011" s="14"/>
      <c r="O2011" t="str">
        <f>IFERROR(VLOOKUP($I2011,CHOOSE({1,2},'[1]DIRETORES NTE'!$H$5:$H$31,'[1]DIRETORES NTE'!$E$5:$E$31,),2,0),"-")</f>
        <v>-</v>
      </c>
    </row>
    <row r="2012" spans="9:15" x14ac:dyDescent="0.25">
      <c r="I2012" s="13"/>
      <c r="M2012" s="14"/>
      <c r="O2012" t="str">
        <f>IFERROR(VLOOKUP($I2012,CHOOSE({1,2},'[1]DIRETORES NTE'!$H$5:$H$31,'[1]DIRETORES NTE'!$E$5:$E$31,),2,0),"-")</f>
        <v>-</v>
      </c>
    </row>
    <row r="2013" spans="9:15" x14ac:dyDescent="0.25">
      <c r="I2013" s="13"/>
      <c r="M2013" s="14"/>
      <c r="O2013" t="str">
        <f>IFERROR(VLOOKUP($I2013,CHOOSE({1,2},'[1]DIRETORES NTE'!$H$5:$H$31,'[1]DIRETORES NTE'!$E$5:$E$31,),2,0),"-")</f>
        <v>-</v>
      </c>
    </row>
    <row r="2014" spans="9:15" x14ac:dyDescent="0.25">
      <c r="I2014" s="13"/>
      <c r="M2014" s="14"/>
      <c r="O2014" t="str">
        <f>IFERROR(VLOOKUP($I2014,CHOOSE({1,2},'[1]DIRETORES NTE'!$H$5:$H$31,'[1]DIRETORES NTE'!$E$5:$E$31,),2,0),"-")</f>
        <v>-</v>
      </c>
    </row>
    <row r="2015" spans="9:15" x14ac:dyDescent="0.25">
      <c r="I2015" s="13"/>
      <c r="M2015" s="14"/>
      <c r="O2015" t="str">
        <f>IFERROR(VLOOKUP($I2015,CHOOSE({1,2},'[1]DIRETORES NTE'!$H$5:$H$31,'[1]DIRETORES NTE'!$E$5:$E$31,),2,0),"-")</f>
        <v>-</v>
      </c>
    </row>
    <row r="2016" spans="9:15" x14ac:dyDescent="0.25">
      <c r="I2016" s="13"/>
      <c r="M2016" s="14"/>
      <c r="O2016" t="str">
        <f>IFERROR(VLOOKUP($I2016,CHOOSE({1,2},'[1]DIRETORES NTE'!$H$5:$H$31,'[1]DIRETORES NTE'!$E$5:$E$31,),2,0),"-")</f>
        <v>-</v>
      </c>
    </row>
    <row r="2017" spans="9:15" x14ac:dyDescent="0.25">
      <c r="I2017" s="13"/>
      <c r="M2017" s="14"/>
      <c r="O2017" t="str">
        <f>IFERROR(VLOOKUP($I2017,CHOOSE({1,2},'[1]DIRETORES NTE'!$H$5:$H$31,'[1]DIRETORES NTE'!$E$5:$E$31,),2,0),"-")</f>
        <v>-</v>
      </c>
    </row>
    <row r="2018" spans="9:15" x14ac:dyDescent="0.25">
      <c r="I2018" s="13"/>
      <c r="M2018" s="14"/>
      <c r="O2018" t="str">
        <f>IFERROR(VLOOKUP($I2018,CHOOSE({1,2},'[1]DIRETORES NTE'!$H$5:$H$31,'[1]DIRETORES NTE'!$E$5:$E$31,),2,0),"-")</f>
        <v>-</v>
      </c>
    </row>
    <row r="2019" spans="9:15" x14ac:dyDescent="0.25">
      <c r="I2019" s="13"/>
      <c r="M2019" s="14"/>
      <c r="O2019" t="str">
        <f>IFERROR(VLOOKUP($I2019,CHOOSE({1,2},'[1]DIRETORES NTE'!$H$5:$H$31,'[1]DIRETORES NTE'!$E$5:$E$31,),2,0),"-")</f>
        <v>-</v>
      </c>
    </row>
    <row r="2020" spans="9:15" x14ac:dyDescent="0.25">
      <c r="I2020" s="13"/>
      <c r="M2020" s="14"/>
      <c r="O2020" t="str">
        <f>IFERROR(VLOOKUP($I2020,CHOOSE({1,2},'[1]DIRETORES NTE'!$H$5:$H$31,'[1]DIRETORES NTE'!$E$5:$E$31,),2,0),"-")</f>
        <v>-</v>
      </c>
    </row>
    <row r="2021" spans="9:15" x14ac:dyDescent="0.25">
      <c r="I2021" s="13"/>
      <c r="M2021" s="14"/>
      <c r="O2021" t="str">
        <f>IFERROR(VLOOKUP($I2021,CHOOSE({1,2},'[1]DIRETORES NTE'!$H$5:$H$31,'[1]DIRETORES NTE'!$E$5:$E$31,),2,0),"-")</f>
        <v>-</v>
      </c>
    </row>
    <row r="2022" spans="9:15" x14ac:dyDescent="0.25">
      <c r="I2022" s="13"/>
      <c r="M2022" s="14"/>
      <c r="O2022" t="str">
        <f>IFERROR(VLOOKUP($I2022,CHOOSE({1,2},'[1]DIRETORES NTE'!$H$5:$H$31,'[1]DIRETORES NTE'!$E$5:$E$31,),2,0),"-")</f>
        <v>-</v>
      </c>
    </row>
    <row r="2023" spans="9:15" x14ac:dyDescent="0.25">
      <c r="I2023" s="13"/>
      <c r="M2023" s="14"/>
      <c r="O2023" t="str">
        <f>IFERROR(VLOOKUP($I2023,CHOOSE({1,2},'[1]DIRETORES NTE'!$H$5:$H$31,'[1]DIRETORES NTE'!$E$5:$E$31,),2,0),"-")</f>
        <v>-</v>
      </c>
    </row>
    <row r="2024" spans="9:15" x14ac:dyDescent="0.25">
      <c r="I2024" s="13"/>
      <c r="M2024" s="14"/>
      <c r="O2024" t="str">
        <f>IFERROR(VLOOKUP($I2024,CHOOSE({1,2},'[1]DIRETORES NTE'!$H$5:$H$31,'[1]DIRETORES NTE'!$E$5:$E$31,),2,0),"-")</f>
        <v>-</v>
      </c>
    </row>
    <row r="2025" spans="9:15" x14ac:dyDescent="0.25">
      <c r="I2025" s="13"/>
      <c r="M2025" s="14"/>
      <c r="O2025" t="str">
        <f>IFERROR(VLOOKUP($I2025,CHOOSE({1,2},'[1]DIRETORES NTE'!$H$5:$H$31,'[1]DIRETORES NTE'!$E$5:$E$31,),2,0),"-")</f>
        <v>-</v>
      </c>
    </row>
    <row r="2026" spans="9:15" x14ac:dyDescent="0.25">
      <c r="I2026" s="13"/>
      <c r="M2026" s="14"/>
      <c r="O2026" t="str">
        <f>IFERROR(VLOOKUP($I2026,CHOOSE({1,2},'[1]DIRETORES NTE'!$H$5:$H$31,'[1]DIRETORES NTE'!$E$5:$E$31,),2,0),"-")</f>
        <v>-</v>
      </c>
    </row>
    <row r="2027" spans="9:15" x14ac:dyDescent="0.25">
      <c r="I2027" s="13"/>
      <c r="M2027" s="14"/>
      <c r="O2027" t="str">
        <f>IFERROR(VLOOKUP($I2027,CHOOSE({1,2},'[1]DIRETORES NTE'!$H$5:$H$31,'[1]DIRETORES NTE'!$E$5:$E$31,),2,0),"-")</f>
        <v>-</v>
      </c>
    </row>
    <row r="2028" spans="9:15" x14ac:dyDescent="0.25">
      <c r="I2028" s="13"/>
      <c r="M2028" s="14"/>
      <c r="O2028" t="str">
        <f>IFERROR(VLOOKUP($I2028,CHOOSE({1,2},'[1]DIRETORES NTE'!$H$5:$H$31,'[1]DIRETORES NTE'!$E$5:$E$31,),2,0),"-")</f>
        <v>-</v>
      </c>
    </row>
    <row r="2029" spans="9:15" x14ac:dyDescent="0.25">
      <c r="I2029" s="13"/>
      <c r="M2029" s="14"/>
      <c r="O2029" t="str">
        <f>IFERROR(VLOOKUP($I2029,CHOOSE({1,2},'[1]DIRETORES NTE'!$H$5:$H$31,'[1]DIRETORES NTE'!$E$5:$E$31,),2,0),"-")</f>
        <v>-</v>
      </c>
    </row>
    <row r="2030" spans="9:15" x14ac:dyDescent="0.25">
      <c r="I2030" s="13"/>
      <c r="M2030" s="14"/>
      <c r="O2030" t="str">
        <f>IFERROR(VLOOKUP($I2030,CHOOSE({1,2},'[1]DIRETORES NTE'!$H$5:$H$31,'[1]DIRETORES NTE'!$E$5:$E$31,),2,0),"-")</f>
        <v>-</v>
      </c>
    </row>
    <row r="2031" spans="9:15" x14ac:dyDescent="0.25">
      <c r="I2031" s="13"/>
      <c r="M2031" s="14"/>
      <c r="O2031" t="str">
        <f>IFERROR(VLOOKUP($I2031,CHOOSE({1,2},'[1]DIRETORES NTE'!$H$5:$H$31,'[1]DIRETORES NTE'!$E$5:$E$31,),2,0),"-")</f>
        <v>-</v>
      </c>
    </row>
    <row r="2032" spans="9:15" x14ac:dyDescent="0.25">
      <c r="I2032" s="13"/>
      <c r="M2032" s="14"/>
      <c r="O2032" t="str">
        <f>IFERROR(VLOOKUP($I2032,CHOOSE({1,2},'[1]DIRETORES NTE'!$H$5:$H$31,'[1]DIRETORES NTE'!$E$5:$E$31,),2,0),"-")</f>
        <v>-</v>
      </c>
    </row>
    <row r="2033" spans="9:15" x14ac:dyDescent="0.25">
      <c r="I2033" s="13"/>
      <c r="M2033" s="14"/>
      <c r="O2033" t="str">
        <f>IFERROR(VLOOKUP($I2033,CHOOSE({1,2},'[1]DIRETORES NTE'!$H$5:$H$31,'[1]DIRETORES NTE'!$E$5:$E$31,),2,0),"-")</f>
        <v>-</v>
      </c>
    </row>
    <row r="2034" spans="9:15" x14ac:dyDescent="0.25">
      <c r="I2034" s="13"/>
      <c r="M2034" s="14"/>
      <c r="O2034" t="str">
        <f>IFERROR(VLOOKUP($I2034,CHOOSE({1,2},'[1]DIRETORES NTE'!$H$5:$H$31,'[1]DIRETORES NTE'!$E$5:$E$31,),2,0),"-")</f>
        <v>-</v>
      </c>
    </row>
    <row r="2035" spans="9:15" x14ac:dyDescent="0.25">
      <c r="I2035" s="13"/>
      <c r="M2035" s="14"/>
      <c r="O2035" t="str">
        <f>IFERROR(VLOOKUP($I2035,CHOOSE({1,2},'[1]DIRETORES NTE'!$H$5:$H$31,'[1]DIRETORES NTE'!$E$5:$E$31,),2,0),"-")</f>
        <v>-</v>
      </c>
    </row>
    <row r="2036" spans="9:15" x14ac:dyDescent="0.25">
      <c r="I2036" s="13"/>
      <c r="M2036" s="14"/>
      <c r="O2036" t="str">
        <f>IFERROR(VLOOKUP($I2036,CHOOSE({1,2},'[1]DIRETORES NTE'!$H$5:$H$31,'[1]DIRETORES NTE'!$E$5:$E$31,),2,0),"-")</f>
        <v>-</v>
      </c>
    </row>
    <row r="2037" spans="9:15" x14ac:dyDescent="0.25">
      <c r="I2037" s="13"/>
      <c r="M2037" s="14"/>
      <c r="O2037" t="str">
        <f>IFERROR(VLOOKUP($I2037,CHOOSE({1,2},'[1]DIRETORES NTE'!$H$5:$H$31,'[1]DIRETORES NTE'!$E$5:$E$31,),2,0),"-")</f>
        <v>-</v>
      </c>
    </row>
    <row r="2038" spans="9:15" x14ac:dyDescent="0.25">
      <c r="I2038" s="13"/>
      <c r="M2038" s="14"/>
      <c r="O2038" t="str">
        <f>IFERROR(VLOOKUP($I2038,CHOOSE({1,2},'[1]DIRETORES NTE'!$H$5:$H$31,'[1]DIRETORES NTE'!$E$5:$E$31,),2,0),"-")</f>
        <v>-</v>
      </c>
    </row>
    <row r="2039" spans="9:15" x14ac:dyDescent="0.25">
      <c r="I2039" s="13"/>
      <c r="M2039" s="14"/>
      <c r="O2039" t="str">
        <f>IFERROR(VLOOKUP($I2039,CHOOSE({1,2},'[1]DIRETORES NTE'!$H$5:$H$31,'[1]DIRETORES NTE'!$E$5:$E$31,),2,0),"-")</f>
        <v>-</v>
      </c>
    </row>
    <row r="2040" spans="9:15" x14ac:dyDescent="0.25">
      <c r="I2040" s="13"/>
      <c r="M2040" s="14"/>
      <c r="O2040" t="str">
        <f>IFERROR(VLOOKUP($I2040,CHOOSE({1,2},'[1]DIRETORES NTE'!$H$5:$H$31,'[1]DIRETORES NTE'!$E$5:$E$31,),2,0),"-")</f>
        <v>-</v>
      </c>
    </row>
    <row r="2041" spans="9:15" x14ac:dyDescent="0.25">
      <c r="I2041" s="13"/>
      <c r="M2041" s="14"/>
      <c r="O2041" t="str">
        <f>IFERROR(VLOOKUP($I2041,CHOOSE({1,2},'[1]DIRETORES NTE'!$H$5:$H$31,'[1]DIRETORES NTE'!$E$5:$E$31,),2,0),"-")</f>
        <v>-</v>
      </c>
    </row>
    <row r="2042" spans="9:15" x14ac:dyDescent="0.25">
      <c r="I2042" s="13"/>
      <c r="M2042" s="14"/>
      <c r="O2042" t="str">
        <f>IFERROR(VLOOKUP($I2042,CHOOSE({1,2},'[1]DIRETORES NTE'!$H$5:$H$31,'[1]DIRETORES NTE'!$E$5:$E$31,),2,0),"-")</f>
        <v>-</v>
      </c>
    </row>
    <row r="2043" spans="9:15" x14ac:dyDescent="0.25">
      <c r="I2043" s="13"/>
      <c r="M2043" s="14"/>
      <c r="O2043" t="str">
        <f>IFERROR(VLOOKUP($I2043,CHOOSE({1,2},'[1]DIRETORES NTE'!$H$5:$H$31,'[1]DIRETORES NTE'!$E$5:$E$31,),2,0),"-")</f>
        <v>-</v>
      </c>
    </row>
    <row r="2044" spans="9:15" x14ac:dyDescent="0.25">
      <c r="I2044" s="13"/>
      <c r="M2044" s="14"/>
      <c r="O2044" t="str">
        <f>IFERROR(VLOOKUP($I2044,CHOOSE({1,2},'[1]DIRETORES NTE'!$H$5:$H$31,'[1]DIRETORES NTE'!$E$5:$E$31,),2,0),"-")</f>
        <v>-</v>
      </c>
    </row>
    <row r="2045" spans="9:15" x14ac:dyDescent="0.25">
      <c r="I2045" s="13"/>
      <c r="M2045" s="14"/>
      <c r="O2045" t="str">
        <f>IFERROR(VLOOKUP($I2045,CHOOSE({1,2},'[1]DIRETORES NTE'!$H$5:$H$31,'[1]DIRETORES NTE'!$E$5:$E$31,),2,0),"-")</f>
        <v>-</v>
      </c>
    </row>
    <row r="2046" spans="9:15" x14ac:dyDescent="0.25">
      <c r="I2046" s="13"/>
      <c r="M2046" s="14"/>
      <c r="O2046" t="str">
        <f>IFERROR(VLOOKUP($I2046,CHOOSE({1,2},'[1]DIRETORES NTE'!$H$5:$H$31,'[1]DIRETORES NTE'!$E$5:$E$31,),2,0),"-")</f>
        <v>-</v>
      </c>
    </row>
    <row r="2047" spans="9:15" x14ac:dyDescent="0.25">
      <c r="I2047" s="13"/>
      <c r="M2047" s="14"/>
      <c r="O2047" t="str">
        <f>IFERROR(VLOOKUP($I2047,CHOOSE({1,2},'[1]DIRETORES NTE'!$H$5:$H$31,'[1]DIRETORES NTE'!$E$5:$E$31,),2,0),"-")</f>
        <v>-</v>
      </c>
    </row>
    <row r="2048" spans="9:15" x14ac:dyDescent="0.25">
      <c r="I2048" s="13"/>
      <c r="M2048" s="14"/>
      <c r="O2048" t="str">
        <f>IFERROR(VLOOKUP($I2048,CHOOSE({1,2},'[1]DIRETORES NTE'!$H$5:$H$31,'[1]DIRETORES NTE'!$E$5:$E$31,),2,0),"-")</f>
        <v>-</v>
      </c>
    </row>
    <row r="2049" spans="9:15" x14ac:dyDescent="0.25">
      <c r="I2049" s="13"/>
      <c r="M2049" s="14"/>
      <c r="O2049" t="str">
        <f>IFERROR(VLOOKUP($I2049,CHOOSE({1,2},'[1]DIRETORES NTE'!$H$5:$H$31,'[1]DIRETORES NTE'!$E$5:$E$31,),2,0),"-")</f>
        <v>-</v>
      </c>
    </row>
    <row r="2050" spans="9:15" x14ac:dyDescent="0.25">
      <c r="I2050" s="13"/>
      <c r="M2050" s="14"/>
      <c r="O2050" t="str">
        <f>IFERROR(VLOOKUP($I2050,CHOOSE({1,2},'[1]DIRETORES NTE'!$H$5:$H$31,'[1]DIRETORES NTE'!$E$5:$E$31,),2,0),"-")</f>
        <v>-</v>
      </c>
    </row>
    <row r="2051" spans="9:15" x14ac:dyDescent="0.25">
      <c r="I2051" s="13"/>
      <c r="M2051" s="14"/>
      <c r="O2051" t="str">
        <f>IFERROR(VLOOKUP($I2051,CHOOSE({1,2},'[1]DIRETORES NTE'!$H$5:$H$31,'[1]DIRETORES NTE'!$E$5:$E$31,),2,0),"-")</f>
        <v>-</v>
      </c>
    </row>
    <row r="2052" spans="9:15" x14ac:dyDescent="0.25">
      <c r="I2052" s="13"/>
      <c r="M2052" s="14"/>
      <c r="O2052" t="str">
        <f>IFERROR(VLOOKUP($I2052,CHOOSE({1,2},'[1]DIRETORES NTE'!$H$5:$H$31,'[1]DIRETORES NTE'!$E$5:$E$31,),2,0),"-")</f>
        <v>-</v>
      </c>
    </row>
    <row r="2053" spans="9:15" x14ac:dyDescent="0.25">
      <c r="I2053" s="13"/>
      <c r="M2053" s="14"/>
      <c r="O2053" t="str">
        <f>IFERROR(VLOOKUP($I2053,CHOOSE({1,2},'[1]DIRETORES NTE'!$H$5:$H$31,'[1]DIRETORES NTE'!$E$5:$E$31,),2,0),"-")</f>
        <v>-</v>
      </c>
    </row>
    <row r="2054" spans="9:15" x14ac:dyDescent="0.25">
      <c r="I2054" s="13"/>
      <c r="M2054" s="14"/>
      <c r="O2054" t="str">
        <f>IFERROR(VLOOKUP($I2054,CHOOSE({1,2},'[1]DIRETORES NTE'!$H$5:$H$31,'[1]DIRETORES NTE'!$E$5:$E$31,),2,0),"-")</f>
        <v>-</v>
      </c>
    </row>
    <row r="2055" spans="9:15" x14ac:dyDescent="0.25">
      <c r="I2055" s="13"/>
      <c r="M2055" s="14"/>
      <c r="O2055" t="str">
        <f>IFERROR(VLOOKUP($I2055,CHOOSE({1,2},'[1]DIRETORES NTE'!$H$5:$H$31,'[1]DIRETORES NTE'!$E$5:$E$31,),2,0),"-")</f>
        <v>-</v>
      </c>
    </row>
    <row r="2056" spans="9:15" x14ac:dyDescent="0.25">
      <c r="I2056" s="13"/>
      <c r="M2056" s="14"/>
      <c r="O2056" t="str">
        <f>IFERROR(VLOOKUP($I2056,CHOOSE({1,2},'[1]DIRETORES NTE'!$H$5:$H$31,'[1]DIRETORES NTE'!$E$5:$E$31,),2,0),"-")</f>
        <v>-</v>
      </c>
    </row>
    <row r="2057" spans="9:15" x14ac:dyDescent="0.25">
      <c r="I2057" s="13"/>
      <c r="M2057" s="14"/>
      <c r="O2057" t="str">
        <f>IFERROR(VLOOKUP($I2057,CHOOSE({1,2},'[1]DIRETORES NTE'!$H$5:$H$31,'[1]DIRETORES NTE'!$E$5:$E$31,),2,0),"-")</f>
        <v>-</v>
      </c>
    </row>
    <row r="2058" spans="9:15" x14ac:dyDescent="0.25">
      <c r="I2058" s="13"/>
      <c r="M2058" s="14"/>
      <c r="O2058" t="str">
        <f>IFERROR(VLOOKUP($I2058,CHOOSE({1,2},'[1]DIRETORES NTE'!$H$5:$H$31,'[1]DIRETORES NTE'!$E$5:$E$31,),2,0),"-")</f>
        <v>-</v>
      </c>
    </row>
    <row r="2059" spans="9:15" x14ac:dyDescent="0.25">
      <c r="I2059" s="13"/>
      <c r="M2059" s="14"/>
      <c r="O2059" t="str">
        <f>IFERROR(VLOOKUP($I2059,CHOOSE({1,2},'[1]DIRETORES NTE'!$H$5:$H$31,'[1]DIRETORES NTE'!$E$5:$E$31,),2,0),"-")</f>
        <v>-</v>
      </c>
    </row>
    <row r="2060" spans="9:15" x14ac:dyDescent="0.25">
      <c r="I2060" s="13"/>
      <c r="M2060" s="14"/>
      <c r="O2060" t="str">
        <f>IFERROR(VLOOKUP($I2060,CHOOSE({1,2},'[1]DIRETORES NTE'!$H$5:$H$31,'[1]DIRETORES NTE'!$E$5:$E$31,),2,0),"-")</f>
        <v>-</v>
      </c>
    </row>
    <row r="2061" spans="9:15" x14ac:dyDescent="0.25">
      <c r="I2061" s="13"/>
      <c r="M2061" s="14"/>
      <c r="O2061" t="str">
        <f>IFERROR(VLOOKUP($I2061,CHOOSE({1,2},'[1]DIRETORES NTE'!$H$5:$H$31,'[1]DIRETORES NTE'!$E$5:$E$31,),2,0),"-")</f>
        <v>-</v>
      </c>
    </row>
    <row r="2062" spans="9:15" x14ac:dyDescent="0.25">
      <c r="I2062" s="13"/>
      <c r="M2062" s="14"/>
      <c r="O2062" t="str">
        <f>IFERROR(VLOOKUP($I2062,CHOOSE({1,2},'[1]DIRETORES NTE'!$H$5:$H$31,'[1]DIRETORES NTE'!$E$5:$E$31,),2,0),"-")</f>
        <v>-</v>
      </c>
    </row>
    <row r="2063" spans="9:15" x14ac:dyDescent="0.25">
      <c r="I2063" s="13"/>
      <c r="M2063" s="14"/>
      <c r="O2063" t="str">
        <f>IFERROR(VLOOKUP($I2063,CHOOSE({1,2},'[1]DIRETORES NTE'!$H$5:$H$31,'[1]DIRETORES NTE'!$E$5:$E$31,),2,0),"-")</f>
        <v>-</v>
      </c>
    </row>
    <row r="2064" spans="9:15" x14ac:dyDescent="0.25">
      <c r="I2064" s="13"/>
      <c r="M2064" s="14"/>
      <c r="O2064" t="str">
        <f>IFERROR(VLOOKUP($I2064,CHOOSE({1,2},'[1]DIRETORES NTE'!$H$5:$H$31,'[1]DIRETORES NTE'!$E$5:$E$31,),2,0),"-")</f>
        <v>-</v>
      </c>
    </row>
    <row r="2065" spans="9:15" x14ac:dyDescent="0.25">
      <c r="I2065" s="13"/>
      <c r="M2065" s="14"/>
      <c r="O2065" t="str">
        <f>IFERROR(VLOOKUP($I2065,CHOOSE({1,2},'[1]DIRETORES NTE'!$H$5:$H$31,'[1]DIRETORES NTE'!$E$5:$E$31,),2,0),"-")</f>
        <v>-</v>
      </c>
    </row>
    <row r="2066" spans="9:15" x14ac:dyDescent="0.25">
      <c r="I2066" s="13"/>
      <c r="M2066" s="14"/>
      <c r="O2066" t="str">
        <f>IFERROR(VLOOKUP($I2066,CHOOSE({1,2},'[1]DIRETORES NTE'!$H$5:$H$31,'[1]DIRETORES NTE'!$E$5:$E$31,),2,0),"-")</f>
        <v>-</v>
      </c>
    </row>
    <row r="2067" spans="9:15" x14ac:dyDescent="0.25">
      <c r="I2067" s="13"/>
      <c r="M2067" s="14"/>
      <c r="O2067" t="str">
        <f>IFERROR(VLOOKUP($I2067,CHOOSE({1,2},'[1]DIRETORES NTE'!$H$5:$H$31,'[1]DIRETORES NTE'!$E$5:$E$31,),2,0),"-")</f>
        <v>-</v>
      </c>
    </row>
    <row r="2068" spans="9:15" x14ac:dyDescent="0.25">
      <c r="I2068" s="13"/>
      <c r="M2068" s="14"/>
      <c r="O2068" t="str">
        <f>IFERROR(VLOOKUP($I2068,CHOOSE({1,2},'[1]DIRETORES NTE'!$H$5:$H$31,'[1]DIRETORES NTE'!$E$5:$E$31,),2,0),"-")</f>
        <v>-</v>
      </c>
    </row>
    <row r="2069" spans="9:15" x14ac:dyDescent="0.25">
      <c r="I2069" s="13"/>
      <c r="M2069" s="14"/>
      <c r="O2069" t="str">
        <f>IFERROR(VLOOKUP($I2069,CHOOSE({1,2},'[1]DIRETORES NTE'!$H$5:$H$31,'[1]DIRETORES NTE'!$E$5:$E$31,),2,0),"-")</f>
        <v>-</v>
      </c>
    </row>
    <row r="2070" spans="9:15" x14ac:dyDescent="0.25">
      <c r="I2070" s="13"/>
      <c r="M2070" s="14"/>
      <c r="O2070" t="str">
        <f>IFERROR(VLOOKUP($I2070,CHOOSE({1,2},'[1]DIRETORES NTE'!$H$5:$H$31,'[1]DIRETORES NTE'!$E$5:$E$31,),2,0),"-")</f>
        <v>-</v>
      </c>
    </row>
    <row r="2071" spans="9:15" x14ac:dyDescent="0.25">
      <c r="I2071" s="13"/>
      <c r="M2071" s="14"/>
      <c r="O2071" t="str">
        <f>IFERROR(VLOOKUP($I2071,CHOOSE({1,2},'[1]DIRETORES NTE'!$H$5:$H$31,'[1]DIRETORES NTE'!$E$5:$E$31,),2,0),"-")</f>
        <v>-</v>
      </c>
    </row>
    <row r="2072" spans="9:15" x14ac:dyDescent="0.25">
      <c r="I2072" s="13"/>
      <c r="M2072" s="14"/>
      <c r="O2072" t="str">
        <f>IFERROR(VLOOKUP($I2072,CHOOSE({1,2},'[1]DIRETORES NTE'!$H$5:$H$31,'[1]DIRETORES NTE'!$E$5:$E$31,),2,0),"-")</f>
        <v>-</v>
      </c>
    </row>
    <row r="2073" spans="9:15" x14ac:dyDescent="0.25">
      <c r="I2073" s="13"/>
      <c r="M2073" s="14"/>
      <c r="O2073" t="str">
        <f>IFERROR(VLOOKUP($I2073,CHOOSE({1,2},'[1]DIRETORES NTE'!$H$5:$H$31,'[1]DIRETORES NTE'!$E$5:$E$31,),2,0),"-")</f>
        <v>-</v>
      </c>
    </row>
    <row r="2074" spans="9:15" x14ac:dyDescent="0.25">
      <c r="I2074" s="13"/>
      <c r="M2074" s="14"/>
      <c r="O2074" t="str">
        <f>IFERROR(VLOOKUP($I2074,CHOOSE({1,2},'[1]DIRETORES NTE'!$H$5:$H$31,'[1]DIRETORES NTE'!$E$5:$E$31,),2,0),"-")</f>
        <v>-</v>
      </c>
    </row>
    <row r="2075" spans="9:15" x14ac:dyDescent="0.25">
      <c r="I2075" s="13"/>
      <c r="M2075" s="14"/>
      <c r="O2075" t="str">
        <f>IFERROR(VLOOKUP($I2075,CHOOSE({1,2},'[1]DIRETORES NTE'!$H$5:$H$31,'[1]DIRETORES NTE'!$E$5:$E$31,),2,0),"-")</f>
        <v>-</v>
      </c>
    </row>
    <row r="2076" spans="9:15" x14ac:dyDescent="0.25">
      <c r="I2076" s="13"/>
      <c r="M2076" s="14"/>
      <c r="O2076" t="str">
        <f>IFERROR(VLOOKUP($I2076,CHOOSE({1,2},'[1]DIRETORES NTE'!$H$5:$H$31,'[1]DIRETORES NTE'!$E$5:$E$31,),2,0),"-")</f>
        <v>-</v>
      </c>
    </row>
    <row r="2077" spans="9:15" x14ac:dyDescent="0.25">
      <c r="I2077" s="13"/>
      <c r="M2077" s="14"/>
      <c r="O2077" t="str">
        <f>IFERROR(VLOOKUP($I2077,CHOOSE({1,2},'[1]DIRETORES NTE'!$H$5:$H$31,'[1]DIRETORES NTE'!$E$5:$E$31,),2,0),"-")</f>
        <v>-</v>
      </c>
    </row>
    <row r="2078" spans="9:15" x14ac:dyDescent="0.25">
      <c r="I2078" s="13"/>
      <c r="M2078" s="14"/>
      <c r="O2078" t="str">
        <f>IFERROR(VLOOKUP($I2078,CHOOSE({1,2},'[1]DIRETORES NTE'!$H$5:$H$31,'[1]DIRETORES NTE'!$E$5:$E$31,),2,0),"-")</f>
        <v>-</v>
      </c>
    </row>
    <row r="2079" spans="9:15" x14ac:dyDescent="0.25">
      <c r="I2079" s="13"/>
      <c r="M2079" s="14"/>
      <c r="O2079" t="str">
        <f>IFERROR(VLOOKUP($I2079,CHOOSE({1,2},'[1]DIRETORES NTE'!$H$5:$H$31,'[1]DIRETORES NTE'!$E$5:$E$31,),2,0),"-")</f>
        <v>-</v>
      </c>
    </row>
    <row r="2080" spans="9:15" x14ac:dyDescent="0.25">
      <c r="I2080" s="13"/>
      <c r="M2080" s="14"/>
      <c r="O2080" t="str">
        <f>IFERROR(VLOOKUP($I2080,CHOOSE({1,2},'[1]DIRETORES NTE'!$H$5:$H$31,'[1]DIRETORES NTE'!$E$5:$E$31,),2,0),"-")</f>
        <v>-</v>
      </c>
    </row>
    <row r="2081" spans="9:15" x14ac:dyDescent="0.25">
      <c r="I2081" s="13"/>
      <c r="M2081" s="14"/>
      <c r="O2081" t="str">
        <f>IFERROR(VLOOKUP($I2081,CHOOSE({1,2},'[1]DIRETORES NTE'!$H$5:$H$31,'[1]DIRETORES NTE'!$E$5:$E$31,),2,0),"-")</f>
        <v>-</v>
      </c>
    </row>
    <row r="2082" spans="9:15" x14ac:dyDescent="0.25">
      <c r="I2082" s="13"/>
      <c r="M2082" s="14"/>
      <c r="O2082" t="str">
        <f>IFERROR(VLOOKUP($I2082,CHOOSE({1,2},'[1]DIRETORES NTE'!$H$5:$H$31,'[1]DIRETORES NTE'!$E$5:$E$31,),2,0),"-")</f>
        <v>-</v>
      </c>
    </row>
    <row r="2083" spans="9:15" x14ac:dyDescent="0.25">
      <c r="I2083" s="13"/>
      <c r="M2083" s="14"/>
      <c r="O2083" t="str">
        <f>IFERROR(VLOOKUP($I2083,CHOOSE({1,2},'[1]DIRETORES NTE'!$H$5:$H$31,'[1]DIRETORES NTE'!$E$5:$E$31,),2,0),"-")</f>
        <v>-</v>
      </c>
    </row>
    <row r="2084" spans="9:15" x14ac:dyDescent="0.25">
      <c r="I2084" s="13"/>
      <c r="M2084" s="14"/>
      <c r="O2084" t="str">
        <f>IFERROR(VLOOKUP($I2084,CHOOSE({1,2},'[1]DIRETORES NTE'!$H$5:$H$31,'[1]DIRETORES NTE'!$E$5:$E$31,),2,0),"-")</f>
        <v>-</v>
      </c>
    </row>
    <row r="2085" spans="9:15" x14ac:dyDescent="0.25">
      <c r="I2085" s="13"/>
      <c r="M2085" s="14"/>
      <c r="O2085" t="str">
        <f>IFERROR(VLOOKUP($I2085,CHOOSE({1,2},'[1]DIRETORES NTE'!$H$5:$H$31,'[1]DIRETORES NTE'!$E$5:$E$31,),2,0),"-")</f>
        <v>-</v>
      </c>
    </row>
    <row r="2086" spans="9:15" x14ac:dyDescent="0.25">
      <c r="I2086" s="13"/>
      <c r="M2086" s="14"/>
      <c r="O2086" t="str">
        <f>IFERROR(VLOOKUP($I2086,CHOOSE({1,2},'[1]DIRETORES NTE'!$H$5:$H$31,'[1]DIRETORES NTE'!$E$5:$E$31,),2,0),"-")</f>
        <v>-</v>
      </c>
    </row>
    <row r="2087" spans="9:15" x14ac:dyDescent="0.25">
      <c r="I2087" s="13"/>
      <c r="M2087" s="14"/>
      <c r="O2087" t="str">
        <f>IFERROR(VLOOKUP($I2087,CHOOSE({1,2},'[1]DIRETORES NTE'!$H$5:$H$31,'[1]DIRETORES NTE'!$E$5:$E$31,),2,0),"-")</f>
        <v>-</v>
      </c>
    </row>
    <row r="2088" spans="9:15" x14ac:dyDescent="0.25">
      <c r="I2088" s="13"/>
      <c r="M2088" s="14"/>
      <c r="O2088" t="str">
        <f>IFERROR(VLOOKUP($I2088,CHOOSE({1,2},'[1]DIRETORES NTE'!$H$5:$H$31,'[1]DIRETORES NTE'!$E$5:$E$31,),2,0),"-")</f>
        <v>-</v>
      </c>
    </row>
    <row r="2089" spans="9:15" x14ac:dyDescent="0.25">
      <c r="I2089" s="13"/>
      <c r="M2089" s="14"/>
      <c r="O2089" t="str">
        <f>IFERROR(VLOOKUP($I2089,CHOOSE({1,2},'[1]DIRETORES NTE'!$H$5:$H$31,'[1]DIRETORES NTE'!$E$5:$E$31,),2,0),"-")</f>
        <v>-</v>
      </c>
    </row>
    <row r="2090" spans="9:15" x14ac:dyDescent="0.25">
      <c r="I2090" s="13"/>
      <c r="M2090" s="14"/>
      <c r="O2090" t="str">
        <f>IFERROR(VLOOKUP($I2090,CHOOSE({1,2},'[1]DIRETORES NTE'!$H$5:$H$31,'[1]DIRETORES NTE'!$E$5:$E$31,),2,0),"-")</f>
        <v>-</v>
      </c>
    </row>
    <row r="2091" spans="9:15" x14ac:dyDescent="0.25">
      <c r="I2091" s="13"/>
      <c r="M2091" s="14"/>
      <c r="O2091" t="str">
        <f>IFERROR(VLOOKUP($I2091,CHOOSE({1,2},'[1]DIRETORES NTE'!$H$5:$H$31,'[1]DIRETORES NTE'!$E$5:$E$31,),2,0),"-")</f>
        <v>-</v>
      </c>
    </row>
    <row r="2092" spans="9:15" x14ac:dyDescent="0.25">
      <c r="I2092" s="13"/>
      <c r="M2092" s="14"/>
      <c r="O2092" t="str">
        <f>IFERROR(VLOOKUP($I2092,CHOOSE({1,2},'[1]DIRETORES NTE'!$H$5:$H$31,'[1]DIRETORES NTE'!$E$5:$E$31,),2,0),"-")</f>
        <v>-</v>
      </c>
    </row>
    <row r="2093" spans="9:15" x14ac:dyDescent="0.25">
      <c r="I2093" s="13"/>
      <c r="M2093" s="14"/>
      <c r="O2093" t="str">
        <f>IFERROR(VLOOKUP($I2093,CHOOSE({1,2},'[1]DIRETORES NTE'!$H$5:$H$31,'[1]DIRETORES NTE'!$E$5:$E$31,),2,0),"-")</f>
        <v>-</v>
      </c>
    </row>
    <row r="2094" spans="9:15" x14ac:dyDescent="0.25">
      <c r="I2094" s="13"/>
      <c r="M2094" s="14"/>
      <c r="O2094" t="str">
        <f>IFERROR(VLOOKUP($I2094,CHOOSE({1,2},'[1]DIRETORES NTE'!$H$5:$H$31,'[1]DIRETORES NTE'!$E$5:$E$31,),2,0),"-")</f>
        <v>-</v>
      </c>
    </row>
    <row r="2095" spans="9:15" x14ac:dyDescent="0.25">
      <c r="I2095" s="13"/>
      <c r="M2095" s="14"/>
      <c r="O2095" t="str">
        <f>IFERROR(VLOOKUP($I2095,CHOOSE({1,2},'[1]DIRETORES NTE'!$H$5:$H$31,'[1]DIRETORES NTE'!$E$5:$E$31,),2,0),"-")</f>
        <v>-</v>
      </c>
    </row>
    <row r="2096" spans="9:15" x14ac:dyDescent="0.25">
      <c r="I2096" s="13"/>
      <c r="M2096" s="14"/>
      <c r="O2096" t="str">
        <f>IFERROR(VLOOKUP($I2096,CHOOSE({1,2},'[1]DIRETORES NTE'!$H$5:$H$31,'[1]DIRETORES NTE'!$E$5:$E$31,),2,0),"-")</f>
        <v>-</v>
      </c>
    </row>
    <row r="2097" spans="9:15" x14ac:dyDescent="0.25">
      <c r="I2097" s="13"/>
      <c r="M2097" s="14"/>
      <c r="O2097" t="str">
        <f>IFERROR(VLOOKUP($I2097,CHOOSE({1,2},'[1]DIRETORES NTE'!$H$5:$H$31,'[1]DIRETORES NTE'!$E$5:$E$31,),2,0),"-")</f>
        <v>-</v>
      </c>
    </row>
    <row r="2098" spans="9:15" x14ac:dyDescent="0.25">
      <c r="I2098" s="13"/>
      <c r="M2098" s="14"/>
      <c r="O2098" t="str">
        <f>IFERROR(VLOOKUP($I2098,CHOOSE({1,2},'[1]DIRETORES NTE'!$H$5:$H$31,'[1]DIRETORES NTE'!$E$5:$E$31,),2,0),"-")</f>
        <v>-</v>
      </c>
    </row>
    <row r="2099" spans="9:15" x14ac:dyDescent="0.25">
      <c r="I2099" s="13"/>
      <c r="M2099" s="14"/>
      <c r="O2099" t="str">
        <f>IFERROR(VLOOKUP($I2099,CHOOSE({1,2},'[1]DIRETORES NTE'!$H$5:$H$31,'[1]DIRETORES NTE'!$E$5:$E$31,),2,0),"-")</f>
        <v>-</v>
      </c>
    </row>
    <row r="2100" spans="9:15" x14ac:dyDescent="0.25">
      <c r="I2100" s="13"/>
      <c r="M2100" s="14"/>
      <c r="O2100" t="str">
        <f>IFERROR(VLOOKUP($I2100,CHOOSE({1,2},'[1]DIRETORES NTE'!$H$5:$H$31,'[1]DIRETORES NTE'!$E$5:$E$31,),2,0),"-")</f>
        <v>-</v>
      </c>
    </row>
    <row r="2101" spans="9:15" x14ac:dyDescent="0.25">
      <c r="I2101" s="13"/>
      <c r="M2101" s="14"/>
      <c r="O2101" t="str">
        <f>IFERROR(VLOOKUP($I2101,CHOOSE({1,2},'[1]DIRETORES NTE'!$H$5:$H$31,'[1]DIRETORES NTE'!$E$5:$E$31,),2,0),"-")</f>
        <v>-</v>
      </c>
    </row>
    <row r="2102" spans="9:15" x14ac:dyDescent="0.25">
      <c r="I2102" s="13"/>
      <c r="M2102" s="14"/>
      <c r="O2102" t="str">
        <f>IFERROR(VLOOKUP($I2102,CHOOSE({1,2},'[1]DIRETORES NTE'!$H$5:$H$31,'[1]DIRETORES NTE'!$E$5:$E$31,),2,0),"-")</f>
        <v>-</v>
      </c>
    </row>
    <row r="2103" spans="9:15" x14ac:dyDescent="0.25">
      <c r="I2103" s="13"/>
      <c r="M2103" s="14"/>
      <c r="O2103" t="str">
        <f>IFERROR(VLOOKUP($I2103,CHOOSE({1,2},'[1]DIRETORES NTE'!$H$5:$H$31,'[1]DIRETORES NTE'!$E$5:$E$31,),2,0),"-")</f>
        <v>-</v>
      </c>
    </row>
    <row r="2104" spans="9:15" x14ac:dyDescent="0.25">
      <c r="I2104" s="13"/>
      <c r="M2104" s="14"/>
      <c r="O2104" t="str">
        <f>IFERROR(VLOOKUP($I2104,CHOOSE({1,2},'[1]DIRETORES NTE'!$H$5:$H$31,'[1]DIRETORES NTE'!$E$5:$E$31,),2,0),"-")</f>
        <v>-</v>
      </c>
    </row>
    <row r="2105" spans="9:15" x14ac:dyDescent="0.25">
      <c r="I2105" s="13"/>
      <c r="M2105" s="14"/>
      <c r="O2105" t="str">
        <f>IFERROR(VLOOKUP($I2105,CHOOSE({1,2},'[1]DIRETORES NTE'!$H$5:$H$31,'[1]DIRETORES NTE'!$E$5:$E$31,),2,0),"-")</f>
        <v>-</v>
      </c>
    </row>
    <row r="2106" spans="9:15" x14ac:dyDescent="0.25">
      <c r="I2106" s="13"/>
      <c r="M2106" s="14"/>
      <c r="O2106" t="str">
        <f>IFERROR(VLOOKUP($I2106,CHOOSE({1,2},'[1]DIRETORES NTE'!$H$5:$H$31,'[1]DIRETORES NTE'!$E$5:$E$31,),2,0),"-")</f>
        <v>-</v>
      </c>
    </row>
    <row r="2107" spans="9:15" x14ac:dyDescent="0.25">
      <c r="I2107" s="13"/>
      <c r="M2107" s="14"/>
      <c r="O2107" t="str">
        <f>IFERROR(VLOOKUP($I2107,CHOOSE({1,2},'[1]DIRETORES NTE'!$H$5:$H$31,'[1]DIRETORES NTE'!$E$5:$E$31,),2,0),"-")</f>
        <v>-</v>
      </c>
    </row>
    <row r="2108" spans="9:15" x14ac:dyDescent="0.25">
      <c r="I2108" s="13"/>
      <c r="M2108" s="14"/>
      <c r="O2108" t="str">
        <f>IFERROR(VLOOKUP($I2108,CHOOSE({1,2},'[1]DIRETORES NTE'!$H$5:$H$31,'[1]DIRETORES NTE'!$E$5:$E$31,),2,0),"-")</f>
        <v>-</v>
      </c>
    </row>
    <row r="2109" spans="9:15" x14ac:dyDescent="0.25">
      <c r="I2109" s="13"/>
      <c r="M2109" s="14"/>
      <c r="O2109" t="str">
        <f>IFERROR(VLOOKUP($I2109,CHOOSE({1,2},'[1]DIRETORES NTE'!$H$5:$H$31,'[1]DIRETORES NTE'!$E$5:$E$31,),2,0),"-")</f>
        <v>-</v>
      </c>
    </row>
    <row r="2110" spans="9:15" x14ac:dyDescent="0.25">
      <c r="I2110" s="13"/>
      <c r="M2110" s="14"/>
      <c r="O2110" t="str">
        <f>IFERROR(VLOOKUP($I2110,CHOOSE({1,2},'[1]DIRETORES NTE'!$H$5:$H$31,'[1]DIRETORES NTE'!$E$5:$E$31,),2,0),"-")</f>
        <v>-</v>
      </c>
    </row>
    <row r="2111" spans="9:15" x14ac:dyDescent="0.25">
      <c r="I2111" s="13"/>
      <c r="M2111" s="14"/>
      <c r="O2111" t="str">
        <f>IFERROR(VLOOKUP($I2111,CHOOSE({1,2},'[1]DIRETORES NTE'!$H$5:$H$31,'[1]DIRETORES NTE'!$E$5:$E$31,),2,0),"-")</f>
        <v>-</v>
      </c>
    </row>
    <row r="2112" spans="9:15" x14ac:dyDescent="0.25">
      <c r="I2112" s="13"/>
      <c r="M2112" s="14"/>
      <c r="O2112" t="str">
        <f>IFERROR(VLOOKUP($I2112,CHOOSE({1,2},'[1]DIRETORES NTE'!$H$5:$H$31,'[1]DIRETORES NTE'!$E$5:$E$31,),2,0),"-")</f>
        <v>-</v>
      </c>
    </row>
    <row r="2113" spans="9:15" x14ac:dyDescent="0.25">
      <c r="I2113" s="13"/>
      <c r="M2113" s="14"/>
      <c r="O2113" t="str">
        <f>IFERROR(VLOOKUP($I2113,CHOOSE({1,2},'[1]DIRETORES NTE'!$H$5:$H$31,'[1]DIRETORES NTE'!$E$5:$E$31,),2,0),"-")</f>
        <v>-</v>
      </c>
    </row>
    <row r="2114" spans="9:15" x14ac:dyDescent="0.25">
      <c r="I2114" s="13"/>
      <c r="M2114" s="14"/>
      <c r="O2114" t="str">
        <f>IFERROR(VLOOKUP($I2114,CHOOSE({1,2},'[1]DIRETORES NTE'!$H$5:$H$31,'[1]DIRETORES NTE'!$E$5:$E$31,),2,0),"-")</f>
        <v>-</v>
      </c>
    </row>
    <row r="2115" spans="9:15" x14ac:dyDescent="0.25">
      <c r="I2115" s="13"/>
      <c r="M2115" s="14"/>
      <c r="O2115" t="str">
        <f>IFERROR(VLOOKUP($I2115,CHOOSE({1,2},'[1]DIRETORES NTE'!$H$5:$H$31,'[1]DIRETORES NTE'!$E$5:$E$31,),2,0),"-")</f>
        <v>-</v>
      </c>
    </row>
  </sheetData>
  <mergeCells count="1">
    <mergeCell ref="A1:O1"/>
  </mergeCells>
  <conditionalFormatting sqref="I2">
    <cfRule type="duplicateValues" dxfId="1" priority="4"/>
  </conditionalFormatting>
  <conditionalFormatting sqref="B2:G1048576">
    <cfRule type="containsText" dxfId="0" priority="3" operator="containsText" text="Não localizado">
      <formula>NOT(ISERROR(SEARCH("Não localizado",B2)))</formula>
    </cfRule>
  </conditionalFormatting>
  <conditionalFormatting sqref="N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{00A20C52-02E4-4CE5-9C08-7C1B47B7A3B5}</x14:id>
        </ext>
      </extLst>
    </cfRule>
  </conditionalFormatting>
  <conditionalFormatting sqref="N2:N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{949CE019-6839-46E4-B9E1-132D84D8F849}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A20C52-02E4-4CE5-9C08-7C1B47B7A3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</xm:sqref>
        </x14:conditionalFormatting>
        <x14:conditionalFormatting xmlns:xm="http://schemas.microsoft.com/office/excel/2006/main">
          <x14:cfRule type="dataBar" id="{949CE019-6839-46E4-B9E1-132D84D8F8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N2:N1048576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Saldo disponivel PNAE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Jose de Souza Silva</dc:creator>
  <cp:lastModifiedBy>Fernando Jose de Souza Silva</cp:lastModifiedBy>
  <dcterms:created xsi:type="dcterms:W3CDTF">2026-03-13T11:06:14Z</dcterms:created>
  <dcterms:modified xsi:type="dcterms:W3CDTF">2026-03-13T11:06:22Z</dcterms:modified>
</cp:coreProperties>
</file>